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4.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8" autoFilterDateGrouping="1"/>
  </bookViews>
  <sheets>
    <sheet name="Cover" sheetId="1" state="visible" r:id="rId1"/>
    <sheet name="Guideline" sheetId="2" state="visible" r:id="rId2"/>
    <sheet name="Revision History" sheetId="3" state="visible" r:id="rId3"/>
    <sheet name="Summary" sheetId="4" state="visible" r:id="rId4"/>
    <sheet name="Dashboard" sheetId="5" state="visible" r:id="rId5"/>
    <sheet name="Report Test" sheetId="6" state="visible" r:id="rId6"/>
    <sheet name="Bug Data" sheetId="7" state="visible" r:id="rId7"/>
    <sheet name="RTM" sheetId="8" state="visible" r:id="rId8"/>
    <sheet name="Hoạt động" sheetId="9" state="visible" r:id="rId9"/>
    <sheet name="Cá nhân" sheetId="10" state="visible" r:id="rId10"/>
    <sheet name="Thông báo" sheetId="11" state="visible" r:id="rId11"/>
    <sheet name="Đăng tin" sheetId="12" state="visible" r:id="rId12"/>
    <sheet name="Trang chủ" sheetId="13" state="visible" r:id="rId13"/>
    <sheet name="Bảng tin &amp; Chi tiết tin" sheetId="14" state="visible" r:id="rId14"/>
    <sheet name="Theo dõi đơn" sheetId="15" state="visible" r:id="rId15"/>
    <sheet name="Huỷ đơn" sheetId="16" state="visible" r:id="rId16"/>
    <sheet name="Tặng quà" sheetId="17" state="visible" r:id="rId17"/>
    <sheet name="Coverage Matrix" sheetId="18" state="visible" r:id="rId18"/>
    <sheet name="Coverage Matrix - Cá nhân" sheetId="19" state="visible" r:id="rId19"/>
    <sheet name="Coverage Matrix - Thông báo" sheetId="20" state="visible" r:id="rId20"/>
    <sheet name="Coverage Matrix - Đăng tin" sheetId="21" state="visible" r:id="rId21"/>
    <sheet name="Coverage Matrix - Trang chủ" sheetId="22" state="visible" r:id="rId22"/>
    <sheet name="Coverage Matrix - Bảng tin" sheetId="23" state="visible" r:id="rId23"/>
    <sheet name="Coverage Matrix - Theo dõi đơn" sheetId="24" state="visible" r:id="rId24"/>
    <sheet name="Coverage Matrix - Huỷ đơn" sheetId="25" state="visible" r:id="rId25"/>
    <sheet name="Coverage Matrix - Tặng quà" sheetId="26" state="visible" r:id="rId26"/>
  </sheets>
  <definedNames>
    <definedName name="_xlnm._FilterDatabase" localSheetId="8" hidden="1">'Hoạt động'!$A$6:$U$6</definedName>
    <definedName name="_xlnm._FilterDatabase" localSheetId="9" hidden="1">'Cá nhân'!$A$6:$U$6</definedName>
    <definedName name="_xlnm._FilterDatabase" localSheetId="10" hidden="1">'Thông báo'!$A$6:$U$6</definedName>
    <definedName name="_xlnm._FilterDatabase" localSheetId="11" hidden="1">'Đăng tin'!$A$6:$U$6</definedName>
    <definedName name="_xlnm._FilterDatabase" localSheetId="12" hidden="1">'Trang chủ'!$A$6:$U$6</definedName>
    <definedName name="_xlnm._FilterDatabase" localSheetId="13" hidden="1">'Bảng tin &amp; Chi tiết tin'!$A$6:$U$6</definedName>
    <definedName name="_xlnm._FilterDatabase" localSheetId="14" hidden="1">'Theo dõi đơn'!$A$6:$U$6</definedName>
    <definedName name="_xlnm._FilterDatabase" localSheetId="15" hidden="1">'Huỷ đơn'!$A$6:$U$6</definedName>
    <definedName name="_xlnm._FilterDatabase" localSheetId="16" hidden="1">'Tặng quà'!$A$6:$U$6</definedName>
    <definedName name="_xlnm._FilterDatabase" localSheetId="17" hidden="1">'Coverage Matrix'!$A$1:$M$1</definedName>
    <definedName name="_xlnm._FilterDatabase" localSheetId="18" hidden="1">'Coverage Matrix - Cá nhân'!$A$1:$M$1</definedName>
    <definedName name="_xlnm._FilterDatabase" localSheetId="19" hidden="1">'Coverage Matrix - Thông báo'!$A$1:$M$1</definedName>
    <definedName name="_xlnm._FilterDatabase" localSheetId="20" hidden="1">'Coverage Matrix - Đăng tin'!$A$1:$M$21</definedName>
    <definedName name="_xlnm._FilterDatabase" localSheetId="21" hidden="1">'Coverage Matrix - Trang chủ'!$A$1:$M$5</definedName>
    <definedName name="_xlnm._FilterDatabase" localSheetId="22" hidden="1">'Coverage Matrix - Bảng tin'!$A$1:$M$12</definedName>
    <definedName name="_xlnm._FilterDatabase" localSheetId="23" hidden="1">'Coverage Matrix - Theo dõi đơn'!$A$1:$M$15</definedName>
    <definedName name="_xlnm._FilterDatabase" localSheetId="24" hidden="1">'Coverage Matrix - Huỷ đơn'!$A$1:$M$6</definedName>
    <definedName name="_xlnm._FilterDatabase" localSheetId="25" hidden="1">'Coverage Matrix - Tặng quà'!$A$1:$M$4</definedName>
  </definedNames>
  <calcPr calcId="124519" fullCalcOnLoad="1" refMode="A1" iterate="0" iterateCount="100" iterateDelta="0.0001"/>
</workbook>
</file>

<file path=xl/styles.xml><?xml version="1.0" encoding="utf-8"?>
<styleSheet xmlns="http://schemas.openxmlformats.org/spreadsheetml/2006/main">
  <numFmts count="3">
    <numFmt numFmtId="164" formatCode="d\/m\/yy"/>
    <numFmt numFmtId="165" formatCode="0.0"/>
    <numFmt numFmtId="166" formatCode="0.0%"/>
  </numFmts>
  <fonts count="65">
    <font>
      <name val="Calibri"/>
      <charset val="1"/>
      <family val="0"/>
      <color theme="1"/>
      <sz val="11"/>
    </font>
    <font>
      <name val="Arial"/>
      <family val="0"/>
      <sz val="10"/>
    </font>
    <font>
      <name val="Arial"/>
      <family val="0"/>
      <sz val="10"/>
    </font>
    <font>
      <name val="Arial"/>
      <family val="0"/>
      <sz val="10"/>
    </font>
    <font>
      <name val="Arial"/>
      <charset val="1"/>
      <family val="0"/>
      <b val="1"/>
      <color rgb="FF808080"/>
      <sz val="12"/>
    </font>
    <font>
      <name val="Arial"/>
      <charset val="1"/>
      <family val="0"/>
      <b val="1"/>
      <color rgb="FFED7D31"/>
      <sz val="28"/>
    </font>
    <font>
      <name val="Arial"/>
      <charset val="1"/>
      <family val="0"/>
      <b val="1"/>
      <color rgb="FF1F1F1F"/>
      <sz val="32"/>
    </font>
    <font>
      <name val="Arial"/>
      <charset val="1"/>
      <family val="0"/>
      <i val="1"/>
      <color rgb="FF2F5496"/>
      <sz val="13"/>
    </font>
    <font>
      <name val="Arial"/>
      <charset val="1"/>
      <family val="0"/>
      <b val="1"/>
      <color rgb="FFFFFFFF"/>
      <sz val="12"/>
    </font>
    <font>
      <name val="Arial"/>
      <charset val="1"/>
      <family val="0"/>
      <b val="1"/>
      <color rgb="FF2F5496"/>
      <sz val="12"/>
    </font>
    <font>
      <name val="Arial"/>
      <charset val="1"/>
      <family val="0"/>
      <i val="1"/>
      <color rgb="FF404040"/>
      <sz val="11"/>
    </font>
    <font>
      <name val="Arial"/>
      <charset val="1"/>
      <family val="0"/>
      <i val="1"/>
      <color rgb="FF808080"/>
      <sz val="10"/>
    </font>
    <font>
      <name val="Calibri"/>
      <charset val="1"/>
      <family val="0"/>
      <color theme="1"/>
      <sz val="14"/>
    </font>
    <font>
      <name val="Arial"/>
      <charset val="1"/>
      <family val="0"/>
      <b val="1"/>
      <color rgb="FFFFFFFF"/>
      <sz val="14"/>
    </font>
    <font>
      <name val="Arial"/>
      <charset val="1"/>
      <family val="0"/>
      <b val="1"/>
      <color rgb="FF1F4E79"/>
      <sz val="10"/>
    </font>
    <font>
      <name val="Arial"/>
      <charset val="1"/>
      <family val="0"/>
      <b val="1"/>
      <color rgb="FFFF9900"/>
      <sz val="10"/>
    </font>
    <font>
      <name val="Arial"/>
      <charset val="1"/>
      <family val="0"/>
      <color rgb="FF000000"/>
      <sz val="10"/>
    </font>
    <font>
      <name val="Arial"/>
      <charset val="1"/>
      <family val="0"/>
      <b val="1"/>
      <color rgb="FFFFFFFF"/>
      <sz val="10"/>
    </font>
    <font>
      <name val="Arial"/>
      <charset val="1"/>
      <family val="0"/>
      <i val="1"/>
      <color rgb="FFFFFFFF"/>
      <sz val="10"/>
    </font>
    <font>
      <name val="Arial"/>
      <charset val="1"/>
      <family val="0"/>
      <color theme="1"/>
      <sz val="11"/>
    </font>
    <font>
      <name val="Arial"/>
      <charset val="1"/>
      <family val="0"/>
      <b val="1"/>
      <color rgb="FFFFFFFF"/>
      <sz val="11"/>
    </font>
    <font>
      <name val="Arial"/>
      <charset val="1"/>
      <family val="0"/>
      <color rgb="FF000000"/>
      <sz val="11"/>
    </font>
    <font>
      <name val="Calibri"/>
      <charset val="1"/>
      <family val="0"/>
      <color rgb="FF000000"/>
      <sz val="11"/>
    </font>
    <font>
      <name val="Arial"/>
      <charset val="1"/>
      <family val="0"/>
      <b val="1"/>
      <color rgb="FF1F4E79"/>
      <sz val="17"/>
    </font>
    <font>
      <name val="Arial"/>
      <charset val="1"/>
      <family val="0"/>
      <i val="1"/>
      <color rgb="FF808080"/>
      <sz val="9"/>
    </font>
    <font>
      <name val="Arial"/>
      <charset val="1"/>
      <family val="0"/>
      <b val="1"/>
      <color rgb="FF000000"/>
      <sz val="11"/>
    </font>
    <font>
      <name val="Arial"/>
      <charset val="1"/>
      <family val="0"/>
      <b val="1"/>
      <color rgb="FF000000"/>
      <sz val="10"/>
    </font>
    <font>
      <name val="Arial"/>
      <charset val="1"/>
      <family val="0"/>
      <i val="1"/>
      <color rgb="FF595959"/>
      <sz val="9"/>
    </font>
    <font>
      <name val="Arial"/>
      <charset val="1"/>
      <family val="0"/>
      <b val="1"/>
      <color rgb="FF1F4E79"/>
      <sz val="11"/>
    </font>
    <font>
      <name val="Calibri"/>
      <charset val="1"/>
      <family val="0"/>
      <color rgb="FF0563C1"/>
      <sz val="11"/>
      <u val="single"/>
    </font>
    <font>
      <name val="Calibri"/>
      <charset val="1"/>
      <family val="0"/>
      <b val="1"/>
      <color theme="1"/>
      <sz val="11"/>
    </font>
    <font>
      <name val="Calibri"/>
      <family val="2"/>
      <b val="1"/>
      <color rgb="FF757575"/>
      <sz val="18"/>
    </font>
    <font>
      <name val="Calibri"/>
      <family val="2"/>
      <color rgb="FF000000"/>
      <sz val="10"/>
    </font>
    <font>
      <name val="Calibri"/>
      <family val="2"/>
      <color rgb="FF1A1A1A"/>
      <sz val="10"/>
    </font>
    <font>
      <name val="Calibri"/>
      <charset val="1"/>
      <family val="0"/>
      <color theme="1"/>
      <sz val="15"/>
    </font>
    <font>
      <name val="Arial"/>
      <charset val="1"/>
      <family val="0"/>
      <b val="1"/>
      <color rgb="FF1F4E79"/>
      <sz val="15"/>
    </font>
    <font>
      <name val="Arial"/>
      <charset val="1"/>
      <family val="0"/>
      <b val="1"/>
      <color rgb="FFFFFFFF"/>
      <sz val="9"/>
    </font>
    <font>
      <name val="Arial"/>
      <charset val="1"/>
      <family val="0"/>
      <b val="1"/>
      <color theme="1"/>
      <sz val="11"/>
    </font>
    <font>
      <name val="Arial"/>
      <charset val="1"/>
      <family val="0"/>
      <b val="1"/>
      <color theme="1"/>
      <sz val="9"/>
    </font>
    <font>
      <name val="Arial"/>
      <charset val="1"/>
      <family val="0"/>
      <color theme="1"/>
      <sz val="9"/>
    </font>
    <font>
      <name val="Arial"/>
      <charset val="1"/>
      <family val="0"/>
      <color theme="1"/>
      <sz val="10"/>
    </font>
    <font>
      <name val="Arial"/>
      <charset val="1"/>
      <family val="0"/>
      <b val="1"/>
      <color rgb="FF1F4E79"/>
      <sz val="9"/>
    </font>
    <font>
      <name val="Arial"/>
      <charset val="1"/>
      <family val="0"/>
      <color rgb="FF404040"/>
      <sz val="9"/>
    </font>
    <font>
      <name val="Arial"/>
      <charset val="1"/>
      <family val="0"/>
      <b val="1"/>
      <color rgb="FF1F4E79"/>
      <sz val="14"/>
    </font>
    <font>
      <name val="Arial"/>
      <charset val="1"/>
      <family val="0"/>
      <b val="1"/>
      <color rgb="FF1F4E79"/>
      <sz val="13"/>
    </font>
    <font>
      <name val="Arial"/>
      <charset val="1"/>
      <family val="0"/>
      <i val="1"/>
      <color rgb="FF808080"/>
      <sz val="8"/>
    </font>
    <font>
      <name val="Arial"/>
      <charset val="1"/>
      <family val="0"/>
      <i val="1"/>
      <color rgb="FF7F7F7F"/>
      <sz val="9"/>
    </font>
    <font>
      <name val="Calibri"/>
      <charset val="1"/>
      <family val="0"/>
      <strike val="1"/>
      <color theme="1"/>
      <sz val="11"/>
    </font>
    <font>
      <name val="Arial"/>
      <charset val="1"/>
      <family val="0"/>
      <color rgb="FF808080"/>
      <sz val="10"/>
    </font>
    <font>
      <name val="Arial"/>
      <charset val="1"/>
      <family val="0"/>
      <color rgb="FF0000FF"/>
      <sz val="11"/>
    </font>
    <font>
      <name val="Arial"/>
      <family val="2"/>
      <sz val="10"/>
    </font>
    <font>
      <name val="Calibri"/>
      <family val="2"/>
      <b val="1"/>
      <color rgb="FF000000"/>
      <sz val="10"/>
    </font>
    <font>
      <name val="Arial"/>
      <charset val="1"/>
      <family val="0"/>
      <b val="1"/>
      <color rgb="FF808080"/>
      <sz val="9"/>
    </font>
    <font>
      <name val="Arial"/>
      <charset val="1"/>
      <family val="0"/>
      <b val="1"/>
      <color rgb="FF808080"/>
      <sz val="10"/>
    </font>
    <font>
      <name val="Arial"/>
      <charset val="1"/>
      <family val="0"/>
      <color rgb="FF008000"/>
      <sz val="11"/>
    </font>
    <font>
      <name val="Arial"/>
      <charset val="1"/>
      <family val="0"/>
      <color rgb="FF808080"/>
      <sz val="9"/>
    </font>
    <font>
      <name val="Arial"/>
      <charset val="1"/>
      <family val="0"/>
      <b val="1"/>
      <color rgb="FF1F1F1F"/>
      <sz val="15"/>
    </font>
    <font>
      <name val="Cambria"/>
      <charset val="1"/>
      <family val="0"/>
      <sz val="11"/>
    </font>
    <font>
      <name val="Cambria"/>
      <charset val="1"/>
      <family val="0"/>
      <b val="1"/>
      <color rgb="FFFFFFFF"/>
      <sz val="11"/>
    </font>
    <font>
      <name val="Cambria"/>
      <charset val="1"/>
      <family val="0"/>
      <b val="1"/>
      <sz val="11"/>
    </font>
    <font>
      <name val="Cambria"/>
      <charset val="1"/>
      <family val="0"/>
      <i val="1"/>
      <sz val="11"/>
    </font>
    <font>
      <b val="1"/>
      <color rgb="FFFFFFFF"/>
    </font>
    <font>
      <b val="1"/>
    </font>
    <font>
      <i val="1"/>
    </font>
    <font>
      <b val="1"/>
      <color rgb="00FFFFFF"/>
    </font>
  </fonts>
  <fills count="44">
    <fill>
      <patternFill/>
    </fill>
    <fill>
      <patternFill patternType="gray125"/>
    </fill>
    <fill>
      <patternFill patternType="solid">
        <fgColor rgb="FF4472C4"/>
        <bgColor rgb="FF4D81BE"/>
      </patternFill>
    </fill>
    <fill>
      <patternFill patternType="solid">
        <fgColor rgb="FFFFFFFF"/>
        <bgColor rgb="FFF2F2F2"/>
      </patternFill>
    </fill>
    <fill>
      <patternFill patternType="solid">
        <fgColor rgb="FF1F4E79"/>
        <bgColor rgb="FF2F5496"/>
      </patternFill>
    </fill>
    <fill>
      <patternFill patternType="solid">
        <fgColor rgb="FFE2EFD9"/>
        <bgColor rgb="FFE2EFDA"/>
      </patternFill>
    </fill>
    <fill>
      <patternFill patternType="solid">
        <fgColor rgb="FFC5E0B3"/>
        <bgColor rgb="FFC6EFCE"/>
      </patternFill>
    </fill>
    <fill>
      <patternFill patternType="solid">
        <fgColor rgb="FF1F6E7B"/>
        <bgColor rgb="FF2E75B6"/>
      </patternFill>
    </fill>
    <fill>
      <patternFill patternType="solid">
        <fgColor rgb="FF2E75B6"/>
        <bgColor rgb="FF4472C4"/>
      </patternFill>
    </fill>
    <fill>
      <patternFill patternType="solid">
        <fgColor rgb="FFFFF2CC"/>
        <bgColor rgb="FFFCE4D6"/>
      </patternFill>
    </fill>
    <fill>
      <patternFill patternType="solid">
        <fgColor rgb="FF31859C"/>
        <bgColor rgb="FF2E75B6"/>
      </patternFill>
    </fill>
    <fill>
      <patternFill patternType="solid">
        <fgColor rgb="FFDAEEF3"/>
        <bgColor rgb="FFDDEBF7"/>
      </patternFill>
    </fill>
    <fill>
      <patternFill patternType="solid">
        <fgColor rgb="FFF2F2F2"/>
        <bgColor rgb="FFE2EFDA"/>
      </patternFill>
    </fill>
    <fill>
      <patternFill patternType="solid">
        <fgColor rgb="FFED7D31"/>
        <bgColor rgb="FFF79646"/>
      </patternFill>
    </fill>
    <fill>
      <patternFill patternType="solid">
        <fgColor rgb="FFC9A66B"/>
        <bgColor rgb="FFB8935A"/>
      </patternFill>
    </fill>
    <fill>
      <patternFill patternType="solid">
        <fgColor rgb="FF548235"/>
        <bgColor rgb="FF757575"/>
      </patternFill>
    </fill>
    <fill>
      <patternFill patternType="solid">
        <fgColor rgb="FF305496"/>
        <bgColor rgb="FF2F5496"/>
      </patternFill>
    </fill>
    <fill>
      <patternFill patternType="solid">
        <fgColor rgb="FFDDEBF7"/>
        <bgColor rgb="FFDAEEF3"/>
      </patternFill>
    </fill>
    <fill>
      <patternFill patternType="solid">
        <fgColor rgb="FFC00000"/>
        <bgColor rgb="FFC0504D"/>
      </patternFill>
    </fill>
    <fill>
      <patternFill patternType="solid">
        <fgColor rgb="FF70AD47"/>
        <bgColor rgb="FF9BBB59"/>
      </patternFill>
    </fill>
    <fill>
      <patternFill patternType="solid">
        <fgColor rgb="FF7030A0"/>
        <bgColor rgb="FF8064A2"/>
      </patternFill>
    </fill>
    <fill>
      <patternFill patternType="solid">
        <fgColor rgb="FFA8D08D"/>
        <bgColor rgb="FFA9D08E"/>
      </patternFill>
    </fill>
    <fill>
      <patternFill patternType="solid">
        <fgColor rgb="FFA9D08E"/>
        <bgColor rgb="FFA8D08D"/>
      </patternFill>
    </fill>
    <fill>
      <patternFill patternType="solid">
        <fgColor rgb="FFE2EFDA"/>
        <bgColor rgb="FFE2EFD9"/>
      </patternFill>
    </fill>
    <fill>
      <patternFill patternType="solid">
        <fgColor rgb="FF2F5496"/>
        <bgColor rgb="FF305496"/>
      </patternFill>
    </fill>
    <fill>
      <patternFill patternType="solid">
        <fgColor rgb="FF8BAADB"/>
        <bgColor rgb="FF729FCF"/>
      </patternFill>
    </fill>
    <fill>
      <patternFill patternType="solid">
        <fgColor rgb="FFB8935A"/>
        <bgColor rgb="FFC9A66B"/>
      </patternFill>
    </fill>
    <fill>
      <patternFill patternType="solid">
        <fgColor rgb="FFD9E1F2"/>
        <bgColor rgb="FFD9E2F3"/>
      </patternFill>
    </fill>
    <fill>
      <patternFill patternType="solid">
        <fgColor rgb="FFFCE4D6"/>
        <bgColor rgb="FFFFF2CC"/>
      </patternFill>
    </fill>
    <fill>
      <patternFill patternType="solid">
        <fgColor rgb="FF729FCF"/>
        <bgColor rgb="FF8BAADB"/>
      </patternFill>
    </fill>
    <fill>
      <patternFill patternType="solid">
        <fgColor rgb="FFAFD095"/>
        <bgColor rgb="FFA9D08E"/>
      </patternFill>
    </fill>
    <fill>
      <patternFill patternType="solid">
        <fgColor rgb="FFD9D9D9"/>
        <bgColor rgb="FFD9E1F2"/>
      </patternFill>
    </fill>
    <fill>
      <patternFill patternType="solid">
        <fgColor rgb="FFD9E2F3"/>
        <bgColor rgb="FFD9E1F2"/>
      </patternFill>
    </fill>
    <fill>
      <patternFill patternType="solid">
        <fgColor rgb="FFC6EFCE"/>
        <bgColor rgb="FFC5E0B3"/>
      </patternFill>
    </fill>
    <fill>
      <patternFill patternType="solid">
        <fgColor rgb="FF4472C4"/>
        <bgColor rgb="FF4472C4"/>
      </patternFill>
    </fill>
    <fill>
      <patternFill patternType="solid">
        <fgColor rgb="FFD9D9D9"/>
        <bgColor rgb="FFD9D9D9"/>
      </patternFill>
    </fill>
    <fill>
      <patternFill patternType="solid">
        <fgColor rgb="FFD9E2F3"/>
        <bgColor rgb="FFD9E2F3"/>
      </patternFill>
    </fill>
    <fill>
      <patternFill patternType="solid">
        <fgColor rgb="00C6EFCE"/>
      </patternFill>
    </fill>
    <fill>
      <patternFill patternType="solid">
        <fgColor rgb="FFC6EFCE"/>
        <bgColor rgb="FFC6EFCE"/>
      </patternFill>
    </fill>
    <fill>
      <patternFill patternType="solid">
        <fgColor rgb="FF4472C4"/>
        <bgColor rgb="FF31859C"/>
      </patternFill>
    </fill>
    <fill>
      <patternFill patternType="solid">
        <fgColor rgb="00D9D9D9"/>
      </patternFill>
    </fill>
    <fill>
      <patternFill patternType="solid">
        <fgColor rgb="004472C4"/>
      </patternFill>
    </fill>
    <fill>
      <patternFill patternType="solid">
        <fgColor rgb="00D9E2F3"/>
      </patternFill>
    </fill>
    <fill>
      <patternFill patternType="solid">
        <fgColor rgb="00FFEB9C"/>
      </patternFill>
    </fill>
  </fills>
  <borders count="22">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right style="thin"/>
      <top style="thin"/>
      <bottom style="thin"/>
      <diagonal/>
    </border>
    <border>
      <left style="thin">
        <color rgb="FFFFFFFF"/>
      </left>
      <right style="thin">
        <color rgb="FFFFFFFF"/>
      </right>
      <top style="thin">
        <color rgb="FFFFFFFF"/>
      </top>
      <bottom style="thin">
        <color rgb="FFFFFFFF"/>
      </bottom>
      <diagonal/>
    </border>
    <border>
      <left/>
      <right/>
      <top style="thin">
        <color rgb="FFBFBFBF"/>
      </top>
      <bottom/>
      <diagonal/>
    </border>
    <border>
      <left/>
      <right style="thin">
        <color rgb="FFBFBFBF"/>
      </right>
      <top style="thin">
        <color rgb="FFBFBFBF"/>
      </top>
      <bottom/>
      <diagonal/>
    </border>
    <border>
      <left/>
      <right style="thin">
        <color rgb="FFBFBFBF"/>
      </right>
      <top style="thin">
        <color rgb="FFBFBFBF"/>
      </top>
      <bottom style="thin">
        <color rgb="FFBFBFBF"/>
      </bottom>
      <diagonal/>
    </border>
    <border>
      <left/>
      <right/>
      <top style="thin">
        <color rgb="FFBFBFBF"/>
      </top>
      <bottom style="thin">
        <color rgb="FFBFBFBF"/>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top/>
      <bottom style="thin">
        <color rgb="FFBFBFBF"/>
      </bottom>
      <diagonal/>
    </border>
    <border>
      <left/>
      <right style="thin">
        <color rgb="FFBFBFBF"/>
      </right>
      <top/>
      <bottom style="thin">
        <color rgb="FFBFBFB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73">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9" fillId="3" borderId="1" applyAlignment="1" pivotButton="0" quotePrefix="0" xfId="0">
      <alignment horizontal="center" vertical="center"/>
    </xf>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6" fillId="0" borderId="0" applyAlignment="1" pivotButton="0" quotePrefix="0" xfId="0">
      <alignment horizontal="center" vertical="center"/>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4" fillId="0" borderId="0" applyAlignment="1" pivotButton="0" quotePrefix="0" xfId="0">
      <alignment horizontal="general" vertical="bottom"/>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6"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57" fillId="30" borderId="1" applyAlignment="1" pivotButton="0" quotePrefix="0" xfId="0">
      <alignment horizontal="left" vertical="center"/>
    </xf>
    <xf numFmtId="0" fontId="16" fillId="30" borderId="1" applyAlignment="1" pivotButton="0" quotePrefix="0" xfId="0">
      <alignment horizontal="left" vertical="center"/>
    </xf>
    <xf numFmtId="0" fontId="0" fillId="0" borderId="0" applyAlignment="1" pivotButton="0" quotePrefix="0" xfId="0">
      <alignment horizontal="general" vertical="bottom"/>
    </xf>
    <xf numFmtId="0" fontId="0" fillId="0" borderId="0" applyAlignment="1" pivotButton="0" quotePrefix="0" xfId="0">
      <alignment horizontal="left" vertical="top" wrapText="1"/>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30" borderId="1" applyAlignment="1" pivotButton="0" quotePrefix="0" xfId="0">
      <alignment horizontal="left" vertical="center" wrapText="1"/>
    </xf>
    <xf numFmtId="0" fontId="0" fillId="0" borderId="0" applyAlignment="1" pivotButton="0" quotePrefix="0" xfId="0">
      <alignment horizontal="left" vertical="bottom" wrapText="1"/>
    </xf>
    <xf numFmtId="0" fontId="58" fillId="2" borderId="0" applyAlignment="1" pivotButton="0" quotePrefix="0" xfId="0">
      <alignment horizontal="general" vertical="bottom"/>
    </xf>
    <xf numFmtId="0" fontId="0" fillId="0" borderId="0" applyAlignment="1" pivotButton="0" quotePrefix="0" xfId="0">
      <alignment horizontal="general" vertical="top" wrapText="1"/>
    </xf>
    <xf numFmtId="0" fontId="0" fillId="31" borderId="0" applyAlignment="1" pivotButton="0" quotePrefix="0" xfId="0">
      <alignment horizontal="general" vertical="bottom"/>
    </xf>
    <xf numFmtId="0" fontId="0" fillId="32" borderId="0" applyAlignment="1" pivotButton="0" quotePrefix="0" xfId="0">
      <alignment horizontal="general" vertical="bottom"/>
    </xf>
    <xf numFmtId="0" fontId="0" fillId="32" borderId="0" applyAlignment="1" pivotButton="0" quotePrefix="0" xfId="0">
      <alignment horizontal="general" vertical="top" wrapText="1"/>
    </xf>
    <xf numFmtId="0" fontId="0" fillId="33" borderId="0" applyAlignment="1" pivotButton="0" quotePrefix="0" xfId="0">
      <alignment horizontal="general" vertical="bottom"/>
    </xf>
    <xf numFmtId="0" fontId="17" fillId="2" borderId="0" applyAlignment="1" pivotButton="0" quotePrefix="0" xfId="0">
      <alignment horizontal="center" vertical="center" wrapText="1"/>
    </xf>
    <xf numFmtId="0" fontId="0" fillId="32" borderId="0" applyAlignment="1" pivotButton="0" quotePrefix="0" xfId="0">
      <alignment horizontal="general" vertical="top"/>
    </xf>
    <xf numFmtId="0" fontId="0" fillId="33" borderId="0" applyAlignment="1" pivotButton="0" quotePrefix="0" xfId="0">
      <alignment horizontal="general" vertical="top"/>
    </xf>
    <xf numFmtId="0" fontId="0" fillId="31" borderId="0" applyAlignment="1" pivotButton="0" quotePrefix="0" xfId="0">
      <alignment horizontal="general" vertical="top"/>
    </xf>
    <xf numFmtId="0" fontId="0" fillId="0" borderId="0" applyAlignment="1" pivotButton="0" quotePrefix="0" xfId="0">
      <alignment horizontal="general" vertical="top"/>
    </xf>
    <xf numFmtId="0" fontId="59" fillId="0" borderId="0" applyAlignment="1" pivotButton="0" quotePrefix="0" xfId="0">
      <alignment horizontal="general" vertical="bottom"/>
    </xf>
    <xf numFmtId="0" fontId="26" fillId="29" borderId="1" applyAlignment="1" pivotButton="0" quotePrefix="0" xfId="0">
      <alignment horizontal="left" vertical="center"/>
    </xf>
    <xf numFmtId="0" fontId="16" fillId="3" borderId="1" applyAlignment="1" pivotButton="0" quotePrefix="0" xfId="0">
      <alignment horizontal="left" vertical="center" wrapText="1"/>
    </xf>
    <xf numFmtId="0" fontId="26" fillId="29" borderId="0" applyAlignment="1" pivotButton="0" quotePrefix="0" xfId="0">
      <alignment horizontal="general" vertical="top" wrapText="1"/>
    </xf>
    <xf numFmtId="0" fontId="0" fillId="3" borderId="0" applyAlignment="1" pivotButton="0" quotePrefix="0" xfId="0">
      <alignment horizontal="general" vertical="top"/>
    </xf>
    <xf numFmtId="0" fontId="57" fillId="30" borderId="0" applyAlignment="1" pivotButton="0" quotePrefix="0" xfId="0">
      <alignment horizontal="general" vertical="top" wrapText="1"/>
    </xf>
    <xf numFmtId="0" fontId="60"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right" vertical="center"/>
    </xf>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0" borderId="0" applyAlignment="1" pivotButton="0" quotePrefix="0" xfId="0">
      <alignment horizontal="center" vertical="center"/>
    </xf>
    <xf numFmtId="0" fontId="8" fillId="2" borderId="1" applyAlignment="1" pivotButton="0" quotePrefix="0" xfId="0">
      <alignment horizontal="center" vertical="center"/>
    </xf>
    <xf numFmtId="0" fontId="0" fillId="0" borderId="7" pivotButton="0" quotePrefix="0" xfId="0"/>
    <xf numFmtId="0" fontId="9" fillId="3" borderId="1" applyAlignment="1" pivotButton="0" quotePrefix="0" xfId="0">
      <alignment horizontal="center" vertical="center"/>
    </xf>
    <xf numFmtId="0" fontId="0" fillId="0" borderId="8" pivotButton="0" quotePrefix="0" xfId="0"/>
    <xf numFmtId="0" fontId="10" fillId="0" borderId="0" applyAlignment="1" pivotButton="0" quotePrefix="0" xfId="0">
      <alignment horizontal="center" vertical="center"/>
    </xf>
    <xf numFmtId="0" fontId="11" fillId="0" borderId="0" applyAlignment="1" pivotButton="0" quotePrefix="0" xfId="0">
      <alignment horizontal="center" vertical="center"/>
    </xf>
    <xf numFmtId="0" fontId="12" fillId="0" borderId="0" applyAlignment="1" pivotButton="0" quotePrefix="0" xfId="0">
      <alignment horizontal="general" vertical="bottom"/>
    </xf>
    <xf numFmtId="0" fontId="13" fillId="4" borderId="1" applyAlignment="1" pivotButton="0" quotePrefix="0" xfId="0">
      <alignment horizontal="left" vertical="center" wrapText="1"/>
    </xf>
    <xf numFmtId="0" fontId="14" fillId="5" borderId="1" applyAlignment="1" pivotButton="0" quotePrefix="0" xfId="0">
      <alignment horizontal="left" vertical="center" wrapText="1"/>
    </xf>
    <xf numFmtId="0" fontId="15" fillId="0" borderId="1" applyAlignment="1" pivotButton="0" quotePrefix="0" xfId="0">
      <alignment horizontal="left" vertical="top" wrapText="1"/>
    </xf>
    <xf numFmtId="0" fontId="16" fillId="0" borderId="1" applyAlignment="1" pivotButton="0" quotePrefix="0" xfId="0">
      <alignment horizontal="left" vertical="top" wrapText="1"/>
    </xf>
    <xf numFmtId="0" fontId="14" fillId="6" borderId="1" applyAlignment="1" pivotButton="0" quotePrefix="0" xfId="0">
      <alignment horizontal="left" vertical="center" wrapText="1"/>
    </xf>
    <xf numFmtId="0" fontId="14" fillId="6" borderId="1" applyAlignment="1" pivotButton="0" quotePrefix="0" xfId="0">
      <alignment horizontal="left" vertical="top" wrapText="1"/>
    </xf>
    <xf numFmtId="0" fontId="17" fillId="0" borderId="0" applyAlignment="1" pivotButton="0" quotePrefix="0" xfId="0">
      <alignment horizontal="left" vertical="center" wrapText="1"/>
    </xf>
    <xf numFmtId="0" fontId="16" fillId="0" borderId="0" applyAlignment="1" pivotButton="0" quotePrefix="0" xfId="0">
      <alignment horizontal="left" vertical="top" wrapText="1"/>
    </xf>
    <xf numFmtId="0" fontId="18" fillId="7" borderId="1" applyAlignment="1" pivotButton="0" quotePrefix="0" xfId="0">
      <alignment horizontal="left" vertical="center" wrapText="1"/>
    </xf>
    <xf numFmtId="0" fontId="5" fillId="0" borderId="0" applyAlignment="1" pivotButton="0" quotePrefix="0" xfId="0">
      <alignment horizontal="left" vertical="center"/>
    </xf>
    <xf numFmtId="0" fontId="19" fillId="0" borderId="0" applyAlignment="1" pivotButton="0" quotePrefix="0" xfId="0">
      <alignment horizontal="general" vertical="center"/>
    </xf>
    <xf numFmtId="0" fontId="20" fillId="8" borderId="1" applyAlignment="1" pivotButton="0" quotePrefix="0" xfId="0">
      <alignment horizontal="center" vertical="center"/>
    </xf>
    <xf numFmtId="0" fontId="19" fillId="0" borderId="0" applyAlignment="1" pivotButton="0" quotePrefix="0" xfId="0">
      <alignment horizontal="general" vertical="bottom"/>
    </xf>
    <xf numFmtId="164" fontId="21" fillId="3" borderId="2" applyAlignment="1" pivotButton="0" quotePrefix="0" xfId="0">
      <alignment horizontal="center" vertical="center" wrapText="1"/>
    </xf>
    <xf numFmtId="165" fontId="21" fillId="3" borderId="1" applyAlignment="1" pivotButton="0" quotePrefix="0" xfId="0">
      <alignment horizontal="center" vertical="bottom"/>
    </xf>
    <xf numFmtId="0" fontId="21" fillId="3" borderId="1" applyAlignment="1" pivotButton="0" quotePrefix="0" xfId="0">
      <alignment horizontal="center" vertical="bottom"/>
    </xf>
    <xf numFmtId="0" fontId="21" fillId="3" borderId="1" applyAlignment="1" pivotButton="0" quotePrefix="0" xfId="0">
      <alignment horizontal="general" vertical="bottom"/>
    </xf>
    <xf numFmtId="0" fontId="21" fillId="3" borderId="1" applyAlignment="1" pivotButton="0" quotePrefix="0" xfId="0">
      <alignment horizontal="general" vertical="top"/>
    </xf>
    <xf numFmtId="0" fontId="22" fillId="3" borderId="1" applyAlignment="1" pivotButton="0" quotePrefix="0" xfId="0">
      <alignment horizontal="general" vertical="bottom"/>
    </xf>
    <xf numFmtId="0" fontId="22" fillId="3" borderId="1" applyAlignment="1" pivotButton="0" quotePrefix="0" xfId="0">
      <alignment horizontal="general" vertical="top"/>
    </xf>
    <xf numFmtId="164" fontId="21" fillId="3" borderId="2" applyAlignment="1" pivotButton="0" quotePrefix="0" xfId="0">
      <alignment horizontal="left" vertical="center" wrapText="1"/>
    </xf>
    <xf numFmtId="0" fontId="22" fillId="3" borderId="1" applyAlignment="1" pivotButton="0" quotePrefix="0" xfId="0">
      <alignment horizontal="center" vertical="bottom"/>
    </xf>
    <xf numFmtId="0" fontId="23" fillId="0" borderId="0" applyAlignment="1" pivotButton="0" quotePrefix="0" xfId="0">
      <alignment horizontal="general" vertical="bottom"/>
    </xf>
    <xf numFmtId="0" fontId="24" fillId="0" borderId="0" applyAlignment="1" pivotButton="0" quotePrefix="0" xfId="0">
      <alignment horizontal="general" vertical="bottom"/>
    </xf>
    <xf numFmtId="0" fontId="8" fillId="4" borderId="1" applyAlignment="1" pivotButton="0" quotePrefix="0" xfId="0">
      <alignment horizontal="left" vertical="center" wrapText="1"/>
    </xf>
    <xf numFmtId="0" fontId="25" fillId="6" borderId="1" applyAlignment="1" pivotButton="0" quotePrefix="0" xfId="0">
      <alignment horizontal="left" vertical="center" wrapText="1"/>
    </xf>
    <xf numFmtId="0" fontId="21" fillId="9" borderId="1" applyAlignment="1" pivotButton="0" quotePrefix="0" xfId="0">
      <alignment horizontal="left" vertical="center" wrapText="1"/>
    </xf>
    <xf numFmtId="0" fontId="21" fillId="0" borderId="1" applyAlignment="1" pivotButton="0" quotePrefix="0" xfId="0">
      <alignment horizontal="left" vertical="center" wrapText="1"/>
    </xf>
    <xf numFmtId="164" fontId="21" fillId="9" borderId="1" applyAlignment="1" pivotButton="0" quotePrefix="0" xfId="0">
      <alignment horizontal="left" vertical="center" wrapText="1"/>
    </xf>
    <xf numFmtId="0" fontId="26" fillId="5" borderId="1" applyAlignment="1" pivotButton="0" quotePrefix="0" xfId="0">
      <alignment horizontal="left" vertical="center" wrapText="1"/>
    </xf>
    <xf numFmtId="1" fontId="26" fillId="6" borderId="1" applyAlignment="1" pivotButton="0" quotePrefix="0" xfId="0">
      <alignment horizontal="center" vertical="center" wrapText="1"/>
    </xf>
    <xf numFmtId="166" fontId="25" fillId="0" borderId="0" applyAlignment="1" pivotButton="0" quotePrefix="0" xfId="0">
      <alignment horizontal="center" vertical="center"/>
    </xf>
    <xf numFmtId="0" fontId="21" fillId="0" borderId="0" applyAlignment="1" pivotButton="0" quotePrefix="0" xfId="0">
      <alignment horizontal="left" vertical="center" wrapText="1"/>
    </xf>
    <xf numFmtId="1" fontId="21" fillId="0" borderId="0" applyAlignment="1" pivotButton="0" quotePrefix="0" xfId="0">
      <alignment horizontal="center" vertical="center"/>
    </xf>
    <xf numFmtId="0" fontId="17" fillId="4" borderId="1" applyAlignment="1" pivotButton="0" quotePrefix="0" xfId="0">
      <alignment horizontal="left" vertical="center" wrapText="1"/>
    </xf>
    <xf numFmtId="0" fontId="17" fillId="4" borderId="1" applyAlignment="1" pivotButton="0" quotePrefix="0" xfId="0">
      <alignment horizontal="center" vertical="center" wrapText="1"/>
    </xf>
    <xf numFmtId="1" fontId="17" fillId="4" borderId="1" applyAlignment="1" pivotButton="0" quotePrefix="0" xfId="0">
      <alignment horizontal="center" vertical="center" wrapText="1"/>
    </xf>
    <xf numFmtId="166" fontId="17" fillId="4" borderId="1" applyAlignment="1" pivotButton="0" quotePrefix="0" xfId="0">
      <alignment horizontal="center" vertical="center" wrapText="1"/>
    </xf>
    <xf numFmtId="0" fontId="26" fillId="0" borderId="1" applyAlignment="1" pivotButton="0" quotePrefix="0" xfId="0">
      <alignment horizontal="left" vertical="center" wrapText="1"/>
    </xf>
    <xf numFmtId="1" fontId="16" fillId="0" borderId="1" applyAlignment="1" pivotButton="0" quotePrefix="0" xfId="0">
      <alignment horizontal="center" vertical="center" wrapText="1"/>
    </xf>
    <xf numFmtId="166"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26" fillId="6" borderId="1" applyAlignment="1" pivotButton="0" quotePrefix="0" xfId="0">
      <alignment horizontal="left" vertical="center" wrapText="1"/>
    </xf>
    <xf numFmtId="166" fontId="26" fillId="6" borderId="1" applyAlignment="1" pivotButton="0" quotePrefix="0" xfId="0">
      <alignment horizontal="center" vertical="center" wrapText="1"/>
    </xf>
    <xf numFmtId="0" fontId="13" fillId="4" borderId="2" applyAlignment="1" pivotButton="0" quotePrefix="0" xfId="0">
      <alignment horizontal="left" vertical="center" wrapText="1"/>
    </xf>
    <xf numFmtId="0" fontId="20" fillId="10" borderId="1" applyAlignment="1" pivotButton="0" quotePrefix="0" xfId="0">
      <alignment horizontal="left" vertical="center" wrapText="1"/>
    </xf>
    <xf numFmtId="0" fontId="20" fillId="10" borderId="1" applyAlignment="1" pivotButton="0" quotePrefix="0" xfId="0">
      <alignment horizontal="center" vertical="center"/>
    </xf>
    <xf numFmtId="0" fontId="21" fillId="11" borderId="1" applyAlignment="1" pivotButton="0" quotePrefix="0" xfId="0">
      <alignment horizontal="left" vertical="center" wrapText="1"/>
    </xf>
    <xf numFmtId="0" fontId="21" fillId="11" borderId="1" applyAlignment="1" pivotButton="0" quotePrefix="0" xfId="0">
      <alignment horizontal="center" vertical="center"/>
    </xf>
    <xf numFmtId="166" fontId="21" fillId="11" borderId="1" applyAlignment="1" pivotButton="0" quotePrefix="0" xfId="0">
      <alignment horizontal="center" vertical="center"/>
    </xf>
    <xf numFmtId="0" fontId="24" fillId="0" borderId="0" applyAlignment="1" pivotButton="0" quotePrefix="0" xfId="0">
      <alignment horizontal="left" vertical="center" wrapText="1"/>
    </xf>
    <xf numFmtId="0" fontId="27" fillId="0" borderId="0" applyAlignment="1" pivotButton="0" quotePrefix="0" xfId="0">
      <alignment horizontal="general" vertical="bottom" wrapText="1"/>
    </xf>
    <xf numFmtId="0" fontId="28" fillId="5" borderId="1" applyAlignment="1" pivotButton="0" quotePrefix="0" xfId="0">
      <alignment horizontal="left" vertical="center" wrapText="1"/>
    </xf>
    <xf numFmtId="0" fontId="0" fillId="0" borderId="5" pivotButton="0" quotePrefix="0" xfId="0"/>
    <xf numFmtId="0" fontId="0" fillId="0" borderId="6"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0" applyAlignment="1" pivotButton="0" quotePrefix="0" xfId="0">
      <alignment horizontal="center" vertical="bottom" wrapText="1"/>
    </xf>
    <xf numFmtId="0" fontId="29" fillId="0" borderId="0" applyAlignment="1" pivotButton="0" quotePrefix="0" xfId="0">
      <alignment horizontal="general" vertical="bottom"/>
    </xf>
    <xf numFmtId="0" fontId="0" fillId="0" borderId="0" applyAlignment="1" pivotButton="0" quotePrefix="0" xfId="0">
      <alignment horizontal="general" vertical="bottom" wrapText="1"/>
    </xf>
    <xf numFmtId="0" fontId="30" fillId="0" borderId="0" applyAlignment="1" pivotButton="0" quotePrefix="0" xfId="0">
      <alignment horizontal="center" vertical="bottom" wrapText="1"/>
    </xf>
    <xf numFmtId="9" fontId="30" fillId="0" borderId="0" applyAlignment="1" pivotButton="0" quotePrefix="0" xfId="0">
      <alignment horizontal="center" vertical="bottom"/>
    </xf>
    <xf numFmtId="9" fontId="19" fillId="0" borderId="0" applyAlignment="1" pivotButton="0" quotePrefix="0" xfId="0">
      <alignment horizontal="general" vertical="bottom"/>
    </xf>
    <xf numFmtId="0" fontId="34" fillId="0" borderId="0" applyAlignment="1" pivotButton="0" quotePrefix="0" xfId="0">
      <alignment horizontal="general" vertical="bottom"/>
    </xf>
    <xf numFmtId="0" fontId="35" fillId="0" borderId="0" applyAlignment="1" pivotButton="0" quotePrefix="0" xfId="0">
      <alignment horizontal="left" vertical="center" wrapText="1"/>
    </xf>
    <xf numFmtId="0" fontId="0" fillId="12" borderId="1" applyAlignment="1" pivotButton="0" quotePrefix="0" xfId="0">
      <alignment horizontal="general" vertical="bottom"/>
    </xf>
    <xf numFmtId="0" fontId="17" fillId="13" borderId="2" applyAlignment="1" pivotButton="0" quotePrefix="0" xfId="0">
      <alignment horizontal="center" vertical="center" wrapText="1"/>
    </xf>
    <xf numFmtId="0" fontId="17" fillId="2" borderId="2" applyAlignment="1" pivotButton="0" quotePrefix="0" xfId="0">
      <alignment horizontal="center" vertical="center" wrapText="1"/>
    </xf>
    <xf numFmtId="0" fontId="17" fillId="14" borderId="2" applyAlignment="1" pivotButton="0" quotePrefix="0" xfId="0">
      <alignment horizontal="center" vertical="center" wrapText="1"/>
    </xf>
    <xf numFmtId="0" fontId="17" fillId="10" borderId="2" applyAlignment="1" pivotButton="0" quotePrefix="0" xfId="0">
      <alignment horizontal="center" vertical="center" wrapText="1"/>
    </xf>
    <xf numFmtId="0" fontId="17" fillId="4" borderId="2" applyAlignment="1" pivotButton="0" quotePrefix="0" xfId="0">
      <alignment horizontal="center" vertical="center" wrapText="1"/>
    </xf>
    <xf numFmtId="0" fontId="36" fillId="15" borderId="1" applyAlignment="1" pivotButton="0" quotePrefix="0" xfId="0">
      <alignment horizontal="center" vertical="center" wrapText="1"/>
    </xf>
    <xf numFmtId="0" fontId="37" fillId="0" borderId="0" applyAlignment="1" pivotButton="0" quotePrefix="0" xfId="0">
      <alignment horizontal="center" vertical="bottom"/>
    </xf>
    <xf numFmtId="0" fontId="36" fillId="16" borderId="1" applyAlignment="1" pivotButton="0" quotePrefix="0" xfId="0">
      <alignment horizontal="center" vertical="center" wrapText="1"/>
    </xf>
    <xf numFmtId="0" fontId="36" fillId="2" borderId="1" applyAlignment="1" pivotButton="0" quotePrefix="0" xfId="0">
      <alignment horizontal="center" vertical="center" wrapText="1"/>
    </xf>
    <xf numFmtId="0" fontId="36" fillId="14" borderId="1" applyAlignment="1" pivotButton="0" quotePrefix="0" xfId="0">
      <alignment horizontal="center" vertical="center" wrapText="1"/>
    </xf>
    <xf numFmtId="0" fontId="36" fillId="10" borderId="1" applyAlignment="1" pivotButton="0" quotePrefix="0" xfId="0">
      <alignment horizontal="center" vertical="center" wrapText="1"/>
    </xf>
    <xf numFmtId="0" fontId="36" fillId="4" borderId="1" applyAlignment="1" pivotButton="0" quotePrefix="0" xfId="0">
      <alignment horizontal="center" vertical="center" wrapText="1"/>
    </xf>
    <xf numFmtId="0" fontId="38" fillId="17" borderId="3" applyAlignment="1" pivotButton="0" quotePrefix="0" xfId="0">
      <alignment horizontal="center" vertical="bottom" wrapText="1"/>
    </xf>
    <xf numFmtId="0" fontId="39" fillId="0" borderId="1" applyAlignment="1" pivotButton="0" quotePrefix="0" xfId="0">
      <alignment horizontal="center" vertical="center" wrapText="1"/>
    </xf>
    <xf numFmtId="0" fontId="39" fillId="9" borderId="1" applyAlignment="1" pivotButton="0" quotePrefix="0" xfId="0">
      <alignment horizontal="center" vertical="center" wrapText="1"/>
    </xf>
    <xf numFmtId="0" fontId="39" fillId="9" borderId="1" applyAlignment="1" pivotButton="0" quotePrefix="0" xfId="0">
      <alignment horizontal="left" vertical="center" wrapText="1"/>
    </xf>
    <xf numFmtId="166" fontId="39" fillId="0" borderId="1" applyAlignment="1" pivotButton="0" quotePrefix="0" xfId="0">
      <alignment horizontal="center" vertical="center" wrapText="1"/>
    </xf>
    <xf numFmtId="0" fontId="40" fillId="0" borderId="1" applyAlignment="1" pivotButton="0" quotePrefix="0" xfId="0">
      <alignment horizontal="center" vertical="center"/>
    </xf>
    <xf numFmtId="0" fontId="40" fillId="0" borderId="0" applyAlignment="1" pivotButton="0" quotePrefix="0" xfId="0">
      <alignment horizontal="center" vertical="center"/>
    </xf>
    <xf numFmtId="0" fontId="38" fillId="6" borderId="1" applyAlignment="1" pivotButton="0" quotePrefix="0" xfId="0">
      <alignment horizontal="center" vertical="center" wrapText="1"/>
    </xf>
    <xf numFmtId="0" fontId="38" fillId="6" borderId="1" applyAlignment="1" pivotButton="0" quotePrefix="0" xfId="0">
      <alignment horizontal="left" vertical="center" wrapText="1"/>
    </xf>
    <xf numFmtId="166" fontId="38" fillId="6" borderId="1" applyAlignment="1" pivotButton="0" quotePrefix="0" xfId="0">
      <alignment horizontal="center" vertical="center" wrapText="1"/>
    </xf>
    <xf numFmtId="0" fontId="26" fillId="6" borderId="1" applyAlignment="1" pivotButton="0" quotePrefix="0" xfId="0">
      <alignment horizontal="center" vertical="center"/>
    </xf>
    <xf numFmtId="0" fontId="37" fillId="0" borderId="0" applyAlignment="1" pivotButton="0" quotePrefix="0" xfId="0">
      <alignment horizontal="center" vertical="center"/>
    </xf>
    <xf numFmtId="0" fontId="37" fillId="0" borderId="0" applyAlignment="1" pivotButton="0" quotePrefix="0" xfId="0">
      <alignment horizontal="general" vertical="bottom"/>
    </xf>
    <xf numFmtId="0" fontId="41" fillId="0" borderId="0" applyAlignment="1" pivotButton="0" quotePrefix="0" xfId="0">
      <alignment horizontal="left" vertical="center" wrapText="1"/>
    </xf>
    <xf numFmtId="0" fontId="42" fillId="0" borderId="0" applyAlignment="1" pivotButton="0" quotePrefix="0" xfId="0">
      <alignment horizontal="left" vertical="center" wrapText="1"/>
    </xf>
    <xf numFmtId="0" fontId="43" fillId="0" borderId="0" applyAlignment="1" pivotButton="0" quotePrefix="0" xfId="0">
      <alignment horizontal="general" vertical="bottom"/>
    </xf>
    <xf numFmtId="0" fontId="8" fillId="4" borderId="1" applyAlignment="1" pivotButton="0" quotePrefix="0" xfId="0">
      <alignment horizontal="center" vertical="center" wrapText="1"/>
    </xf>
    <xf numFmtId="0" fontId="25" fillId="5" borderId="1" applyAlignment="1" pivotButton="0" quotePrefix="0" xfId="0">
      <alignment horizontal="left" vertical="center" wrapText="1"/>
    </xf>
    <xf numFmtId="0" fontId="17" fillId="13" borderId="1" applyAlignment="1" pivotButton="0" quotePrefix="0" xfId="0">
      <alignment horizontal="left" vertical="center" wrapText="1"/>
    </xf>
    <xf numFmtId="1" fontId="44" fillId="3" borderId="1" applyAlignment="1" pivotButton="0" quotePrefix="0" xfId="0">
      <alignment horizontal="center" vertical="center"/>
    </xf>
    <xf numFmtId="0" fontId="17" fillId="18" borderId="1" applyAlignment="1" pivotButton="0" quotePrefix="0" xfId="0">
      <alignment horizontal="left" vertical="center" wrapText="1"/>
    </xf>
    <xf numFmtId="0" fontId="17" fillId="19" borderId="1" applyAlignment="1" pivotButton="0" quotePrefix="0" xfId="0">
      <alignment horizontal="left" vertical="center" wrapText="1"/>
    </xf>
    <xf numFmtId="166" fontId="44" fillId="3" borderId="1" applyAlignment="1" pivotButton="0" quotePrefix="0" xfId="0">
      <alignment horizontal="center" vertical="center"/>
    </xf>
    <xf numFmtId="0" fontId="17" fillId="2" borderId="1" applyAlignment="1" pivotButton="0" quotePrefix="0" xfId="0">
      <alignment horizontal="left" vertical="center" wrapText="1"/>
    </xf>
    <xf numFmtId="0" fontId="24" fillId="0" borderId="1" applyAlignment="1" pivotButton="0" quotePrefix="0" xfId="0">
      <alignment horizontal="left" vertical="top" wrapText="1"/>
    </xf>
    <xf numFmtId="0" fontId="17" fillId="10" borderId="1" applyAlignment="1" pivotButton="0" quotePrefix="0" xfId="0">
      <alignment horizontal="left" vertical="center" wrapText="1"/>
    </xf>
    <xf numFmtId="0" fontId="0" fillId="0" borderId="9" pivotButton="0" quotePrefix="0" xfId="0"/>
    <xf numFmtId="0" fontId="0" fillId="0" borderId="10" pivotButton="0" quotePrefix="0" xfId="0"/>
    <xf numFmtId="0" fontId="17" fillId="20" borderId="1" applyAlignment="1" pivotButton="0" quotePrefix="0" xfId="0">
      <alignment horizontal="left" vertical="center" wrapText="1"/>
    </xf>
    <xf numFmtId="0" fontId="17" fillId="15" borderId="1" applyAlignment="1" pivotButton="0" quotePrefix="0" xfId="0">
      <alignment horizontal="left" vertical="center" wrapText="1"/>
    </xf>
    <xf numFmtId="0" fontId="45" fillId="0" borderId="0" applyAlignment="1" pivotButton="0" quotePrefix="0" xfId="0">
      <alignment horizontal="general" vertical="bottom" wrapText="1"/>
    </xf>
    <xf numFmtId="0" fontId="13" fillId="4" borderId="1" applyAlignment="1" pivotButton="0" quotePrefix="0" xfId="0">
      <alignment horizontal="center" vertical="center" wrapText="1"/>
    </xf>
    <xf numFmtId="0" fontId="44" fillId="0" borderId="0" applyAlignment="1" pivotButton="0" quotePrefix="0" xfId="0">
      <alignment horizontal="general" vertical="bottom"/>
    </xf>
    <xf numFmtId="0" fontId="25" fillId="21" borderId="1" applyAlignment="1" pivotButton="0" quotePrefix="0" xfId="0">
      <alignment horizontal="center" vertical="center" wrapText="1"/>
    </xf>
    <xf numFmtId="0" fontId="25" fillId="6" borderId="1" applyAlignment="1" pivotButton="0" quotePrefix="0" xfId="0">
      <alignment horizontal="center" vertical="center" wrapText="1"/>
    </xf>
    <xf numFmtId="1" fontId="21" fillId="0" borderId="1" applyAlignment="1" pivotButton="0" quotePrefix="0" xfId="0">
      <alignment horizontal="center" vertical="center"/>
    </xf>
    <xf numFmtId="1" fontId="21" fillId="5" borderId="1" applyAlignment="1" pivotButton="0" quotePrefix="0" xfId="0">
      <alignment horizontal="center" vertical="center"/>
    </xf>
    <xf numFmtId="1" fontId="21" fillId="6" borderId="1" applyAlignment="1" pivotButton="0" quotePrefix="0" xfId="0">
      <alignment horizontal="center" vertical="center"/>
    </xf>
    <xf numFmtId="0" fontId="16" fillId="0" borderId="1" applyAlignment="1" pivotButton="0" quotePrefix="0" xfId="0">
      <alignment horizontal="center" vertical="center" wrapText="1"/>
    </xf>
    <xf numFmtId="1" fontId="16" fillId="5" borderId="1" applyAlignment="1" pivotButton="0" quotePrefix="0" xfId="0">
      <alignment horizontal="center" vertical="center" wrapText="1"/>
    </xf>
    <xf numFmtId="0" fontId="26" fillId="6" borderId="1" applyAlignment="1" pivotButton="0" quotePrefix="0" xfId="0">
      <alignment horizontal="center" vertical="center" wrapText="1"/>
    </xf>
    <xf numFmtId="0" fontId="16" fillId="6" borderId="1" applyAlignment="1" pivotButton="0" quotePrefix="0" xfId="0">
      <alignment horizontal="center" vertical="center" wrapText="1"/>
    </xf>
    <xf numFmtId="0" fontId="27" fillId="0" borderId="4" applyAlignment="1" pivotButton="0" quotePrefix="0" xfId="0">
      <alignment horizontal="left" vertical="center" wrapText="1"/>
    </xf>
    <xf numFmtId="0" fontId="0" fillId="0" borderId="16" pivotButton="0" quotePrefix="0" xfId="0"/>
    <xf numFmtId="0" fontId="0" fillId="0" borderId="17" pivotButton="0" quotePrefix="0" xfId="0"/>
    <xf numFmtId="0" fontId="21" fillId="0" borderId="1" applyAlignment="1" pivotButton="0" quotePrefix="0" xfId="0">
      <alignment horizontal="center" vertical="center"/>
    </xf>
    <xf numFmtId="166" fontId="21" fillId="0" borderId="1" applyAlignment="1" pivotButton="0" quotePrefix="0" xfId="0">
      <alignment horizontal="center" vertical="center"/>
    </xf>
    <xf numFmtId="0" fontId="21" fillId="6" borderId="1" applyAlignment="1" pivotButton="0" quotePrefix="0" xfId="0">
      <alignment horizontal="general" vertical="bottom"/>
    </xf>
    <xf numFmtId="166" fontId="21" fillId="6" borderId="1" applyAlignment="1" pivotButton="0" quotePrefix="0" xfId="0">
      <alignment horizontal="center" vertical="center"/>
    </xf>
    <xf numFmtId="0" fontId="46" fillId="0" borderId="0" applyAlignment="1" pivotButton="0" quotePrefix="0" xfId="0">
      <alignment horizontal="left" vertical="center" wrapText="1"/>
    </xf>
    <xf numFmtId="0" fontId="47" fillId="0" borderId="0" applyAlignment="1" pivotButton="0" quotePrefix="0" xfId="0">
      <alignment horizontal="general" vertical="bottom"/>
    </xf>
    <xf numFmtId="0" fontId="25" fillId="5" borderId="1" applyAlignment="1" pivotButton="0" quotePrefix="0" xfId="0">
      <alignment horizontal="center" vertical="center"/>
    </xf>
    <xf numFmtId="0" fontId="20" fillId="10" borderId="1" applyAlignment="1" pivotButton="0" quotePrefix="0" xfId="0">
      <alignment horizontal="center" vertical="center" wrapText="1"/>
    </xf>
    <xf numFmtId="0" fontId="17" fillId="15" borderId="1" applyAlignment="1" pivotButton="0" quotePrefix="0" xfId="0">
      <alignment horizontal="center" vertical="center" wrapText="1"/>
    </xf>
    <xf numFmtId="0" fontId="16" fillId="11" borderId="1" applyAlignment="1" pivotButton="0" quotePrefix="0" xfId="0">
      <alignment horizontal="left" vertical="center" wrapText="1"/>
    </xf>
    <xf numFmtId="166" fontId="48" fillId="9" borderId="1" applyAlignment="1" pivotButton="0" quotePrefix="0" xfId="0">
      <alignment horizontal="center" vertical="center" wrapText="1"/>
    </xf>
    <xf numFmtId="166" fontId="16" fillId="9" borderId="1" applyAlignment="1" pivotButton="0" quotePrefix="0" xfId="0">
      <alignment horizontal="center" vertical="center" wrapText="1"/>
    </xf>
    <xf numFmtId="1" fontId="16" fillId="9" borderId="1" applyAlignment="1" pivotButton="0" quotePrefix="0" xfId="0">
      <alignment horizontal="center" vertical="center" wrapText="1"/>
    </xf>
    <xf numFmtId="0" fontId="25" fillId="0" borderId="0" applyAlignment="1" pivotButton="0" quotePrefix="0" xfId="0">
      <alignment horizontal="left" vertical="center" wrapText="1"/>
    </xf>
    <xf numFmtId="1" fontId="49" fillId="0" borderId="0" applyAlignment="1" pivotButton="0" quotePrefix="0" xfId="0">
      <alignment horizontal="center" vertical="center"/>
    </xf>
    <xf numFmtId="0" fontId="24" fillId="0" borderId="0" applyAlignment="1" pivotButton="0" quotePrefix="0" xfId="0">
      <alignment horizontal="general" vertical="bottom" wrapText="1"/>
    </xf>
    <xf numFmtId="0" fontId="44" fillId="0" borderId="0" applyAlignment="1" pivotButton="0" quotePrefix="0" xfId="0">
      <alignment horizontal="left" vertical="center" wrapText="1"/>
    </xf>
    <xf numFmtId="0" fontId="37" fillId="22" borderId="3" applyAlignment="1" pivotButton="0" quotePrefix="0" xfId="0">
      <alignment horizontal="center" vertical="center" wrapText="1"/>
    </xf>
    <xf numFmtId="0" fontId="0" fillId="0" borderId="20" pivotButton="0" quotePrefix="0" xfId="0"/>
    <xf numFmtId="0" fontId="0" fillId="0" borderId="21" pivotButton="0" quotePrefix="0" xfId="0"/>
    <xf numFmtId="0" fontId="37" fillId="6" borderId="3" applyAlignment="1" pivotButton="0" quotePrefix="0" xfId="0">
      <alignment horizontal="center" vertical="center" wrapText="1"/>
    </xf>
    <xf numFmtId="1" fontId="37" fillId="6" borderId="3" applyAlignment="1" pivotButton="0" quotePrefix="0" xfId="0">
      <alignment horizontal="center" vertical="center" wrapText="1"/>
    </xf>
    <xf numFmtId="166" fontId="37" fillId="6" borderId="3" applyAlignment="1" pivotButton="0" quotePrefix="0" xfId="0">
      <alignment horizontal="center" vertical="center" wrapText="1"/>
    </xf>
    <xf numFmtId="0" fontId="37" fillId="11" borderId="3" applyAlignment="1" pivotButton="0" quotePrefix="0" xfId="0">
      <alignment horizontal="left" vertical="center" wrapText="1"/>
    </xf>
    <xf numFmtId="1" fontId="21" fillId="9" borderId="3" applyAlignment="1" pivotButton="0" quotePrefix="0" xfId="0">
      <alignment horizontal="left" vertical="center" wrapText="1"/>
    </xf>
    <xf numFmtId="1" fontId="21" fillId="0" borderId="3" applyAlignment="1" pivotButton="0" quotePrefix="0" xfId="0">
      <alignment horizontal="center" vertical="center" wrapText="1"/>
    </xf>
    <xf numFmtId="166" fontId="21" fillId="0" borderId="3" applyAlignment="1" pivotButton="0" quotePrefix="0" xfId="0">
      <alignment horizontal="center" vertical="center" wrapText="1"/>
    </xf>
    <xf numFmtId="0" fontId="37" fillId="23" borderId="3" applyAlignment="1" pivotButton="0" quotePrefix="0" xfId="0">
      <alignment horizontal="left" vertical="center" wrapText="1"/>
    </xf>
    <xf numFmtId="1" fontId="21" fillId="23" borderId="3" applyAlignment="1" pivotButton="0" quotePrefix="0" xfId="0">
      <alignment horizontal="center" vertical="center" wrapText="1"/>
    </xf>
    <xf numFmtId="166" fontId="21" fillId="23" borderId="3" applyAlignment="1" pivotButton="0" quotePrefix="0" xfId="0">
      <alignment horizontal="center" vertical="center" wrapText="1"/>
    </xf>
    <xf numFmtId="0" fontId="19" fillId="0" borderId="0" applyAlignment="1" pivotButton="0" quotePrefix="0" xfId="0">
      <alignment horizontal="left" vertical="center" wrapText="1"/>
    </xf>
    <xf numFmtId="1" fontId="19" fillId="0" borderId="0" applyAlignment="1" pivotButton="0" quotePrefix="0" xfId="0">
      <alignment horizontal="center" vertical="center" wrapText="1"/>
    </xf>
    <xf numFmtId="166" fontId="19" fillId="0" borderId="0" applyAlignment="1" pivotButton="0" quotePrefix="0" xfId="0">
      <alignment horizontal="center" vertical="center" wrapText="1"/>
    </xf>
    <xf numFmtId="0" fontId="37" fillId="11" borderId="3" applyAlignment="1" pivotButton="0" quotePrefix="0" xfId="0">
      <alignment horizontal="center" vertical="center" wrapText="1"/>
    </xf>
    <xf numFmtId="0" fontId="21" fillId="0" borderId="3" applyAlignment="1" pivotButton="0" quotePrefix="0" xfId="0">
      <alignment horizontal="center" vertical="center" wrapText="1"/>
    </xf>
    <xf numFmtId="1" fontId="37" fillId="11" borderId="3" applyAlignment="1" pivotButton="0" quotePrefix="0" xfId="0">
      <alignment horizontal="center" vertical="center" wrapText="1"/>
    </xf>
    <xf numFmtId="1" fontId="37" fillId="23" borderId="3" applyAlignment="1" pivotButton="0" quotePrefix="0" xfId="0">
      <alignment horizontal="center" vertical="center" wrapText="1"/>
    </xf>
    <xf numFmtId="0" fontId="37" fillId="23" borderId="3" applyAlignment="1" pivotButton="0" quotePrefix="0" xfId="0">
      <alignment horizontal="center" vertical="center" wrapText="1"/>
    </xf>
    <xf numFmtId="1" fontId="24" fillId="0" borderId="0" applyAlignment="1" pivotButton="0" quotePrefix="0" xfId="0">
      <alignment horizontal="left" vertical="center" wrapText="1"/>
    </xf>
    <xf numFmtId="0" fontId="19" fillId="0" borderId="0" applyAlignment="1" pivotButton="0" quotePrefix="0" xfId="0">
      <alignment horizontal="center" vertical="center" wrapText="1"/>
    </xf>
    <xf numFmtId="0" fontId="19" fillId="0" borderId="0" applyAlignment="1" pivotButton="0" quotePrefix="0" xfId="0">
      <alignment horizontal="general" vertical="bottom" wrapText="1"/>
    </xf>
    <xf numFmtId="0" fontId="20" fillId="4" borderId="0" applyAlignment="1" pivotButton="0" quotePrefix="0" xfId="0">
      <alignment horizontal="center" vertical="center" wrapText="1"/>
    </xf>
    <xf numFmtId="0" fontId="20" fillId="13" borderId="0" applyAlignment="1" pivotButton="0" quotePrefix="0" xfId="0">
      <alignment horizontal="center" vertical="center" wrapText="1"/>
    </xf>
    <xf numFmtId="0" fontId="52" fillId="0" borderId="0" applyAlignment="1" pivotButton="0" quotePrefix="0" xfId="0">
      <alignment horizontal="general" vertical="bottom"/>
    </xf>
    <xf numFmtId="0" fontId="53" fillId="0" borderId="0" applyAlignment="1" pivotButton="0" quotePrefix="0" xfId="0">
      <alignment horizontal="general" vertical="bottom"/>
    </xf>
    <xf numFmtId="0" fontId="21" fillId="9" borderId="1" applyAlignment="1" pivotButton="0" quotePrefix="0" xfId="0">
      <alignment horizontal="center" vertical="center"/>
    </xf>
    <xf numFmtId="0" fontId="54" fillId="0" borderId="0" applyAlignment="1" pivotButton="0" quotePrefix="0" xfId="0">
      <alignment horizontal="center" vertical="center"/>
    </xf>
    <xf numFmtId="0" fontId="55" fillId="0" borderId="0" applyAlignment="1" pivotButton="0" quotePrefix="0" xfId="0">
      <alignment horizontal="general" vertical="bottom"/>
    </xf>
    <xf numFmtId="0" fontId="56" fillId="0" borderId="0" applyAlignment="1" pivotButton="0" quotePrefix="0" xfId="0">
      <alignment horizontal="left" vertical="center"/>
    </xf>
    <xf numFmtId="0" fontId="11" fillId="0" borderId="0" applyAlignment="1" pivotButton="0" quotePrefix="0" xfId="0">
      <alignment horizontal="left" vertical="center"/>
    </xf>
    <xf numFmtId="0" fontId="26" fillId="11" borderId="1" applyAlignment="1" pivotButton="0" quotePrefix="0" xfId="0">
      <alignment horizontal="center" vertical="center" wrapText="1"/>
    </xf>
    <xf numFmtId="0" fontId="21" fillId="6" borderId="1" applyAlignment="1" pivotButton="0" quotePrefix="0" xfId="0">
      <alignment horizontal="center" vertical="center"/>
    </xf>
    <xf numFmtId="0" fontId="26" fillId="0" borderId="0" applyAlignment="1" pivotButton="0" quotePrefix="0" xfId="0">
      <alignment horizontal="left" vertical="center"/>
    </xf>
    <xf numFmtId="0" fontId="20" fillId="24" borderId="1" applyAlignment="1" pivotButton="0" quotePrefix="0" xfId="0">
      <alignment horizontal="left" vertical="center" wrapText="1"/>
    </xf>
    <xf numFmtId="0" fontId="21" fillId="3" borderId="1" applyAlignment="1" pivotButton="0" quotePrefix="0" xfId="0">
      <alignment horizontal="left" vertical="center" wrapText="1"/>
    </xf>
    <xf numFmtId="0" fontId="20" fillId="25" borderId="1" applyAlignment="1" pivotButton="0" quotePrefix="0" xfId="0">
      <alignment horizontal="center" vertical="center" wrapText="1"/>
    </xf>
    <xf numFmtId="0" fontId="20" fillId="14" borderId="3" applyAlignment="1" pivotButton="0" quotePrefix="0" xfId="0">
      <alignment horizontal="center" vertical="center" wrapText="1"/>
    </xf>
    <xf numFmtId="0" fontId="20" fillId="26" borderId="3" applyAlignment="1" pivotButton="0" quotePrefix="0" xfId="0">
      <alignment horizontal="center" vertical="center" wrapText="1"/>
    </xf>
    <xf numFmtId="0" fontId="20" fillId="19" borderId="3" applyAlignment="1" pivotButton="0" quotePrefix="0" xfId="0">
      <alignment horizontal="center" vertical="center" wrapText="1"/>
    </xf>
    <xf numFmtId="0" fontId="26" fillId="27" borderId="1" applyAlignment="1" pivotButton="0" quotePrefix="0" xfId="0">
      <alignment horizontal="center" vertical="center" wrapText="1"/>
    </xf>
    <xf numFmtId="0" fontId="26" fillId="28" borderId="3" applyAlignment="1" pivotButton="0" quotePrefix="0" xfId="0">
      <alignment horizontal="center" vertical="center" wrapText="1"/>
    </xf>
    <xf numFmtId="0" fontId="26" fillId="23" borderId="3" applyAlignment="1" pivotButton="0" quotePrefix="0" xfId="0">
      <alignment horizontal="center" vertical="center" wrapText="1"/>
    </xf>
    <xf numFmtId="0" fontId="26" fillId="29" borderId="1" applyAlignment="1" pivotButton="0" quotePrefix="0" xfId="0">
      <alignment horizontal="left" vertical="center" wrapText="1"/>
    </xf>
    <xf numFmtId="0" fontId="26" fillId="3" borderId="1" applyAlignment="1" pivotButton="0" quotePrefix="0" xfId="0">
      <alignment horizontal="center" vertical="center" wrapText="1"/>
    </xf>
    <xf numFmtId="0" fontId="26" fillId="3" borderId="3" applyAlignment="1" pivotButton="0" quotePrefix="0" xfId="0">
      <alignment horizontal="center" vertical="center" wrapText="1"/>
    </xf>
    <xf numFmtId="0" fontId="16" fillId="3" borderId="1" applyAlignment="1" pivotButton="0" quotePrefix="0" xfId="0">
      <alignment horizontal="center" vertical="center"/>
    </xf>
    <xf numFmtId="0" fontId="16" fillId="3" borderId="1" applyAlignment="1" pivotButton="0" quotePrefix="0" xfId="0">
      <alignment horizontal="left" vertical="top" wrapText="1"/>
    </xf>
    <xf numFmtId="0" fontId="16" fillId="3" borderId="3" applyAlignment="1" pivotButton="0" quotePrefix="0" xfId="0">
      <alignment horizontal="center" vertical="center"/>
    </xf>
    <xf numFmtId="0" fontId="16" fillId="9" borderId="3" applyAlignment="1" pivotButton="0" quotePrefix="0" xfId="0">
      <alignment horizontal="center" vertical="center"/>
    </xf>
    <xf numFmtId="0" fontId="26" fillId="12" borderId="3" applyAlignment="1" pivotButton="0" quotePrefix="0" xfId="0">
      <alignment horizontal="center" vertical="center"/>
    </xf>
    <xf numFmtId="0" fontId="16" fillId="9" borderId="3" applyAlignment="1" pivotButton="0" quotePrefix="0" xfId="0">
      <alignment horizontal="left" vertical="top" wrapText="1"/>
    </xf>
    <xf numFmtId="0" fontId="57" fillId="30" borderId="1" applyAlignment="1" pivotButton="0" quotePrefix="0" xfId="0">
      <alignment horizontal="left" vertical="center"/>
    </xf>
    <xf numFmtId="0" fontId="16" fillId="30" borderId="1" applyAlignment="1" pivotButton="0" quotePrefix="0" xfId="0">
      <alignment horizontal="left" vertical="center"/>
    </xf>
    <xf numFmtId="0" fontId="0" fillId="0" borderId="0" applyAlignment="1" pivotButton="0" quotePrefix="0" xfId="0">
      <alignment horizontal="left" vertical="top" wrapText="1"/>
    </xf>
    <xf numFmtId="0" fontId="0" fillId="3" borderId="0" applyAlignment="1" pivotButton="0" quotePrefix="0" xfId="0">
      <alignment horizontal="general" vertical="bottom"/>
    </xf>
    <xf numFmtId="0" fontId="16" fillId="0" borderId="0" applyAlignment="1" pivotButton="0" quotePrefix="0" xfId="0">
      <alignment horizontal="center" vertical="center"/>
    </xf>
    <xf numFmtId="0" fontId="16" fillId="30" borderId="1" applyAlignment="1" pivotButton="0" quotePrefix="0" xfId="0">
      <alignment horizontal="left" vertical="center" wrapText="1"/>
    </xf>
    <xf numFmtId="0" fontId="0" fillId="0" borderId="0" applyAlignment="1" pivotButton="0" quotePrefix="0" xfId="0">
      <alignment horizontal="left" vertical="bottom" wrapText="1"/>
    </xf>
    <xf numFmtId="0" fontId="58" fillId="2" borderId="0" applyAlignment="1" pivotButton="0" quotePrefix="0" xfId="0">
      <alignment horizontal="general" vertical="bottom"/>
    </xf>
    <xf numFmtId="0" fontId="0" fillId="0" borderId="0" applyAlignment="1" pivotButton="0" quotePrefix="0" xfId="0">
      <alignment horizontal="general" vertical="top" wrapText="1"/>
    </xf>
    <xf numFmtId="0" fontId="0" fillId="31" borderId="0" applyAlignment="1" pivotButton="0" quotePrefix="0" xfId="0">
      <alignment horizontal="general" vertical="bottom"/>
    </xf>
    <xf numFmtId="0" fontId="0" fillId="32" borderId="0" applyAlignment="1" pivotButton="0" quotePrefix="0" xfId="0">
      <alignment horizontal="general" vertical="bottom"/>
    </xf>
    <xf numFmtId="0" fontId="0" fillId="32" borderId="0" applyAlignment="1" pivotButton="0" quotePrefix="0" xfId="0">
      <alignment horizontal="general" vertical="top" wrapText="1"/>
    </xf>
    <xf numFmtId="0" fontId="0" fillId="33" borderId="0" applyAlignment="1" pivotButton="0" quotePrefix="0" xfId="0">
      <alignment horizontal="general" vertical="bottom"/>
    </xf>
    <xf numFmtId="0" fontId="17" fillId="2" borderId="0" applyAlignment="1" pivotButton="0" quotePrefix="0" xfId="0">
      <alignment horizontal="center" vertical="center" wrapText="1"/>
    </xf>
    <xf numFmtId="0" fontId="0" fillId="32" borderId="0" applyAlignment="1" pivotButton="0" quotePrefix="0" xfId="0">
      <alignment horizontal="general" vertical="top"/>
    </xf>
    <xf numFmtId="0" fontId="0" fillId="33" borderId="0" applyAlignment="1" pivotButton="0" quotePrefix="0" xfId="0">
      <alignment horizontal="general" vertical="top"/>
    </xf>
    <xf numFmtId="0" fontId="0" fillId="31" borderId="0" applyAlignment="1" pivotButton="0" quotePrefix="0" xfId="0">
      <alignment horizontal="general" vertical="top"/>
    </xf>
    <xf numFmtId="0" fontId="0" fillId="0" borderId="0" applyAlignment="1" pivotButton="0" quotePrefix="0" xfId="0">
      <alignment horizontal="general" vertical="top"/>
    </xf>
    <xf numFmtId="0" fontId="59" fillId="0" borderId="0" applyAlignment="1" pivotButton="0" quotePrefix="0" xfId="0">
      <alignment horizontal="general" vertical="bottom"/>
    </xf>
    <xf numFmtId="0" fontId="26" fillId="29" borderId="1" applyAlignment="1" pivotButton="0" quotePrefix="0" xfId="0">
      <alignment horizontal="left" vertical="center"/>
    </xf>
    <xf numFmtId="0" fontId="16" fillId="3" borderId="1" applyAlignment="1" pivotButton="0" quotePrefix="0" xfId="0">
      <alignment horizontal="left" vertical="center" wrapText="1"/>
    </xf>
    <xf numFmtId="0" fontId="26" fillId="29" borderId="0" applyAlignment="1" pivotButton="0" quotePrefix="0" xfId="0">
      <alignment horizontal="general" vertical="top" wrapText="1"/>
    </xf>
    <xf numFmtId="0" fontId="0" fillId="3" borderId="0" applyAlignment="1" pivotButton="0" quotePrefix="0" xfId="0">
      <alignment horizontal="general" vertical="top"/>
    </xf>
    <xf numFmtId="0" fontId="57" fillId="30" borderId="0" applyAlignment="1" pivotButton="0" quotePrefix="0" xfId="0">
      <alignment horizontal="general" vertical="top" wrapText="1"/>
    </xf>
    <xf numFmtId="0" fontId="60" fillId="0" borderId="0" applyAlignment="1" pivotButton="0" quotePrefix="0" xfId="0">
      <alignment horizontal="general" vertical="bottom"/>
    </xf>
    <xf numFmtId="0" fontId="61" fillId="34" borderId="0" pivotButton="0" quotePrefix="0" xfId="0"/>
    <xf numFmtId="0" fontId="0" fillId="0" borderId="0" applyAlignment="1" pivotButton="0" quotePrefix="0" xfId="0">
      <alignment vertical="top" wrapText="1"/>
    </xf>
    <xf numFmtId="0" fontId="0" fillId="35" borderId="0" pivotButton="0" quotePrefix="0" xfId="0"/>
    <xf numFmtId="0" fontId="0" fillId="36" borderId="0" pivotButton="0" quotePrefix="0" xfId="0"/>
    <xf numFmtId="0" fontId="0" fillId="36" borderId="0" applyAlignment="1" pivotButton="0" quotePrefix="0" xfId="0">
      <alignment vertical="top" wrapText="1"/>
    </xf>
    <xf numFmtId="0" fontId="0" fillId="37" borderId="0" pivotButton="0" quotePrefix="0" xfId="0"/>
    <xf numFmtId="0" fontId="0" fillId="38" borderId="0" pivotButton="0" quotePrefix="0" xfId="0"/>
    <xf numFmtId="0" fontId="17" fillId="39" borderId="0" applyAlignment="1" pivotButton="0" quotePrefix="0" xfId="0">
      <alignment horizontal="center" vertical="center" wrapText="1"/>
    </xf>
    <xf numFmtId="0" fontId="0" fillId="40" borderId="0" pivotButton="0" quotePrefix="0" xfId="0"/>
    <xf numFmtId="0" fontId="62" fillId="0" borderId="0" pivotButton="0" quotePrefix="0" xfId="0"/>
    <xf numFmtId="0" fontId="63" fillId="0" borderId="0" pivotButton="0" quotePrefix="0" xfId="0"/>
    <xf numFmtId="0" fontId="64" fillId="41" borderId="0" applyAlignment="1" pivotButton="0" quotePrefix="0" xfId="0">
      <alignment vertical="center" wrapText="1"/>
    </xf>
    <xf numFmtId="0" fontId="0" fillId="37" borderId="0" applyAlignment="1" pivotButton="0" quotePrefix="0" xfId="0">
      <alignment vertical="top" wrapText="1"/>
    </xf>
    <xf numFmtId="0" fontId="0" fillId="40" borderId="0" applyAlignment="1" pivotButton="0" quotePrefix="0" xfId="0">
      <alignment vertical="top" wrapText="1"/>
    </xf>
    <xf numFmtId="0" fontId="0" fillId="42" borderId="0" applyAlignment="1" pivotButton="0" quotePrefix="0" xfId="0">
      <alignment vertical="top" wrapText="1"/>
    </xf>
    <xf numFmtId="0" fontId="0" fillId="43"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0">
    <dxf>
      <fill>
        <patternFill>
          <bgColor rgb="FFF4CCCC"/>
        </patternFill>
      </fill>
    </dxf>
    <dxf>
      <fill>
        <patternFill patternType="solid">
          <fgColor rgb="FF2F5496"/>
          <bgColor rgb="FF000000"/>
        </patternFill>
      </fill>
    </dxf>
    <dxf>
      <fill>
        <patternFill patternType="solid">
          <fgColor rgb="FF8CAADB"/>
          <bgColor rgb="FF000000"/>
        </patternFill>
      </fill>
    </dxf>
    <dxf>
      <fill>
        <patternFill patternType="solid">
          <fgColor rgb="FFD9E1F2"/>
          <bgColor rgb="FF000000"/>
        </patternFill>
      </fill>
    </dxf>
    <dxf>
      <fill>
        <patternFill patternType="solid">
          <fgColor rgb="FF000000"/>
          <bgColor rgb="FF000000"/>
        </patternFill>
      </fill>
    </dxf>
    <dxf>
      <fill>
        <patternFill patternType="solid">
          <fgColor rgb="FFC5E0B3"/>
          <bgColor rgb="FF000000"/>
        </patternFill>
      </fill>
    </dxf>
    <dxf>
      <fill>
        <patternFill patternType="solid">
          <fgColor rgb="FFDAEEF3"/>
          <bgColor rgb="FF000000"/>
        </patternFill>
      </fill>
    </dxf>
    <dxf>
      <fill>
        <patternFill patternType="solid">
          <fgColor rgb="FFFCE4D6"/>
          <bgColor rgb="FF000000"/>
        </patternFill>
      </fill>
    </dxf>
    <dxf>
      <fill>
        <patternFill patternType="solid">
          <fgColor rgb="FF4472C4"/>
          <bgColor rgb="FF000000"/>
        </patternFill>
      </fill>
    </dxf>
    <dxf>
      <fill>
        <patternFill patternType="solid">
          <fgColor rgb="FFFFFFFF"/>
          <bgColor rgb="FF000000"/>
        </patternFill>
      </fill>
    </dxf>
  </dxfs>
  <colors>
    <indexedColors>
      <rgbColor rgb="FF000000"/>
      <rgbColor rgb="FFFFFFFF"/>
      <rgbColor rgb="FFC00000"/>
      <rgbColor rgb="FF70AD47"/>
      <rgbColor rgb="FF0000FF"/>
      <rgbColor rgb="FFC5E0B3"/>
      <rgbColor rgb="FFD9E1F2"/>
      <rgbColor rgb="FFA8D08D"/>
      <rgbColor rgb="FFB8935A"/>
      <rgbColor rgb="FF008000"/>
      <rgbColor rgb="FF2F5496"/>
      <rgbColor rgb="FF548235"/>
      <rgbColor rgb="FF757575"/>
      <rgbColor rgb="FF1F6E7B"/>
      <rgbColor rgb="FFBFBFBF"/>
      <rgbColor rgb="FF808080"/>
      <rgbColor rgb="FF8BAADB"/>
      <rgbColor rgb="FF7030A0"/>
      <rgbColor rgb="FFFFF2CC"/>
      <rgbColor rgb="FFDAEEF3"/>
      <rgbColor rgb="FF4D81BE"/>
      <rgbColor rgb="FFD38582"/>
      <rgbColor rgb="FF0563C1"/>
      <rgbColor rgb="FFD9D9D9"/>
      <rgbColor rgb="FFF2F2F2"/>
      <rgbColor rgb="FFD9E2F3"/>
      <rgbColor rgb="FFE2EFD9"/>
      <rgbColor rgb="FFA9D08E"/>
      <rgbColor rgb="FF7F7F7F"/>
      <rgbColor rgb="FFAFD095"/>
      <rgbColor rgb="FF2E75B6"/>
      <rgbColor rgb="FFE2EFDA"/>
      <rgbColor rgb="FF729FCF"/>
      <rgbColor rgb="FFDDEBF7"/>
      <rgbColor rgb="FFC6EFCE"/>
      <rgbColor rgb="FFFCE4D6"/>
      <rgbColor rgb="FFB7B7B7"/>
      <rgbColor rgb="FFF79646"/>
      <rgbColor rgb="FFC9A66B"/>
      <rgbColor rgb="FFF4CCCC"/>
      <rgbColor rgb="FF4472C4"/>
      <rgbColor rgb="FF4BACC6"/>
      <rgbColor rgb="FF9BBB59"/>
      <rgbColor rgb="FFFFC000"/>
      <rgbColor rgb="FFFF9900"/>
      <rgbColor rgb="FFED7D31"/>
      <rgbColor rgb="FF8064A2"/>
      <rgbColor rgb="FFA69DB2"/>
      <rgbColor rgb="FF1F4E79"/>
      <rgbColor rgb="FF31859C"/>
      <rgbColor rgb="FF1A1A1A"/>
      <rgbColor rgb="FF1F1F1F"/>
      <rgbColor rgb="FF595959"/>
      <rgbColor rgb="FFC0504D"/>
      <rgbColor rgb="FF305496"/>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charts/chart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Tiến độ thực thi theo ưu tiên (Tổng vs Đã chạy)</a:t>
            </a:r>
          </a:p>
        </rich>
      </tx>
      <overlay val="0"/>
      <spPr>
        <a:noFill/>
        <a:ln w="0">
          <a:noFill/>
          <a:prstDash val="solid"/>
        </a:ln>
      </spPr>
    </title>
    <plotArea>
      <layout>
        <manualLayout>
          <xMode val="edge"/>
          <yMode val="edge"/>
          <wMode val="factor"/>
          <hMode val="factor"/>
          <x val="0.0679287305122494"/>
          <y val="0.156992932105376"/>
          <w val="0.776416728532541"/>
          <h val="0.74255729278218"/>
        </manualLayout>
      </layout>
      <barChart>
        <barDir val="col"/>
        <grouping val="clustered"/>
        <varyColors val="0"/>
        <ser>
          <idx val="0"/>
          <order val="0"/>
          <tx>
            <strRef>
              <f>Summary!$C$18</f>
              <strCache>
                <ptCount val="1"/>
                <pt idx="0">
                  <v>Tổng TC</v>
                </pt>
              </strCache>
            </strRef>
          </tx>
          <spPr>
            <a:solidFill>
              <a:srgbClr val="A9D08E"/>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Summary!$B$19:$B$21</f>
              <strCache>
                <ptCount val="3"/>
                <pt idx="0">
                  <v>High (P1)</v>
                </pt>
                <pt idx="1">
                  <v>Medium (P2)</v>
                </pt>
                <pt idx="2">
                  <v>Low (P3)</v>
                </pt>
              </strCache>
            </strRef>
          </cat>
          <val>
            <numRef>
              <f>Summary!$C$19:$C$21</f>
              <numCache>
                <formatCode>0</formatCode>
                <ptCount val="3"/>
                <pt idx="0">
                  <v>5</v>
                </pt>
                <pt idx="1">
                  <v>104</v>
                </pt>
                <pt idx="2">
                  <v>62</v>
                </pt>
              </numCache>
            </numRef>
          </val>
        </ser>
        <ser>
          <idx val="1"/>
          <order val="1"/>
          <tx>
            <strRef>
              <f>Summary!$E$18</f>
              <strCache>
                <ptCount val="1"/>
                <pt idx="0">
                  <v>Đã chạy</v>
                </pt>
              </strCache>
            </strRef>
          </tx>
          <spPr>
            <a:solidFill>
              <a:srgbClr val="3D85C6"/>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Summary!$B$19:$B$21</f>
              <strCache>
                <ptCount val="3"/>
                <pt idx="0">
                  <v>High (P1)</v>
                </pt>
                <pt idx="1">
                  <v>Medium (P2)</v>
                </pt>
                <pt idx="2">
                  <v>Low (P3)</v>
                </pt>
              </strCache>
            </strRef>
          </cat>
          <val>
            <numRef>
              <f>Summary!$E$19:$E$21</f>
              <numCache>
                <formatCode>0</formatCode>
                <ptCount val="3"/>
                <pt idx="0">
                  <v>5</v>
                </pt>
                <pt idx="1">
                  <v>104</v>
                </pt>
                <pt idx="2">
                  <v>62</v>
                </pt>
              </numCache>
            </numRef>
          </val>
        </ser>
        <gapWidth val="150"/>
        <overlap val="0"/>
        <axId val="24214967"/>
        <axId val="12782828"/>
      </barChart>
      <catAx>
        <axId val="24214967"/>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12782828"/>
        <crosses val="autoZero"/>
        <auto val="1"/>
        <lblAlgn val="ctr"/>
        <lblOffset val="100"/>
        <noMultiLvlLbl val="0"/>
      </catAx>
      <valAx>
        <axId val="12782828"/>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cross"/>
        <minorTickMark val="none"/>
        <tickLblPos val="nextTo"/>
        <spPr>
          <a:ln w="6480">
            <a:solidFill>
              <a:srgbClr val="8B8B8B"/>
            </a:solidFill>
            <a:prstDash val="solid"/>
            <a:round/>
          </a:ln>
        </spPr>
        <txPr>
          <a:bodyPr/>
          <a:lstStyle/>
          <a:p>
            <a:pPr>
              <a:defRPr sz="1000" b="0" strike="noStrike">
                <a:solidFill>
                  <a:srgbClr val="000000"/>
                </a:solidFill>
                <a:uFillTx/>
                <a:latin typeface="Calibri"/>
                <a:ea typeface="Calibri"/>
              </a:defRPr>
            </a:pPr>
            <a:r>
              <a:t>None</a:t>
            </a:r>
          </a:p>
        </txPr>
        <crossAx val="24214967"/>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2.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Số Test Case theo nhóm (Group)</a:t>
            </a:r>
          </a:p>
        </rich>
      </tx>
      <overlay val="0"/>
      <spPr>
        <a:noFill/>
        <a:ln w="0">
          <a:noFill/>
          <a:prstDash val="solid"/>
        </a:ln>
      </spPr>
    </title>
    <plotArea>
      <barChart>
        <barDir val="col"/>
        <grouping val="clustered"/>
        <varyColors val="0"/>
        <ser>
          <idx val="0"/>
          <order val="0"/>
          <tx>
            <strRef>
              <f>Summary!$J$18</f>
              <strCache>
                <ptCount val="1"/>
                <pt idx="0">
                  <v>Số TC</v>
                </pt>
              </strCache>
            </strRef>
          </tx>
          <spPr>
            <a:solidFill>
              <a:srgbClr val="548235"/>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Summary!$I$19:$I$22</f>
              <strCache>
                <ptCount val="4"/>
                <pt idx="0">
                  <v>Functional</v>
                </pt>
                <pt idx="1">
                  <v>UI</v>
                </pt>
                <pt idx="2">
                  <v>Integration</v>
                </pt>
                <pt idx="3">
                  <v>Database</v>
                </pt>
              </strCache>
            </strRef>
          </cat>
          <val>
            <numRef>
              <f>Summary!$J$19:$J$22</f>
              <numCache>
                <formatCode>0</formatCode>
                <ptCount val="4"/>
                <pt idx="0">
                  <v>131</v>
                </pt>
                <pt idx="1">
                  <v>40</v>
                </pt>
                <pt idx="2">
                  <v>0</v>
                </pt>
                <pt idx="3">
                  <v>0</v>
                </pt>
              </numCache>
            </numRef>
          </val>
        </ser>
        <gapWidth val="150"/>
        <overlap val="0"/>
        <axId val="15211579"/>
        <axId val="34412997"/>
      </barChart>
      <catAx>
        <axId val="15211579"/>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34412997"/>
        <crosses val="autoZero"/>
        <auto val="1"/>
        <lblAlgn val="ctr"/>
        <lblOffset val="100"/>
        <noMultiLvlLbl val="0"/>
      </catAx>
      <valAx>
        <axId val="34412997"/>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15211579"/>
        <crosses val="autoZero"/>
        <crossBetween val="between"/>
      </valAx>
    </plotArea>
    <plotVisOnly val="1"/>
    <dispBlanksAs val="zero"/>
  </chart>
  <spPr>
    <a:solidFill>
      <a:srgbClr val="FFFFFF"/>
    </a:solidFill>
    <a:ln w="9360">
      <a:solidFill>
        <a:srgbClr val="D9D9D9"/>
      </a:solidFill>
      <a:prstDash val="solid"/>
      <a:round/>
    </a:ln>
  </spPr>
</chartSpace>
</file>

<file path=xl/charts/chart3.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Mức độ áp dụng SDLC (% trên tổng TC)</a:t>
            </a:r>
          </a:p>
        </rich>
      </tx>
      <overlay val="0"/>
      <spPr>
        <a:noFill/>
        <a:ln w="0">
          <a:noFill/>
          <a:prstDash val="solid"/>
        </a:ln>
      </spPr>
    </title>
    <plotArea>
      <barChart>
        <barDir val="bar"/>
        <grouping val="clustered"/>
        <varyColors val="0"/>
        <ser>
          <idx val="0"/>
          <order val="0"/>
          <spPr>
            <a:solidFill>
              <a:srgbClr val="548235"/>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Summary!$B$44:$B$49</f>
              <strCache>
                <ptCount val="6"/>
                <pt idx="0">
                  <v>TC do AI sinh (Origin=AI)</v>
                </pt>
                <pt idx="1">
                  <v>TC do QC viết (Origin=QC)</v>
                </pt>
                <pt idx="2">
                  <v>TC đã automation (Automated=Yes)</v>
                </pt>
                <pt idx="3">
                  <v>TC Vibe-test (Yes)</v>
                </pt>
                <pt idx="4">
                  <v>TC script auto chạy Pass</v>
                </pt>
                <pt idx="5">
                  <v>TC đã TL review</v>
                </pt>
              </strCache>
            </strRef>
          </cat>
          <val>
            <numRef>
              <f>Summary!$D$44:$D$49</f>
              <numCache>
                <formatCode>0.0%</formatCode>
                <ptCount val="6"/>
                <pt idx="0">
                  <v>1</v>
                </pt>
                <pt idx="1">
                  <v>0</v>
                </pt>
                <pt idx="2">
                  <v>0</v>
                </pt>
                <pt idx="3">
                  <v>0</v>
                </pt>
                <pt idx="4">
                  <v>0</v>
                </pt>
                <pt idx="5">
                  <v>0</v>
                </pt>
              </numCache>
            </numRef>
          </val>
        </ser>
        <gapWidth val="150"/>
        <overlap val="0"/>
        <axId val="24440297"/>
        <axId val="51600128"/>
      </barChart>
      <catAx>
        <axId val="24440297"/>
        <scaling>
          <orientation val="maxMin"/>
        </scaling>
        <delete val="0"/>
        <axPos val="b"/>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51600128"/>
        <crosses val="autoZero"/>
        <auto val="1"/>
        <lblAlgn val="ctr"/>
        <lblOffset val="100"/>
        <noMultiLvlLbl val="0"/>
      </catAx>
      <valAx>
        <axId val="51600128"/>
        <scaling>
          <orientation val="minMax"/>
          <max val="1"/>
        </scaling>
        <delete val="0"/>
        <axPos val="l"/>
        <majorGridlines>
          <spPr>
            <a:ln w="6480">
              <a:solidFill>
                <a:srgbClr val="B7B7B7"/>
              </a:solidFill>
              <a:prstDash val="solid"/>
              <a:round/>
            </a:ln>
          </spPr>
        </majorGridlines>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4440297"/>
        <crosses val="max"/>
        <crossBetween val="between"/>
      </valAx>
    </plotArea>
    <plotVisOnly val="1"/>
    <dispBlanksAs val="zero"/>
  </chart>
  <spPr>
    <a:solidFill>
      <a:srgbClr val="FFFFFF"/>
    </a:solidFill>
    <a:ln w="9360">
      <a:solidFill>
        <a:srgbClr val="D9D9D9"/>
      </a:solidFill>
      <a:prstDash val="solid"/>
      <a:round/>
    </a:ln>
  </spPr>
</chartSpace>
</file>

<file path=xl/charts/chart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1a. Bug Status theo nền tảng</a:t>
            </a:r>
          </a:p>
        </rich>
      </tx>
      <overlay val="0"/>
      <spPr>
        <a:noFill/>
        <a:ln w="0">
          <a:noFill/>
          <a:prstDash val="solid"/>
        </a:ln>
      </spPr>
    </title>
    <plotArea>
      <barChart>
        <barDir val="col"/>
        <grouping val="stacked"/>
        <varyColors val="0"/>
        <ser>
          <idx val="0"/>
          <order val="0"/>
          <tx>
            <strRef>
              <f>"Open"</f>
              <strCache>
                <ptCount val="1"/>
                <pt idx="0">
                  <v>Open</v>
                </pt>
              </strCache>
            </strRef>
          </tx>
          <spPr>
            <a:solidFill>
              <a:srgbClr val="ED7D31"/>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ctr"/>
            <showLegendKey val="0"/>
            <showVal val="0"/>
            <showCatName val="0"/>
            <showSerName val="0"/>
            <showPercent val="0"/>
            <showLeaderLines val="1"/>
          </dLbls>
          <cat>
            <strRef>
              <f>'Report Test'!$B$18:$B$19</f>
              <strCache>
                <ptCount val="2"/>
                <pt idx="0">
                  <v>Web</v>
                </pt>
                <pt idx="1">
                  <v>Mobile</v>
                </pt>
              </strCache>
            </strRef>
          </cat>
          <val>
            <numRef>
              <f>'Report Test'!$C$18:$C$19</f>
              <numCache>
                <formatCode>0</formatCode>
                <ptCount val="2"/>
                <pt idx="0">
                  <v>1</v>
                </pt>
                <pt idx="1">
                  <v>3</v>
                </pt>
              </numCache>
            </numRef>
          </val>
        </ser>
        <ser>
          <idx val="1"/>
          <order val="1"/>
          <tx>
            <strRef>
              <f>"Cancel"</f>
              <strCache>
                <ptCount val="1"/>
                <pt idx="0">
                  <v>Cancel</v>
                </pt>
              </strCache>
            </strRef>
          </tx>
          <spPr>
            <a:solidFill>
              <a:srgbClr val="A6A6A6"/>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ctr"/>
            <showLegendKey val="0"/>
            <showVal val="0"/>
            <showCatName val="0"/>
            <showSerName val="0"/>
            <showPercent val="0"/>
            <showLeaderLines val="1"/>
          </dLbls>
          <cat>
            <strRef>
              <f>'Report Test'!$B$18:$B$19</f>
              <strCache>
                <ptCount val="2"/>
                <pt idx="0">
                  <v>Web</v>
                </pt>
                <pt idx="1">
                  <v>Mobile</v>
                </pt>
              </strCache>
            </strRef>
          </cat>
          <val>
            <numRef>
              <f>'Report Test'!$D$18:$D$19</f>
              <numCache>
                <formatCode>0</formatCode>
                <ptCount val="2"/>
                <pt idx="0">
                  <v>0</v>
                </pt>
                <pt idx="1">
                  <v>1</v>
                </pt>
              </numCache>
            </numRef>
          </val>
        </ser>
        <ser>
          <idx val="2"/>
          <order val="2"/>
          <tx>
            <strRef>
              <f>"Pending"</f>
              <strCache>
                <ptCount val="1"/>
                <pt idx="0">
                  <v>Pending</v>
                </pt>
              </strCache>
            </strRef>
          </tx>
          <spPr>
            <a:solidFill>
              <a:srgbClr val="FFC000"/>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ctr"/>
            <showLegendKey val="0"/>
            <showVal val="0"/>
            <showCatName val="0"/>
            <showSerName val="0"/>
            <showPercent val="0"/>
            <showLeaderLines val="1"/>
          </dLbls>
          <cat>
            <strRef>
              <f>'Report Test'!$B$18:$B$19</f>
              <strCache>
                <ptCount val="2"/>
                <pt idx="0">
                  <v>Web</v>
                </pt>
                <pt idx="1">
                  <v>Mobile</v>
                </pt>
              </strCache>
            </strRef>
          </cat>
          <val>
            <numRef>
              <f>'Report Test'!$E$18:$E$19</f>
              <numCache>
                <formatCode>0</formatCode>
                <ptCount val="2"/>
                <pt idx="0">
                  <v>0</v>
                </pt>
                <pt idx="1">
                  <v>2</v>
                </pt>
              </numCache>
            </numRef>
          </val>
        </ser>
        <ser>
          <idx val="3"/>
          <order val="3"/>
          <tx>
            <strRef>
              <f>"Done"</f>
              <strCache>
                <ptCount val="1"/>
                <pt idx="0">
                  <v>Done</v>
                </pt>
              </strCache>
            </strRef>
          </tx>
          <spPr>
            <a:solidFill>
              <a:srgbClr val="70AD47"/>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ctr"/>
            <showLegendKey val="0"/>
            <showVal val="0"/>
            <showCatName val="0"/>
            <showSerName val="0"/>
            <showPercent val="0"/>
            <showLeaderLines val="1"/>
          </dLbls>
          <cat>
            <strRef>
              <f>'Report Test'!$B$18:$B$19</f>
              <strCache>
                <ptCount val="2"/>
                <pt idx="0">
                  <v>Web</v>
                </pt>
                <pt idx="1">
                  <v>Mobile</v>
                </pt>
              </strCache>
            </strRef>
          </cat>
          <val>
            <numRef>
              <f>'Report Test'!$F$18:$F$19</f>
              <numCache>
                <formatCode>0</formatCode>
                <ptCount val="2"/>
                <pt idx="0">
                  <v>6</v>
                </pt>
                <pt idx="1">
                  <v>0</v>
                </pt>
              </numCache>
            </numRef>
          </val>
        </ser>
        <gapWidth val="150"/>
        <overlap val="100"/>
        <axId val="88333126"/>
        <axId val="56701682"/>
      </barChart>
      <catAx>
        <axId val="88333126"/>
        <scaling>
          <orientation val="minMax"/>
        </scaling>
        <delete val="0"/>
        <axPos val="b"/>
        <title>
          <tx>
            <rich>
              <a:bodyPr rot="0"/>
              <a:lstStyle/>
              <a:p>
                <a:pPr>
                  <a:defRPr sz="1300" b="0" strike="noStrike">
                    <a:uFillTx/>
                    <a:latin typeface="Arial"/>
                  </a:defRPr>
                </a:pPr>
                <a:r>
                  <a:rPr sz="1000" b="1" strike="noStrike">
                    <a:solidFill>
                      <a:srgbClr val="000000"/>
                    </a:solidFill>
                    <a:uFillTx/>
                    <a:latin typeface="Calibri"/>
                    <a:ea typeface="Calibri"/>
                  </a:rPr>
                  <a:t>Nền tảng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56701682"/>
        <crosses val="autoZero"/>
        <auto val="1"/>
        <lblAlgn val="ctr"/>
        <lblOffset val="100"/>
        <noMultiLvlLbl val="0"/>
      </catAx>
      <valAx>
        <axId val="56701682"/>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88333126"/>
        <crosses val="autoZero"/>
        <crossBetween val="between"/>
      </valAx>
    </plotArea>
    <legend>
      <legendPos val="b"/>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2. Coverage theo chức năng</a:t>
            </a:r>
          </a:p>
        </rich>
      </tx>
      <overlay val="0"/>
      <spPr>
        <a:noFill/>
        <a:ln w="0">
          <a:noFill/>
          <a:prstDash val="solid"/>
        </a:ln>
      </spPr>
    </title>
    <plotArea>
      <barChart>
        <barDir val="col"/>
        <grouping val="clustered"/>
        <varyColors val="0"/>
        <ser>
          <idx val="0"/>
          <order val="0"/>
          <tx>
            <strRef>
              <f>"Total TC"</f>
              <strCache>
                <ptCount val="1"/>
                <pt idx="0">
                  <v>Total TC</v>
                </pt>
              </strCache>
            </strRef>
          </tx>
          <spPr>
            <a:solidFill>
              <a:srgbClr val="A8D08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Test'!$C$59:$C$61</f>
              <strCache>
                <ptCount val="3"/>
                <pt idx="0">
                  <v>Hoạt động (Đơn của tôi)</v>
                </pt>
                <pt idx="1">
                  <v>Cá nhân</v>
                </pt>
                <pt idx="2">
                  <v>Thông báo</v>
                </pt>
              </strCache>
            </strRef>
          </cat>
          <val>
            <numRef>
              <f>'Report Test'!$D$59:$D$61</f>
              <numCache>
                <formatCode>0</formatCode>
                <ptCount val="3"/>
                <pt idx="0">
                  <v>20</v>
                </pt>
                <pt idx="1">
                  <v>15</v>
                </pt>
                <pt idx="2">
                  <v>27</v>
                </pt>
              </numCache>
            </numRef>
          </val>
        </ser>
        <ser>
          <idx val="1"/>
          <order val="1"/>
          <tx>
            <strRef>
              <f>"Executed TC"</f>
              <strCache>
                <ptCount val="1"/>
                <pt idx="0">
                  <v>Executed TC</v>
                </pt>
              </strCache>
            </strRef>
          </tx>
          <spPr>
            <a:solidFill>
              <a:srgbClr val="ED7D31"/>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Test'!$C$59:$C$61</f>
              <strCache>
                <ptCount val="3"/>
                <pt idx="0">
                  <v>Hoạt động (Đơn của tôi)</v>
                </pt>
                <pt idx="1">
                  <v>Cá nhân</v>
                </pt>
                <pt idx="2">
                  <v>Thông báo</v>
                </pt>
              </strCache>
            </strRef>
          </cat>
          <val>
            <numRef>
              <f>'Report Test'!$E$59:$E$61</f>
              <numCache>
                <formatCode>0</formatCode>
                <ptCount val="3"/>
                <pt idx="0">
                  <v>0</v>
                </pt>
                <pt idx="1">
                  <v>0</v>
                </pt>
                <pt idx="2">
                  <v>0</v>
                </pt>
              </numCache>
            </numRef>
          </val>
        </ser>
        <gapWidth val="150"/>
        <overlap val="0"/>
        <axId val="64340673"/>
        <axId val="65773686"/>
      </barChart>
      <catAx>
        <axId val="64340673"/>
        <scaling>
          <orientation val="minMax"/>
        </scaling>
        <delete val="0"/>
        <axPos val="b"/>
        <title>
          <tx>
            <rich>
              <a:bodyPr rot="0"/>
              <a:lstStyle/>
              <a:p>
                <a:pPr>
                  <a:defRPr sz="1300" b="0" strike="noStrike">
                    <a:uFillTx/>
                    <a:latin typeface="Arial"/>
                  </a:defRPr>
                </a:pPr>
                <a:r>
                  <a:rPr sz="1000" b="1" strike="noStrike">
                    <a:solidFill>
                      <a:srgbClr val="000000"/>
                    </a:solidFill>
                    <a:uFillTx/>
                    <a:latin typeface="Calibri"/>
                    <a:ea typeface="Calibri"/>
                  </a:rPr>
                  <a:t>Chức năng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5773686"/>
        <crosses val="autoZero"/>
        <auto val="1"/>
        <lblAlgn val="ctr"/>
        <lblOffset val="100"/>
        <noMultiLvlLbl val="0"/>
      </catAx>
      <valAx>
        <axId val="65773686"/>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4340673"/>
        <crosses val="autoZero"/>
        <crossBetween val="between"/>
      </valAx>
    </plotArea>
    <legend>
      <legendPos val="b"/>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3. Bug Severity (% theo mức độ)</a:t>
            </a:r>
          </a:p>
        </rich>
      </tx>
      <overlay val="0"/>
      <spPr>
        <a:noFill/>
        <a:ln w="0">
          <a:noFill/>
          <a:prstDash val="solid"/>
        </a:ln>
      </spPr>
    </title>
    <plotArea>
      <pieChart>
        <varyColors val="1"/>
        <ser>
          <idx val="0"/>
          <order val="0"/>
          <tx>
            <strRef>
              <f>'Report Test'!$C$100</f>
              <strCache>
                <ptCount val="1"/>
                <pt idx="0">
                  <v>Số lượng</v>
                </pt>
              </strCache>
            </strRef>
          </tx>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Pt>
            <idx val="2"/>
            <spPr>
              <a:solidFill>
                <a:srgbClr val="9BBB59"/>
              </a:solidFill>
              <a:ln w="0">
                <a:noFill/>
                <a:prstDash val="solid"/>
              </a:ln>
            </spPr>
          </dPt>
          <dPt>
            <idx val="3"/>
            <spPr>
              <a:solidFill>
                <a:srgbClr val="8064A2"/>
              </a:solidFill>
              <a:ln w="0">
                <a:noFill/>
                <a:prstDash val="solid"/>
              </a:ln>
            </spPr>
          </dPt>
          <dLbls>
            <dLbl>
              <idx val="0"/>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2"/>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3"/>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showLeaderLines val="1"/>
          </dLbls>
          <cat>
            <strRef>
              <f>'Report Test'!$B$101:$B$104</f>
              <strCache>
                <ptCount val="4"/>
                <pt idx="0">
                  <v>Critical Bug</v>
                </pt>
                <pt idx="1">
                  <v>Major Bug</v>
                </pt>
                <pt idx="2">
                  <v>Medium Bug</v>
                </pt>
                <pt idx="3">
                  <v>Low Bug</v>
                </pt>
              </strCache>
            </strRef>
          </cat>
          <val>
            <numRef>
              <f>'Report Test'!$C$101:$C$104</f>
              <numCache>
                <formatCode>0</formatCode>
                <ptCount val="4"/>
                <pt idx="0">
                  <v>3</v>
                </pt>
                <pt idx="1">
                  <v>5</v>
                </pt>
                <pt idx="2">
                  <v>3</v>
                </pt>
                <pt idx="3">
                  <v>2</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7.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2b. Kết quả thực thi TC (%)</a:t>
            </a:r>
          </a:p>
        </rich>
      </tx>
      <overlay val="0"/>
      <spPr>
        <a:noFill/>
        <a:ln w="0">
          <a:noFill/>
          <a:prstDash val="solid"/>
        </a:ln>
      </spPr>
    </title>
    <plotArea>
      <pieChart>
        <varyColors val="1"/>
        <ser>
          <idx val="0"/>
          <order val="0"/>
          <tx>
            <strRef>
              <f>'Report Test'!$C$83</f>
              <strCache>
                <ptCount val="1"/>
                <pt idx="0">
                  <v>Số lượng</v>
                </pt>
              </strCache>
            </strRef>
          </tx>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Pt>
            <idx val="2"/>
            <spPr>
              <a:solidFill>
                <a:srgbClr val="9BBB59"/>
              </a:solidFill>
              <a:ln w="0">
                <a:noFill/>
                <a:prstDash val="solid"/>
              </a:ln>
            </spPr>
          </dPt>
          <dPt>
            <idx val="3"/>
            <spPr>
              <a:solidFill>
                <a:srgbClr val="8064A2"/>
              </a:solidFill>
              <a:ln w="0">
                <a:noFill/>
                <a:prstDash val="solid"/>
              </a:ln>
            </spPr>
          </dPt>
          <dPt>
            <idx val="4"/>
            <spPr>
              <a:solidFill>
                <a:srgbClr val="4BACC6"/>
              </a:solidFill>
              <a:ln w="0">
                <a:noFill/>
                <a:prstDash val="solid"/>
              </a:ln>
            </spPr>
          </dPt>
          <dLbls>
            <dLbl>
              <idx val="0"/>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2"/>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3"/>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4"/>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showLeaderLines val="1"/>
          </dLbls>
          <cat>
            <strRef>
              <f>'Report Test'!$B$84:$B$88</f>
              <strCache>
                <ptCount val="5"/>
                <pt idx="0">
                  <v>Pass</v>
                </pt>
                <pt idx="1">
                  <v>Fail</v>
                </pt>
                <pt idx="2">
                  <v>Block</v>
                </pt>
                <pt idx="3">
                  <v>N/A</v>
                </pt>
                <pt idx="4">
                  <v>Chưa thực hiện</v>
                </pt>
              </strCache>
            </strRef>
          </cat>
          <val>
            <numRef>
              <f>'Report Test'!$C$84:$C$88</f>
              <numCache>
                <formatCode>0</formatCode>
                <ptCount val="5"/>
                <pt idx="0">
                  <v>0</v>
                </pt>
                <pt idx="1">
                  <v>0</v>
                </pt>
                <pt idx="2">
                  <v>0</v>
                </pt>
                <pt idx="3">
                  <v>0</v>
                </pt>
                <pt idx="4">
                  <v>171</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8.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4. Bug Resolution (%)</a:t>
            </a:r>
          </a:p>
        </rich>
      </tx>
      <overlay val="0"/>
      <spPr>
        <a:noFill/>
        <a:ln w="0">
          <a:noFill/>
          <a:prstDash val="solid"/>
        </a:ln>
      </spPr>
    </title>
    <plotArea>
      <pieChart>
        <varyColors val="1"/>
        <ser>
          <idx val="0"/>
          <order val="0"/>
          <tx>
            <strRef>
              <f>'Report Test'!$C$118</f>
              <strCache>
                <ptCount val="1"/>
                <pt idx="0">
                  <v>Số lượng</v>
                </pt>
              </strCache>
            </strRef>
          </tx>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Lbls>
            <dLbl>
              <idx val="0"/>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showLeaderLines val="1"/>
          </dLbls>
          <cat>
            <strRef>
              <f>'Report Test'!$B$119:$B$120</f>
              <strCache>
                <ptCount val="2"/>
                <pt idx="0">
                  <v>Fixed</v>
                </pt>
                <pt idx="1">
                  <v>Won't fix</v>
                </pt>
              </strCache>
            </strRef>
          </cat>
          <val>
            <numRef>
              <f>'Report Test'!$C$119:$C$120</f>
              <numCache>
                <formatCode>0</formatCode>
                <ptCount val="2"/>
                <pt idx="0">
                  <v>6</v>
                </pt>
                <pt idx="1">
                  <v>2</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9.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5. Bug Won't fix theo Lý do</a:t>
            </a:r>
          </a:p>
        </rich>
      </tx>
      <overlay val="0"/>
      <spPr>
        <a:noFill/>
        <a:ln w="0">
          <a:noFill/>
          <a:prstDash val="solid"/>
        </a:ln>
      </spPr>
    </title>
    <plotArea>
      <barChart>
        <barDir val="col"/>
        <grouping val="clustered"/>
        <varyColors val="0"/>
        <ser>
          <idx val="0"/>
          <order val="0"/>
          <tx>
            <strRef>
              <f>"Số lượng"</f>
              <strCache>
                <ptCount val="1"/>
                <pt idx="0">
                  <v>Số lượng</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Test'!$B$135:$B$144</f>
              <strCache>
                <ptCount val="10"/>
                <pt idx="0">
                  <v>1.1</v>
                </pt>
                <pt idx="1">
                  <v>1.2</v>
                </pt>
                <pt idx="2">
                  <v>1.3</v>
                </pt>
                <pt idx="3">
                  <v>2.1</v>
                </pt>
                <pt idx="4">
                  <v>2.2</v>
                </pt>
                <pt idx="5">
                  <v>3.1</v>
                </pt>
                <pt idx="6">
                  <v>3.2</v>
                </pt>
                <pt idx="7">
                  <v>3.3</v>
                </pt>
                <pt idx="8">
                  <v>3.4</v>
                </pt>
                <pt idx="9">
                  <v>4.1</v>
                </pt>
              </strCache>
            </strRef>
          </cat>
          <val>
            <numRef>
              <f>'Report Test'!$E$135:$E$144</f>
              <numCache>
                <formatCode>0</formatCode>
                <ptCount val="10"/>
                <pt idx="0">
                  <v>0</v>
                </pt>
                <pt idx="1">
                  <v>0</v>
                </pt>
                <pt idx="2">
                  <v>1</v>
                </pt>
                <pt idx="3">
                  <v>0</v>
                </pt>
                <pt idx="4">
                  <v>0</v>
                </pt>
                <pt idx="5">
                  <v>0</v>
                </pt>
                <pt idx="6">
                  <v>1</v>
                </pt>
                <pt idx="7">
                  <v>0</v>
                </pt>
                <pt idx="8">
                  <v>0</v>
                </pt>
                <pt idx="9">
                  <v>0</v>
                </pt>
              </numCache>
            </numRef>
          </val>
        </ser>
        <gapWidth val="150"/>
        <overlap val="0"/>
        <axId val="20253601"/>
        <axId val="18349704"/>
      </barChart>
      <catAx>
        <axId val="20253601"/>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18349704"/>
        <crosses val="autoZero"/>
        <auto val="1"/>
        <lblAlgn val="ctr"/>
        <lblOffset val="100"/>
        <noMultiLvlLbl val="0"/>
      </catAx>
      <valAx>
        <axId val="18349704"/>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0253601"/>
        <crosses val="autoZero"/>
        <crossBetween val="between"/>
      </valAx>
    </plotArea>
    <plotVisOnly val="1"/>
    <dispBlanksAs val="zero"/>
  </chart>
  <spPr>
    <a:solidFill>
      <a:srgbClr val="FFFFFF"/>
    </a:solidFill>
    <a:ln w="9360">
      <a:solidFill>
        <a:srgbClr val="D9D9D9"/>
      </a:solidFill>
      <a:prstDash val="solid"/>
      <a:round/>
    </a:ln>
  </spPr>
</chartSpace>
</file>

<file path=xl/charts/chart10.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6. Defect Type</a:t>
            </a:r>
          </a:p>
        </rich>
      </tx>
      <overlay val="0"/>
      <spPr>
        <a:noFill/>
        <a:ln w="0">
          <a:noFill/>
          <a:prstDash val="solid"/>
        </a:ln>
      </spPr>
    </title>
    <plotArea>
      <barChart>
        <barDir val="col"/>
        <grouping val="clustered"/>
        <varyColors val="0"/>
        <ser>
          <idx val="0"/>
          <order val="0"/>
          <tx>
            <strRef>
              <f>"SL"</f>
              <strCache>
                <ptCount val="1"/>
                <pt idx="0">
                  <v>SL</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Test'!$B$151:$B$156</f>
              <strCache>
                <ptCount val="6"/>
                <pt idx="0">
                  <v>Data</v>
                </pt>
                <pt idx="1">
                  <v>Interface</v>
                </pt>
                <pt idx="2">
                  <v>Logic</v>
                </pt>
                <pt idx="3">
                  <v>Requirement</v>
                </pt>
                <pt idx="4">
                  <v>Server</v>
                </pt>
                <pt idx="5">
                  <v>Other</v>
                </pt>
              </strCache>
            </strRef>
          </cat>
          <val>
            <numRef>
              <f>'Report Test'!$C$151:$C$156</f>
              <numCache>
                <formatCode>0</formatCode>
                <ptCount val="6"/>
                <pt idx="0">
                  <v>2</v>
                </pt>
                <pt idx="1">
                  <v>3</v>
                </pt>
                <pt idx="2">
                  <v>4</v>
                </pt>
                <pt idx="3">
                  <v>0</v>
                </pt>
                <pt idx="4">
                  <v>3</v>
                </pt>
                <pt idx="5">
                  <v>1</v>
                </pt>
              </numCache>
            </numRef>
          </val>
        </ser>
        <gapWidth val="150"/>
        <overlap val="0"/>
        <axId val="39872384"/>
        <axId val="68703508"/>
      </barChart>
      <catAx>
        <axId val="39872384"/>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8703508"/>
        <crosses val="autoZero"/>
        <auto val="1"/>
        <lblAlgn val="ctr"/>
        <lblOffset val="100"/>
        <noMultiLvlLbl val="0"/>
      </catAx>
      <valAx>
        <axId val="68703508"/>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39872384"/>
        <crosses val="autoZero"/>
        <crossBetween val="between"/>
      </valAx>
    </plotArea>
    <plotVisOnly val="1"/>
    <dispBlanksAs val="zero"/>
  </chart>
  <spPr>
    <a:solidFill>
      <a:srgbClr val="FFFFFF"/>
    </a:solidFill>
    <a:ln w="9360">
      <a:solidFill>
        <a:srgbClr val="D9D9D9"/>
      </a:solidFill>
      <a:prstDash val="solid"/>
      <a:round/>
    </a:ln>
  </spPr>
</chartSpace>
</file>

<file path=xl/charts/chart11.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7. Effect</a:t>
            </a:r>
          </a:p>
        </rich>
      </tx>
      <overlay val="0"/>
      <spPr>
        <a:noFill/>
        <a:ln w="0">
          <a:noFill/>
          <a:prstDash val="solid"/>
        </a:ln>
      </spPr>
    </title>
    <plotArea>
      <barChart>
        <barDir val="col"/>
        <grouping val="clustered"/>
        <varyColors val="0"/>
        <ser>
          <idx val="0"/>
          <order val="0"/>
          <tx>
            <strRef>
              <f>"SL"</f>
              <strCache>
                <ptCount val="1"/>
                <pt idx="0">
                  <v>SL</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Test'!$B$167:$B$171</f>
              <strCache>
                <ptCount val="5"/>
                <pt idx="0">
                  <v>Functionality</v>
                </pt>
                <pt idx="1">
                  <v>Performance</v>
                </pt>
                <pt idx="2">
                  <v>Security</v>
                </pt>
                <pt idx="3">
                  <v>Serviceability</v>
                </pt>
                <pt idx="4">
                  <v>Usability</v>
                </pt>
              </strCache>
            </strRef>
          </cat>
          <val>
            <numRef>
              <f>'Report Test'!$C$167:$C$171</f>
              <numCache>
                <formatCode>0</formatCode>
                <ptCount val="5"/>
                <pt idx="0">
                  <v>5</v>
                </pt>
                <pt idx="1">
                  <v>2</v>
                </pt>
                <pt idx="2">
                  <v>2</v>
                </pt>
                <pt idx="3">
                  <v>1</v>
                </pt>
                <pt idx="4">
                  <v>3</v>
                </pt>
              </numCache>
            </numRef>
          </val>
        </ser>
        <gapWidth val="150"/>
        <overlap val="0"/>
        <axId val="29416887"/>
        <axId val="93221956"/>
      </barChart>
      <catAx>
        <axId val="29416887"/>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93221956"/>
        <crosses val="autoZero"/>
        <auto val="1"/>
        <lblAlgn val="ctr"/>
        <lblOffset val="100"/>
        <noMultiLvlLbl val="0"/>
      </catAx>
      <valAx>
        <axId val="93221956"/>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9416887"/>
        <crosses val="autoZero"/>
        <crossBetween val="between"/>
      </valAx>
    </plotArea>
    <plotVisOnly val="1"/>
    <dispBlanksAs val="zero"/>
  </chart>
  <spPr>
    <a:solidFill>
      <a:srgbClr val="FFFFFF"/>
    </a:solidFill>
    <a:ln w="9360">
      <a:solidFill>
        <a:srgbClr val="D9D9D9"/>
      </a:solidFill>
      <a:prstDash val="solid"/>
      <a:round/>
    </a:ln>
  </spPr>
</chartSpace>
</file>

<file path=xl/charts/chart12.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8. Bug Rework</a:t>
            </a:r>
          </a:p>
        </rich>
      </tx>
      <overlay val="0"/>
      <spPr>
        <a:noFill/>
        <a:ln w="0">
          <a:noFill/>
          <a:prstDash val="solid"/>
        </a:ln>
      </spPr>
    </title>
    <plotArea>
      <barChart>
        <barDir val="col"/>
        <grouping val="clustered"/>
        <varyColors val="0"/>
        <ser>
          <idx val="0"/>
          <order val="0"/>
          <tx>
            <strRef>
              <f>"SL"</f>
              <strCache>
                <ptCount val="1"/>
                <pt idx="0">
                  <v>SL</v>
                </pt>
              </strCache>
            </strRef>
          </tx>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Test'!$B$183:$B$186</f>
              <strCache>
                <ptCount val="4"/>
                <pt idx="0">
                  <v>1-2 lần</v>
                </pt>
                <pt idx="1">
                  <v>3-5 lần</v>
                </pt>
                <pt idx="2">
                  <v>6-7 lần</v>
                </pt>
                <pt idx="3">
                  <v>8-10 lần</v>
                </pt>
              </strCache>
            </strRef>
          </cat>
          <val>
            <numRef>
              <f>'Report Test'!$C$183:$C$186</f>
              <numCache>
                <formatCode>0</formatCode>
                <ptCount val="4"/>
                <pt idx="0">
                  <v>10</v>
                </pt>
                <pt idx="1">
                  <v>3</v>
                </pt>
                <pt idx="2">
                  <v>0</v>
                </pt>
                <pt idx="3">
                  <v>0</v>
                </pt>
              </numCache>
            </numRef>
          </val>
        </ser>
        <gapWidth val="150"/>
        <overlap val="0"/>
        <axId val="49508406"/>
        <axId val="64812162"/>
      </barChart>
      <catAx>
        <axId val="49508406"/>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4812162"/>
        <crosses val="autoZero"/>
        <auto val="1"/>
        <lblAlgn val="ctr"/>
        <lblOffset val="100"/>
        <noMultiLvlLbl val="0"/>
      </catAx>
      <valAx>
        <axId val="64812162"/>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1" strike="noStrike">
                    <a:solidFill>
                      <a:srgbClr val="000000"/>
                    </a:solidFill>
                    <a:uFillTx/>
                    <a:latin typeface="Calibri"/>
                    <a:ea typeface="Calibri"/>
                  </a:rPr>
                  <a:t>Số lượng</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49508406"/>
        <crosses val="autoZero"/>
        <crossBetween val="between"/>
      </valAx>
    </plotArea>
    <plotVisOnly val="1"/>
    <dispBlanksAs val="zero"/>
  </chart>
  <spPr>
    <a:solidFill>
      <a:srgbClr val="FFFFFF"/>
    </a:solidFill>
    <a:ln w="9360">
      <a:solidFill>
        <a:srgbClr val="D9D9D9"/>
      </a:solidFill>
      <a:prstDash val="solid"/>
      <a:round/>
    </a:ln>
  </spPr>
</chartSpace>
</file>

<file path=xl/charts/chart13.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1b. Tỷ lệ Bug theo chức năng (%)</a:t>
            </a:r>
          </a:p>
        </rich>
      </tx>
      <overlay val="0"/>
      <spPr>
        <a:noFill/>
        <a:ln w="0">
          <a:noFill/>
          <a:prstDash val="solid"/>
        </a:ln>
      </spPr>
    </title>
    <plotArea>
      <pieChart>
        <varyColors val="1"/>
        <ser>
          <idx val="0"/>
          <order val="0"/>
          <spPr>
            <a:solidFill>
              <a:srgbClr val="4F81BD"/>
            </a:solidFill>
            <a:ln w="0">
              <a:noFill/>
              <a:prstDash val="solid"/>
            </a:ln>
          </spPr>
          <explosion val="0"/>
          <dPt>
            <idx val="0"/>
            <spPr>
              <a:solidFill>
                <a:srgbClr val="4F81BD"/>
              </a:solidFill>
              <a:ln w="0">
                <a:noFill/>
                <a:prstDash val="solid"/>
              </a:ln>
            </spPr>
          </dPt>
          <dPt>
            <idx val="1"/>
            <spPr>
              <a:solidFill>
                <a:srgbClr val="C0504D"/>
              </a:solidFill>
              <a:ln w="0">
                <a:noFill/>
                <a:prstDash val="solid"/>
              </a:ln>
            </spPr>
          </dPt>
          <dPt>
            <idx val="2"/>
            <spPr>
              <a:solidFill>
                <a:srgbClr val="9BBB59"/>
              </a:solidFill>
              <a:ln w="0">
                <a:noFill/>
                <a:prstDash val="solid"/>
              </a:ln>
            </spPr>
          </dPt>
          <dPt>
            <idx val="3"/>
            <spPr>
              <a:solidFill>
                <a:srgbClr val="8064A2"/>
              </a:solidFill>
              <a:ln w="0">
                <a:noFill/>
                <a:prstDash val="solid"/>
              </a:ln>
            </spPr>
          </dPt>
          <dPt>
            <idx val="4"/>
            <spPr>
              <a:solidFill>
                <a:srgbClr val="4BACC6"/>
              </a:solidFill>
              <a:ln w="0">
                <a:noFill/>
                <a:prstDash val="solid"/>
              </a:ln>
            </spPr>
          </dPt>
          <dPt>
            <idx val="5"/>
            <spPr>
              <a:solidFill>
                <a:srgbClr val="F79646"/>
              </a:solidFill>
              <a:ln w="0">
                <a:noFill/>
                <a:prstDash val="solid"/>
              </a:ln>
            </spPr>
          </dPt>
          <dPt>
            <idx val="6"/>
            <spPr>
              <a:solidFill>
                <a:srgbClr val="84A7D1"/>
              </a:solidFill>
              <a:ln w="0">
                <a:noFill/>
                <a:prstDash val="solid"/>
              </a:ln>
            </spPr>
          </dPt>
          <dPt>
            <idx val="7"/>
            <spPr>
              <a:solidFill>
                <a:srgbClr val="D38582"/>
              </a:solidFill>
              <a:ln w="0">
                <a:noFill/>
                <a:prstDash val="solid"/>
              </a:ln>
            </spPr>
          </dPt>
          <dPt>
            <idx val="8"/>
            <spPr>
              <a:solidFill>
                <a:srgbClr val="B9CF8B"/>
              </a:solidFill>
              <a:ln w="0">
                <a:noFill/>
                <a:prstDash val="solid"/>
              </a:ln>
            </spPr>
          </dPt>
          <dPt>
            <idx val="9"/>
            <spPr>
              <a:solidFill>
                <a:srgbClr val="A693BE"/>
              </a:solidFill>
              <a:ln w="0">
                <a:noFill/>
                <a:prstDash val="solid"/>
              </a:ln>
            </spPr>
          </dPt>
          <dLbls>
            <dLbl>
              <idx val="0"/>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1"/>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2"/>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3"/>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4"/>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5"/>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6"/>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7"/>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8"/>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dLbl>
              <idx val="9"/>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dLbl>
            <txPr>
              <a:bodyPr wrap="square"/>
              <a:lstStyle/>
              <a:p>
                <a:pPr>
                  <a:defRPr sz="1000" b="0" strike="noStrike">
                    <a:solidFill>
                      <a:srgbClr val="000000"/>
                    </a:solidFill>
                    <a:uFillTx/>
                    <a:latin typeface="Calibri"/>
                    <a:ea typeface="Calibri"/>
                  </a:defRPr>
                </a:pPr>
                <a:r>
                  <a:t>None</a:t>
                </a:r>
              </a:p>
            </txPr>
            <dLblPos val="bestFit"/>
            <showLegendKey val="0"/>
            <showVal val="0"/>
            <showCatName val="0"/>
            <showSerName val="0"/>
            <showPercent val="0"/>
            <showLeaderLines val="1"/>
          </dLbls>
          <cat>
            <strRef>
              <f>'Report Test'!$C$42:$C$51</f>
              <strCache>
                <ptCount val="10"/>
                <pt idx="0">
                  <v>Function A</v>
                </pt>
                <pt idx="1">
                  <v>Function B</v>
                </pt>
                <pt idx="2">
                  <v>Function C</v>
                </pt>
                <pt idx="3">
                  <v>None</v>
                </pt>
                <pt idx="4">
                  <v>None</v>
                </pt>
                <pt idx="5">
                  <v>None</v>
                </pt>
                <pt idx="6">
                  <v>None</v>
                </pt>
                <pt idx="7">
                  <v>None</v>
                </pt>
                <pt idx="8">
                  <v>None</v>
                </pt>
                <pt idx="9">
                  <v>None</v>
                </pt>
              </strCache>
            </strRef>
          </cat>
          <val>
            <numRef>
              <f>'Report Test'!$H$42:$H$51</f>
              <numCache>
                <formatCode>0</formatCode>
                <ptCount val="10"/>
                <pt idx="0">
                  <v>5</v>
                </pt>
                <pt idx="1">
                  <v>4</v>
                </pt>
                <pt idx="2">
                  <v>4</v>
                </pt>
                <pt idx="3">
                  <v>0</v>
                </pt>
                <pt idx="4">
                  <v>0</v>
                </pt>
                <pt idx="5">
                  <v>0</v>
                </pt>
                <pt idx="6">
                  <v>0</v>
                </pt>
                <pt idx="7">
                  <v>0</v>
                </pt>
                <pt idx="8">
                  <v>0</v>
                </pt>
                <pt idx="9">
                  <v>0</v>
                </pt>
              </numCache>
            </numRef>
          </val>
        </ser>
        <firstSliceAng val="0"/>
      </pieChart>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14.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Mức độ áp dụng SDLC / Automation (%)</a:t>
            </a:r>
          </a:p>
        </rich>
      </tx>
      <overlay val="0"/>
      <spPr>
        <a:noFill/>
        <a:ln w="0">
          <a:noFill/>
          <a:prstDash val="solid"/>
        </a:ln>
      </spPr>
    </title>
    <plotArea>
      <barChart>
        <barDir val="bar"/>
        <grouping val="clustered"/>
        <varyColors val="0"/>
        <ser>
          <idx val="0"/>
          <order val="0"/>
          <spPr>
            <a:solidFill>
              <a:srgbClr val="4F81B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Test'!$B$200:$B$205</f>
              <strCache>
                <ptCount val="6"/>
                <pt idx="0">
                  <v>TC sinh bởi AI (AI-generated)</v>
                </pt>
                <pt idx="1">
                  <v>TC do QC viết tay</v>
                </pt>
                <pt idx="2">
                  <v>TC đã automation (có script)</v>
                </pt>
                <pt idx="3">
                  <v>TC Vibe-test</v>
                </pt>
                <pt idx="4">
                  <v>TC đã QC review</v>
                </pt>
                <pt idx="5">
                  <v>TC script auto chạy Pass</v>
                </pt>
              </strCache>
            </strRef>
          </cat>
          <val>
            <numRef>
              <f>'Report Test'!$D$200:$D$205</f>
              <numCache>
                <formatCode>0.0%</formatCode>
                <ptCount val="6"/>
                <pt idx="0">
                  <v>1</v>
                </pt>
                <pt idx="1">
                  <v>0</v>
                </pt>
                <pt idx="2">
                  <v>0</v>
                </pt>
                <pt idx="3">
                  <v>0</v>
                </pt>
                <pt idx="4">
                  <v>0</v>
                </pt>
                <pt idx="5">
                  <v>0</v>
                </pt>
              </numCache>
            </numRef>
          </val>
        </ser>
        <gapWidth val="150"/>
        <overlap val="0"/>
        <axId val="52706646"/>
        <axId val="21685410"/>
      </barChart>
      <catAx>
        <axId val="52706646"/>
        <scaling>
          <orientation val="maxMin"/>
        </scaling>
        <delete val="0"/>
        <axPos val="b"/>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1685410"/>
        <crosses val="autoZero"/>
        <auto val="1"/>
        <lblAlgn val="ctr"/>
        <lblOffset val="100"/>
        <noMultiLvlLbl val="0"/>
      </catAx>
      <valAx>
        <axId val="21685410"/>
        <scaling>
          <orientation val="minMax"/>
        </scaling>
        <delete val="0"/>
        <axPos val="l"/>
        <majorGridlines>
          <spPr>
            <a:ln w="6480">
              <a:solidFill>
                <a:srgbClr val="B7B7B7"/>
              </a:solidFill>
              <a:prstDash val="solid"/>
              <a:round/>
            </a:ln>
          </spPr>
        </majorGridlines>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52706646"/>
        <crosses val="max"/>
        <crossBetween val="between"/>
      </valAx>
    </plotArea>
    <plotVisOnly val="1"/>
    <dispBlanksAs val="zero"/>
  </chart>
  <spPr>
    <a:solidFill>
      <a:srgbClr val="FFFFFF"/>
    </a:solidFill>
    <a:ln w="9360">
      <a:solidFill>
        <a:srgbClr val="D9D9D9"/>
      </a:solidFill>
      <a:prstDash val="solid"/>
      <a:round/>
    </a:ln>
  </spPr>
</chartSpace>
</file>

<file path=xl/charts/chart15.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Pass / Fail theo Round</a:t>
            </a:r>
          </a:p>
        </rich>
      </tx>
      <overlay val="0"/>
      <spPr>
        <a:noFill/>
        <a:ln w="0">
          <a:noFill/>
          <a:prstDash val="solid"/>
        </a:ln>
      </spPr>
    </title>
    <plotArea>
      <barChart>
        <barDir val="col"/>
        <grouping val="clustered"/>
        <varyColors val="0"/>
        <ser>
          <idx val="0"/>
          <order val="0"/>
          <tx>
            <strRef>
              <f>'Report Test'!$F$217</f>
              <strCache>
                <ptCount val="1"/>
                <pt idx="0">
                  <v>Pass</v>
                </pt>
              </strCache>
            </strRef>
          </tx>
          <spPr>
            <a:solidFill>
              <a:srgbClr val="4472C4"/>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Test'!$B$218:$B$220</f>
              <strCache>
                <ptCount val="3"/>
                <pt idx="0">
                  <v>Round 1</v>
                </pt>
                <pt idx="1">
                  <v>Round 2</v>
                </pt>
                <pt idx="2">
                  <v>Round 3</v>
                </pt>
              </strCache>
            </strRef>
          </cat>
          <val>
            <numRef>
              <f>'Report Test'!$F$218:$F$220</f>
              <numCache>
                <formatCode>0</formatCode>
                <ptCount val="3"/>
                <pt idx="0">
                  <v>0</v>
                </pt>
                <pt idx="1">
                  <v>0</v>
                </pt>
                <pt idx="2">
                  <v>0</v>
                </pt>
              </numCache>
            </numRef>
          </val>
        </ser>
        <ser>
          <idx val="1"/>
          <order val="1"/>
          <tx>
            <strRef>
              <f>'Report Test'!$G$217</f>
              <strCache>
                <ptCount val="1"/>
                <pt idx="0">
                  <v>Fail</v>
                </pt>
              </strCache>
            </strRef>
          </tx>
          <spPr>
            <a:solidFill>
              <a:srgbClr val="C0504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Test'!$B$218:$B$220</f>
              <strCache>
                <ptCount val="3"/>
                <pt idx="0">
                  <v>Round 1</v>
                </pt>
                <pt idx="1">
                  <v>Round 2</v>
                </pt>
                <pt idx="2">
                  <v>Round 3</v>
                </pt>
              </strCache>
            </strRef>
          </cat>
          <val>
            <numRef>
              <f>'Report Test'!$G$218:$G$220</f>
              <numCache>
                <formatCode>0</formatCode>
                <ptCount val="3"/>
                <pt idx="0">
                  <v>0</v>
                </pt>
                <pt idx="1">
                  <v>0</v>
                </pt>
                <pt idx="2">
                  <v>0</v>
                </pt>
              </numCache>
            </numRef>
          </val>
        </ser>
        <gapWidth val="150"/>
        <overlap val="0"/>
        <axId val="41964292"/>
        <axId val="47431630"/>
      </barChart>
      <catAx>
        <axId val="41964292"/>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47431630"/>
        <crosses val="autoZero"/>
        <auto val="1"/>
        <lblAlgn val="ctr"/>
        <lblOffset val="100"/>
        <noMultiLvlLbl val="0"/>
      </catAx>
      <valAx>
        <axId val="47431630"/>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41964292"/>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16.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Bug phát hiện vs đã đóng theo Round</a:t>
            </a:r>
          </a:p>
        </rich>
      </tx>
      <overlay val="0"/>
      <spPr>
        <a:noFill/>
        <a:ln w="0">
          <a:noFill/>
          <a:prstDash val="solid"/>
        </a:ln>
      </spPr>
    </title>
    <plotArea>
      <barChart>
        <barDir val="col"/>
        <grouping val="clustered"/>
        <varyColors val="0"/>
        <ser>
          <idx val="0"/>
          <order val="0"/>
          <tx>
            <strRef>
              <f>'Report Test'!$C$226</f>
              <strCache>
                <ptCount val="1"/>
                <pt idx="0">
                  <v>Phát hiện</v>
                </pt>
              </strCache>
            </strRef>
          </tx>
          <spPr>
            <a:solidFill>
              <a:srgbClr val="4472C4"/>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Test'!$B$227:$B$229</f>
              <strCache>
                <ptCount val="3"/>
                <pt idx="0">
                  <v>1</v>
                </pt>
                <pt idx="1">
                  <v>2</v>
                </pt>
                <pt idx="2">
                  <v>3</v>
                </pt>
              </strCache>
            </strRef>
          </cat>
          <val>
            <numRef>
              <f>'Report Test'!$C$227:$C$229</f>
              <numCache>
                <formatCode>General</formatCode>
                <ptCount val="3"/>
                <pt idx="0">
                  <v>8</v>
                </pt>
                <pt idx="1">
                  <v>3</v>
                </pt>
                <pt idx="2">
                  <v>2</v>
                </pt>
              </numCache>
            </numRef>
          </val>
        </ser>
        <ser>
          <idx val="1"/>
          <order val="1"/>
          <tx>
            <strRef>
              <f>'Report Test'!$D$226</f>
              <strCache>
                <ptCount val="1"/>
                <pt idx="0">
                  <v>Đã đóng</v>
                </pt>
              </strCache>
            </strRef>
          </tx>
          <spPr>
            <a:solidFill>
              <a:srgbClr val="C0504D"/>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'Report Test'!$B$227:$B$229</f>
              <strCache>
                <ptCount val="3"/>
                <pt idx="0">
                  <v>1</v>
                </pt>
                <pt idx="1">
                  <v>2</v>
                </pt>
                <pt idx="2">
                  <v>3</v>
                </pt>
              </strCache>
            </strRef>
          </cat>
          <val>
            <numRef>
              <f>'Report Test'!$D$227:$D$229</f>
              <numCache>
                <formatCode>General</formatCode>
                <ptCount val="3"/>
                <pt idx="0">
                  <v>3</v>
                </pt>
                <pt idx="1">
                  <v>2</v>
                </pt>
                <pt idx="2">
                  <v>1</v>
                </pt>
              </numCache>
            </numRef>
          </val>
        </ser>
        <gapWidth val="150"/>
        <overlap val="0"/>
        <axId val="2020512"/>
        <axId val="6228725"/>
      </barChart>
      <catAx>
        <axId val="2020512"/>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6228725"/>
        <crosses val="autoZero"/>
        <auto val="1"/>
        <lblAlgn val="ctr"/>
        <lblOffset val="100"/>
        <noMultiLvlLbl val="0"/>
      </catAx>
      <valAx>
        <axId val="6228725"/>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2020512"/>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17.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Pass rate % theo Round</a:t>
            </a:r>
          </a:p>
        </rich>
      </tx>
      <overlay val="0"/>
      <spPr>
        <a:noFill/>
        <a:ln w="0">
          <a:noFill/>
          <a:prstDash val="solid"/>
        </a:ln>
      </spPr>
    </title>
    <plotArea>
      <lineChart>
        <grouping val="standard"/>
        <varyColors val="0"/>
        <ser>
          <idx val="0"/>
          <order val="0"/>
          <tx>
            <strRef>
              <f>'Report Test'!$K$217</f>
              <strCache>
                <ptCount val="1"/>
                <pt idx="0">
                  <v>Pass rate</v>
                </pt>
              </strCache>
            </strRef>
          </tx>
          <spPr>
            <a:solidFill>
              <a:srgbClr val="4472C4"/>
            </a:solidFill>
            <a:ln w="19080">
              <a:solidFill>
                <a:srgbClr val="4472C4"/>
              </a:solidFill>
              <a:prstDash val="solid"/>
              <a:round/>
            </a:ln>
          </spPr>
          <marker>
            <symbol val="none"/>
            <spPr>
              <a:ln>
                <a:prstDash val="solid"/>
              </a:ln>
            </spPr>
          </marker>
          <dLbls>
            <txPr>
              <a:bodyPr wrap="square"/>
              <a:lstStyle/>
              <a:p>
                <a:pPr>
                  <a:defRPr sz="1000" b="0" strike="noStrike">
                    <a:solidFill>
                      <a:srgbClr val="000000"/>
                    </a:solidFill>
                    <a:uFillTx/>
                    <a:latin typeface="Arial"/>
                    <a:ea typeface="Calibri"/>
                  </a:defRPr>
                </a:pPr>
                <a:r>
                  <a:t>None</a:t>
                </a:r>
              </a:p>
            </txPr>
            <dLblPos val="r"/>
            <showLegendKey val="0"/>
            <showVal val="0"/>
            <showCatName val="0"/>
            <showSerName val="0"/>
            <showPercent val="0"/>
            <showLeaderLines val="1"/>
          </dLbls>
          <cat>
            <strRef>
              <f>'Report Test'!$B$218:$B$220</f>
              <strCache>
                <ptCount val="3"/>
                <pt idx="0">
                  <v>Round 1</v>
                </pt>
                <pt idx="1">
                  <v>Round 2</v>
                </pt>
                <pt idx="2">
                  <v>Round 3</v>
                </pt>
              </strCache>
            </strRef>
          </cat>
          <val>
            <numRef>
              <f>'Report Test'!$K$218:$K$220</f>
              <numCache>
                <formatCode>General</formatCode>
                <ptCount val="3"/>
              </numCache>
            </numRef>
          </val>
          <smooth val="0"/>
        </ser>
        <hiLowLines>
          <spPr>
            <a:ln w="0">
              <a:noFill/>
              <a:prstDash val="solid"/>
            </a:ln>
          </spPr>
        </hiLowLines>
        <marker val="0"/>
        <axId val="15235261"/>
        <axId val="8024134"/>
      </lineChart>
      <catAx>
        <axId val="15235261"/>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8024134"/>
        <crosses val="autoZero"/>
        <auto val="1"/>
        <lblAlgn val="ctr"/>
        <lblOffset val="100"/>
        <noMultiLvlLbl val="0"/>
      </catAx>
      <valAx>
        <axId val="8024134"/>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0.0%" sourceLinked="0"/>
        <majorTickMark val="cross"/>
        <minorTickMark val="none"/>
        <tickLblPos val="nextTo"/>
        <spPr>
          <a:ln w="6480">
            <a:solidFill>
              <a:srgbClr val="8B8B8B"/>
            </a:solidFill>
            <a:prstDash val="solid"/>
            <a:round/>
          </a:ln>
        </spPr>
        <txPr>
          <a:bodyPr/>
          <a:lstStyle/>
          <a:p>
            <a:pPr>
              <a:defRPr sz="1000" b="0" strike="noStrike">
                <a:solidFill>
                  <a:srgbClr val="000000"/>
                </a:solidFill>
                <a:uFillTx/>
                <a:latin typeface="Calibri"/>
                <a:ea typeface="Calibri"/>
              </a:defRPr>
            </a:pPr>
            <a:r>
              <a:t>None</a:t>
            </a:r>
          </a:p>
        </txPr>
        <crossAx val="15235261"/>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harts/chart18.xml><?xml version="1.0" encoding="utf-8"?>
<chartSpace xmlns:a="http://schemas.openxmlformats.org/drawingml/2006/main" xmlns="http://schemas.openxmlformats.org/drawingml/2006/chart">
  <chart>
    <title>
      <tx>
        <rich>
          <a:bodyPr rot="0"/>
          <a:lstStyle/>
          <a:p>
            <a:pPr>
              <a:defRPr sz="1300" b="0" strike="noStrike">
                <a:uFillTx/>
                <a:latin typeface="Arial"/>
              </a:defRPr>
            </a:pPr>
            <a:r>
              <a:rPr sz="1800" b="1" strike="noStrike">
                <a:solidFill>
                  <a:srgbClr val="757575"/>
                </a:solidFill>
                <a:uFillTx/>
                <a:latin typeface="Calibri"/>
                <a:ea typeface="Calibri"/>
              </a:rPr>
              <a:t>Độ phủ theo yêu cầu (Số TC vs Đã chạy)</a:t>
            </a:r>
          </a:p>
        </rich>
      </tx>
      <overlay val="0"/>
      <spPr>
        <a:noFill/>
        <a:ln w="0">
          <a:noFill/>
          <a:prstDash val="solid"/>
        </a:ln>
      </spPr>
    </title>
    <plotArea>
      <barChart>
        <barDir val="col"/>
        <grouping val="clustered"/>
        <varyColors val="0"/>
        <ser>
          <idx val="0"/>
          <order val="0"/>
          <tx>
            <strRef>
              <f>RTM!$E$5</f>
              <strCache>
                <ptCount val="1"/>
                <pt idx="0">
                  <v>Số TC</v>
                </pt>
              </strCache>
            </strRef>
          </tx>
          <spPr>
            <a:solidFill>
              <a:srgbClr val="A9D08E"/>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RTM!$B$6:$B$10</f>
              <strCache>
                <ptCount val="5"/>
                <pt idx="0">
                  <v>REQ-USR-002</v>
                </pt>
                <pt idx="1">
                  <v>REQ-USR-003</v>
                </pt>
                <pt idx="2">
                  <v>REQ-USR-004</v>
                </pt>
                <pt idx="3">
                  <v>REQ-USR-005</v>
                </pt>
                <pt idx="4">
                  <v>REQ-ORD-004</v>
                </pt>
              </strCache>
            </strRef>
          </cat>
          <val>
            <numRef>
              <f>RTM!$E$6:$E$10</f>
              <numCache>
                <formatCode>0</formatCode>
                <ptCount val="5"/>
                <pt idx="0">
                  <v>1</v>
                </pt>
                <pt idx="1">
                  <v>1</v>
                </pt>
                <pt idx="2">
                  <v>7</v>
                </pt>
                <pt idx="3">
                  <v>1</v>
                </pt>
                <pt idx="4">
                  <v>2</v>
                </pt>
              </numCache>
            </numRef>
          </val>
        </ser>
        <ser>
          <idx val="1"/>
          <order val="1"/>
          <tx>
            <strRef>
              <f>RTM!$F$5</f>
              <strCache>
                <ptCount val="1"/>
                <pt idx="0">
                  <v>Đã chạy</v>
                </pt>
              </strCache>
            </strRef>
          </tx>
          <spPr>
            <a:solidFill>
              <a:srgbClr val="4472C4"/>
            </a:solidFill>
            <a:ln w="12600">
              <a:noFill/>
              <a:prstDash val="solid"/>
            </a:ln>
          </spPr>
          <invertIfNegative val="0"/>
          <dLbls>
            <txPr>
              <a:bodyPr wrap="square"/>
              <a:lstStyle/>
              <a:p>
                <a:pPr>
                  <a:defRPr sz="1000" b="0" strike="noStrike">
                    <a:solidFill>
                      <a:srgbClr val="000000"/>
                    </a:solidFill>
                    <a:uFillTx/>
                    <a:latin typeface="Arial"/>
                    <a:ea typeface="Calibri"/>
                  </a:defRPr>
                </a:pPr>
                <a:r>
                  <a:t>None</a:t>
                </a:r>
              </a:p>
            </txPr>
            <dLblPos val="outEnd"/>
            <showLegendKey val="0"/>
            <showVal val="0"/>
            <showCatName val="0"/>
            <showSerName val="0"/>
            <showPercent val="0"/>
            <showLeaderLines val="1"/>
          </dLbls>
          <cat>
            <strRef>
              <f>RTM!$B$6:$B$10</f>
              <strCache>
                <ptCount val="5"/>
                <pt idx="0">
                  <v>REQ-USR-002</v>
                </pt>
                <pt idx="1">
                  <v>REQ-USR-003</v>
                </pt>
                <pt idx="2">
                  <v>REQ-USR-004</v>
                </pt>
                <pt idx="3">
                  <v>REQ-USR-005</v>
                </pt>
                <pt idx="4">
                  <v>REQ-ORD-004</v>
                </pt>
              </strCache>
            </strRef>
          </cat>
          <val>
            <numRef>
              <f>RTM!$F$6:$F$10</f>
              <numCache>
                <formatCode>0</formatCode>
                <ptCount val="5"/>
                <pt idx="0">
                  <v>0</v>
                </pt>
                <pt idx="1">
                  <v>0</v>
                </pt>
                <pt idx="2">
                  <v>0</v>
                </pt>
                <pt idx="3">
                  <v>0</v>
                </pt>
                <pt idx="4">
                  <v>0</v>
                </pt>
              </numCache>
            </numRef>
          </val>
        </ser>
        <gapWidth val="150"/>
        <overlap val="0"/>
        <axId val="49638708"/>
        <axId val="83310523"/>
      </barChart>
      <catAx>
        <axId val="49638708"/>
        <scaling>
          <orientation val="minMax"/>
        </scaling>
        <delete val="0"/>
        <axPos val="b"/>
        <title>
          <tx>
            <rich>
              <a:bodyPr rot="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83310523"/>
        <crosses val="autoZero"/>
        <auto val="1"/>
        <lblAlgn val="ctr"/>
        <lblOffset val="100"/>
        <noMultiLvlLbl val="0"/>
      </catAx>
      <valAx>
        <axId val="83310523"/>
        <scaling>
          <orientation val="minMax"/>
        </scaling>
        <delete val="0"/>
        <axPos val="l"/>
        <majorGridlines>
          <spPr>
            <a:ln w="6480">
              <a:solidFill>
                <a:srgbClr val="B7B7B7"/>
              </a:solidFill>
              <a:prstDash val="solid"/>
              <a:round/>
            </a:ln>
          </spPr>
        </majorGridlines>
        <title>
          <tx>
            <rich>
              <a:bodyPr rot="-5400000"/>
              <a:lstStyle/>
              <a:p>
                <a:pPr>
                  <a:defRPr sz="1300" b="0" strike="noStrike">
                    <a:uFillTx/>
                    <a:latin typeface="Arial"/>
                  </a:defRPr>
                </a:pPr>
                <a:r>
                  <a:rPr sz="1000" b="0" strike="noStrike">
                    <a:solidFill>
                      <a:srgbClr val="000000"/>
                    </a:solidFill>
                    <a:uFillTx/>
                    <a:latin typeface="Calibri"/>
                    <a:ea typeface="Calibri"/>
                  </a:rPr>
                  <a:t>None</a:t>
                </a:r>
              </a:p>
            </rich>
          </tx>
          <overlay val="0"/>
          <spPr>
            <a:noFill/>
            <a:ln w="0">
              <a:noFill/>
              <a:prstDash val="solid"/>
            </a:ln>
          </spPr>
        </title>
        <numFmt formatCode="General" sourceLinked="0"/>
        <majorTickMark val="none"/>
        <minorTickMark val="none"/>
        <tickLblPos val="nextTo"/>
        <spPr>
          <a:ln w="6480">
            <a:noFill/>
            <a:prstDash val="solid"/>
          </a:ln>
        </spPr>
        <txPr>
          <a:bodyPr/>
          <a:lstStyle/>
          <a:p>
            <a:pPr>
              <a:defRPr sz="1000" b="0" strike="noStrike">
                <a:solidFill>
                  <a:srgbClr val="000000"/>
                </a:solidFill>
                <a:uFillTx/>
                <a:latin typeface="Calibri"/>
                <a:ea typeface="Calibri"/>
              </a:defRPr>
            </a:pPr>
            <a:r>
              <a:t>None</a:t>
            </a:r>
          </a:p>
        </txPr>
        <crossAx val="49638708"/>
        <crosses val="autoZero"/>
        <crossBetween val="between"/>
      </valAx>
    </plotArea>
    <legend>
      <legendPos val="r"/>
      <overlay val="0"/>
      <spPr>
        <a:noFill/>
        <a:ln w="0">
          <a:noFill/>
          <a:prstDash val="solid"/>
        </a:ln>
      </spPr>
      <txPr>
        <a:bodyPr/>
        <a:lstStyle/>
        <a:p>
          <a:pPr>
            <a:defRPr sz="1000" b="0" strike="noStrike">
              <a:solidFill>
                <a:srgbClr val="1A1A1A"/>
              </a:solidFill>
              <a:uFillTx/>
              <a:latin typeface="Calibri"/>
              <a:ea typeface="Calibri"/>
            </a:defRPr>
          </a:pPr>
          <a:r>
            <a:t>None</a:t>
          </a:r>
        </a:p>
      </txPr>
    </legend>
    <plotVisOnly val="1"/>
    <dispBlanksAs val="zero"/>
  </chart>
  <spPr>
    <a:solidFill>
      <a:srgbClr val="FFFFFF"/>
    </a:solidFill>
    <a:ln w="9360">
      <a:solidFill>
        <a:srgbClr val="D9D9D9"/>
      </a:solidFill>
      <a:prstDash val="solid"/>
      <a:round/>
    </a:ln>
  </spPr>
</chartSpace>
</file>

<file path=xl/comments/comment1.xml><?xml version="1.0" encoding="utf-8"?>
<comments xmlns="http://schemas.openxmlformats.org/spreadsheetml/2006/main">
  <authors>
    <author>Unknown Author</author>
  </authors>
  <commentList>
    <comment ref="L217" authorId="0" shapeId="0">
      <text>
        <t>======
ID#AAAB_rq93Wk
Ghi rõ chức năng/scope test của từng Round giúp Manager nắm tổng quát    (2026-07-08 10:16:14)
• TH1 – Round chia scope KHÔNG trùng (VD: R1: Function A; R2: Function B, C) → độ phủ cộng dồn.
• TH2 – mỗi Round chạy full regression toàn bộ chức năng (số Round = số lần test lại).</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_rels/drawing3.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s>
</file>

<file path=xl/drawings/_rels/drawing4.xml.rels><Relationships xmlns="http://schemas.openxmlformats.org/package/2006/relationships"><Relationship Type="http://schemas.openxmlformats.org/officeDocument/2006/relationships/chart" Target="/xl/charts/chart4.xml" Id="rId1" /><Relationship Type="http://schemas.openxmlformats.org/officeDocument/2006/relationships/chart" Target="/xl/charts/chart5.xml" Id="rId2" /><Relationship Type="http://schemas.openxmlformats.org/officeDocument/2006/relationships/chart" Target="/xl/charts/chart6.xml" Id="rId3" /><Relationship Type="http://schemas.openxmlformats.org/officeDocument/2006/relationships/chart" Target="/xl/charts/chart7.xml" Id="rId4" /><Relationship Type="http://schemas.openxmlformats.org/officeDocument/2006/relationships/chart" Target="/xl/charts/chart8.xml" Id="rId5" /><Relationship Type="http://schemas.openxmlformats.org/officeDocument/2006/relationships/chart" Target="/xl/charts/chart9.xml" Id="rId6" /><Relationship Type="http://schemas.openxmlformats.org/officeDocument/2006/relationships/chart" Target="/xl/charts/chart10.xml" Id="rId7" /><Relationship Type="http://schemas.openxmlformats.org/officeDocument/2006/relationships/chart" Target="/xl/charts/chart11.xml" Id="rId8" /><Relationship Type="http://schemas.openxmlformats.org/officeDocument/2006/relationships/chart" Target="/xl/charts/chart12.xml" Id="rId9" /><Relationship Type="http://schemas.openxmlformats.org/officeDocument/2006/relationships/chart" Target="/xl/charts/chart13.xml" Id="rId10" /><Relationship Type="http://schemas.openxmlformats.org/officeDocument/2006/relationships/chart" Target="/xl/charts/chart14.xml" Id="rId11" /><Relationship Type="http://schemas.openxmlformats.org/officeDocument/2006/relationships/chart" Target="/xl/charts/chart15.xml" Id="rId12" /><Relationship Type="http://schemas.openxmlformats.org/officeDocument/2006/relationships/chart" Target="/xl/charts/chart16.xml" Id="rId13" /><Relationship Type="http://schemas.openxmlformats.org/officeDocument/2006/relationships/chart" Target="/xl/charts/chart17.xml" Id="rId14" /></Relationships>
</file>

<file path=xl/drawings/_rels/drawing5.xml.rels><Relationships xmlns="http://schemas.openxmlformats.org/package/2006/relationships"><Relationship Type="http://schemas.openxmlformats.org/officeDocument/2006/relationships/chart" Target="/xl/charts/chart18.xml"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1</col>
      <colOff>104760</colOff>
      <row>0</row>
      <rowOff>66600</rowOff>
    </from>
    <to>
      <col>3</col>
      <colOff>158760</colOff>
      <row>3</row>
      <rowOff>160920</rowOff>
    </to>
    <pic>
      <nvPicPr>
        <cNvPr id="1" name="image1.png"/>
        <cNvPicPr/>
      </nvPicPr>
      <blipFill>
        <a:blip r:embed="rId1"/>
        <a:stretch>
          <a:fillRect/>
        </a:stretch>
      </blipFill>
      <spPr>
        <a:xfrm>
          <a:off x="316080" y="66600"/>
          <a:ext cx="2027880" cy="1056240"/>
        </a:xfrm>
        <a:prstGeom prst="rect">
          <avLst/>
        </a:prstGeom>
        <a:noFill/>
        <a:ln w="0">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0</col>
      <colOff>0</colOff>
      <row>0</row>
      <rowOff>0</rowOff>
    </from>
    <to>
      <col>2</col>
      <colOff>829800</colOff>
      <row>2</row>
      <rowOff>294120</rowOff>
    </to>
    <pic>
      <nvPicPr>
        <cNvPr id="2" name="image1.png"/>
        <cNvPicPr/>
      </nvPicPr>
      <blipFill>
        <a:blip r:embed="rId1"/>
        <a:stretch>
          <a:fillRect/>
        </a:stretch>
      </blipFill>
      <spPr>
        <a:xfrm>
          <a:off x="0" y="0"/>
          <a:ext cx="2027880" cy="1056240"/>
        </a:xfrm>
        <a:prstGeom prst="rect">
          <avLst/>
        </a:prstGeom>
        <a:noFill/>
        <a:ln w="0">
          <a:noFill/>
          <a:prstDash val="solid"/>
        </a:ln>
      </spPr>
    </pic>
    <clientData/>
  </two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181080</colOff>
      <row>22</row>
      <rowOff>76320</rowOff>
    </from>
    <to>
      <col>6</col>
      <colOff>854280</colOff>
      <row>39</row>
      <rowOff>37440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7</col>
      <colOff>276120</colOff>
      <row>22</row>
      <rowOff>76320</rowOff>
    </from>
    <to>
      <col>13</col>
      <colOff>96120</colOff>
      <row>39</row>
      <rowOff>37440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4</col>
      <colOff>714240</colOff>
      <row>40</row>
      <rowOff>190440</rowOff>
    </from>
    <to>
      <col>11</col>
      <colOff>3600</colOff>
      <row>54</row>
      <rowOff>132120</rowOff>
    </to>
    <graphicFrame>
      <nvGraphicFramePr>
        <cNvPr id="3" name="Chart 3"/>
        <cNvGraphicFramePr/>
      </nvGraphicFramePr>
      <xfrm/>
      <a:graphic>
        <a:graphicData uri="http://schemas.openxmlformats.org/drawingml/2006/chart">
          <c:chart r:id="rId3"/>
        </a:graphicData>
      </a:graphic>
    </graphicFrame>
    <clientData/>
  </two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142920</colOff>
      <row>21</row>
      <rowOff>47520</rowOff>
    </from>
    <to>
      <col>5</col>
      <colOff>755280</colOff>
      <row>35</row>
      <rowOff>132120</rowOff>
    </to>
    <graphicFrame>
      <nvGraphicFramePr>
        <cNvPr id="1" name="Chart 1"/>
        <cNvGraphicFramePr/>
      </nvGraphicFramePr>
      <xfrm/>
      <a:graphic>
        <a:graphicData uri="http://schemas.openxmlformats.org/drawingml/2006/chart">
          <c:chart r:id="rId1"/>
        </a:graphicData>
      </a:graphic>
    </graphicFrame>
    <clientData/>
  </twoCellAnchor>
  <twoCellAnchor editAs="oneCell">
    <from>
      <col>0</col>
      <colOff>142920</colOff>
      <row>63</row>
      <rowOff>123840</rowOff>
    </from>
    <to>
      <col>6</col>
      <colOff>494280</colOff>
      <row>79</row>
      <rowOff>27360</rowOff>
    </to>
    <graphicFrame>
      <nvGraphicFramePr>
        <cNvPr id="2" name="Chart 2"/>
        <cNvGraphicFramePr/>
      </nvGraphicFramePr>
      <xfrm/>
      <a:graphic>
        <a:graphicData uri="http://schemas.openxmlformats.org/drawingml/2006/chart">
          <c:chart r:id="rId2"/>
        </a:graphicData>
      </a:graphic>
    </graphicFrame>
    <clientData/>
  </twoCellAnchor>
  <twoCellAnchor editAs="oneCell">
    <from>
      <col>4</col>
      <colOff>847800</colOff>
      <row>97</row>
      <rowOff>190440</rowOff>
    </from>
    <to>
      <col>11</col>
      <colOff>574560</colOff>
      <row>112</row>
      <rowOff>122760</rowOff>
    </to>
    <graphicFrame>
      <nvGraphicFramePr>
        <cNvPr id="3" name="Chart 3"/>
        <cNvGraphicFramePr/>
      </nvGraphicFramePr>
      <xfrm/>
      <a:graphic>
        <a:graphicData uri="http://schemas.openxmlformats.org/drawingml/2006/chart">
          <c:chart r:id="rId3"/>
        </a:graphicData>
      </a:graphic>
    </graphicFrame>
    <clientData/>
  </twoCellAnchor>
  <twoCellAnchor editAs="oneCell">
    <from>
      <col>3</col>
      <colOff>723960</colOff>
      <row>81</row>
      <rowOff>0</rowOff>
    </from>
    <to>
      <col>10</col>
      <colOff>309600</colOff>
      <row>95</row>
      <rowOff>84960</rowOff>
    </to>
    <graphicFrame>
      <nvGraphicFramePr>
        <cNvPr id="4" name="Chart 4"/>
        <cNvGraphicFramePr/>
      </nvGraphicFramePr>
      <xfrm/>
      <a:graphic>
        <a:graphicData uri="http://schemas.openxmlformats.org/drawingml/2006/chart">
          <c:chart r:id="rId4"/>
        </a:graphicData>
      </a:graphic>
    </graphicFrame>
    <clientData/>
  </twoCellAnchor>
  <twoCellAnchor editAs="oneCell">
    <from>
      <col>3</col>
      <colOff>723960</colOff>
      <row>115</row>
      <rowOff>190440</rowOff>
    </from>
    <to>
      <col>10</col>
      <colOff>309600</colOff>
      <row>130</row>
      <rowOff>75240</rowOff>
    </to>
    <graphicFrame>
      <nvGraphicFramePr>
        <cNvPr id="5" name="Chart 5"/>
        <cNvGraphicFramePr/>
      </nvGraphicFramePr>
      <xfrm/>
      <a:graphic>
        <a:graphicData uri="http://schemas.openxmlformats.org/drawingml/2006/chart">
          <c:chart r:id="rId5"/>
        </a:graphicData>
      </a:graphic>
    </graphicFrame>
    <clientData/>
  </twoCellAnchor>
  <twoCellAnchor editAs="oneCell">
    <from>
      <col>4</col>
      <colOff>847800</colOff>
      <row>131</row>
      <rowOff>190440</rowOff>
    </from>
    <to>
      <col>11</col>
      <colOff>574560</colOff>
      <row>146</row>
      <rowOff>75240</rowOff>
    </to>
    <graphicFrame>
      <nvGraphicFramePr>
        <cNvPr id="6" name="Chart 6"/>
        <cNvGraphicFramePr/>
      </nvGraphicFramePr>
      <xfrm/>
      <a:graphic>
        <a:graphicData uri="http://schemas.openxmlformats.org/drawingml/2006/chart">
          <c:chart r:id="rId6"/>
        </a:graphicData>
      </a:graphic>
    </graphicFrame>
    <clientData/>
  </twoCellAnchor>
  <twoCellAnchor editAs="oneCell">
    <from>
      <col>2</col>
      <colOff>1724040</colOff>
      <row>147</row>
      <rowOff>190440</rowOff>
    </from>
    <to>
      <col>9</col>
      <colOff>111240</colOff>
      <row>162</row>
      <rowOff>75240</rowOff>
    </to>
    <graphicFrame>
      <nvGraphicFramePr>
        <cNvPr id="7" name="Chart 7"/>
        <cNvGraphicFramePr/>
      </nvGraphicFramePr>
      <xfrm/>
      <a:graphic>
        <a:graphicData uri="http://schemas.openxmlformats.org/drawingml/2006/chart">
          <c:chart r:id="rId7"/>
        </a:graphicData>
      </a:graphic>
    </graphicFrame>
    <clientData/>
  </twoCellAnchor>
  <twoCellAnchor editAs="oneCell">
    <from>
      <col>2</col>
      <colOff>1724040</colOff>
      <row>163</row>
      <rowOff>181080</rowOff>
    </from>
    <to>
      <col>9</col>
      <colOff>111240</colOff>
      <row>177</row>
      <rowOff>65520</rowOff>
    </to>
    <graphicFrame>
      <nvGraphicFramePr>
        <cNvPr id="8" name="Chart 8"/>
        <cNvGraphicFramePr/>
      </nvGraphicFramePr>
      <xfrm/>
      <a:graphic>
        <a:graphicData uri="http://schemas.openxmlformats.org/drawingml/2006/chart">
          <c:chart r:id="rId8"/>
        </a:graphicData>
      </a:graphic>
    </graphicFrame>
    <clientData/>
  </twoCellAnchor>
  <twoCellAnchor editAs="oneCell">
    <from>
      <col>2</col>
      <colOff>1724040</colOff>
      <row>179</row>
      <rowOff>190440</rowOff>
    </from>
    <to>
      <col>9</col>
      <colOff>111240</colOff>
      <row>193</row>
      <rowOff>74880</rowOff>
    </to>
    <graphicFrame>
      <nvGraphicFramePr>
        <cNvPr id="9" name="Chart 9"/>
        <cNvGraphicFramePr/>
      </nvGraphicFramePr>
      <xfrm/>
      <a:graphic>
        <a:graphicData uri="http://schemas.openxmlformats.org/drawingml/2006/chart">
          <c:chart r:id="rId9"/>
        </a:graphicData>
      </a:graphic>
    </graphicFrame>
    <clientData/>
  </twoCellAnchor>
  <twoCellAnchor editAs="oneCell">
    <from>
      <col>8</col>
      <colOff>781200</colOff>
      <row>38</row>
      <rowOff>190440</rowOff>
    </from>
    <to>
      <col>12</col>
      <colOff>317160</colOff>
      <row>55</row>
      <rowOff>27720</rowOff>
    </to>
    <graphicFrame>
      <nvGraphicFramePr>
        <cNvPr id="10" name="Chart 10"/>
        <cNvGraphicFramePr/>
      </nvGraphicFramePr>
      <xfrm/>
      <a:graphic>
        <a:graphicData uri="http://schemas.openxmlformats.org/drawingml/2006/chart">
          <c:chart r:id="rId10"/>
        </a:graphicData>
      </a:graphic>
    </graphicFrame>
    <clientData/>
  </twoCellAnchor>
  <twoCellAnchor editAs="oneCell">
    <from>
      <col>3</col>
      <colOff>723960</colOff>
      <row>196</row>
      <rowOff>0</rowOff>
    </from>
    <to>
      <col>10</col>
      <colOff>204840</colOff>
      <row>212</row>
      <rowOff>37080</rowOff>
    </to>
    <graphicFrame>
      <nvGraphicFramePr>
        <cNvPr id="11" name="Chart 11"/>
        <cNvGraphicFramePr/>
      </nvGraphicFramePr>
      <xfrm/>
      <a:graphic>
        <a:graphicData uri="http://schemas.openxmlformats.org/drawingml/2006/chart">
          <c:chart r:id="rId11"/>
        </a:graphicData>
      </a:graphic>
    </graphicFrame>
    <clientData/>
  </twoCellAnchor>
  <twoCellAnchor editAs="oneCell">
    <from>
      <col>12</col>
      <colOff>0</colOff>
      <row>214</row>
      <rowOff>198360</rowOff>
    </from>
    <to>
      <col>18</col>
      <colOff>854280</colOff>
      <row>225</row>
      <rowOff>73800</rowOff>
    </to>
    <graphicFrame>
      <nvGraphicFramePr>
        <cNvPr id="12" name="Chart 12"/>
        <cNvGraphicFramePr/>
      </nvGraphicFramePr>
      <xfrm/>
      <a:graphic>
        <a:graphicData uri="http://schemas.openxmlformats.org/drawingml/2006/chart">
          <c:chart r:id="rId12"/>
        </a:graphicData>
      </a:graphic>
    </graphicFrame>
    <clientData/>
  </twoCellAnchor>
  <twoCellAnchor editAs="oneCell">
    <from>
      <col>12</col>
      <colOff>0</colOff>
      <row>226</row>
      <rowOff>47520</rowOff>
    </from>
    <to>
      <col>18</col>
      <colOff>854280</colOff>
      <row>244</row>
      <rowOff>84600</rowOff>
    </to>
    <graphicFrame>
      <nvGraphicFramePr>
        <cNvPr id="13" name="Chart 13"/>
        <cNvGraphicFramePr/>
      </nvGraphicFramePr>
      <xfrm/>
      <a:graphic>
        <a:graphicData uri="http://schemas.openxmlformats.org/drawingml/2006/chart">
          <c:chart r:id="rId13"/>
        </a:graphicData>
      </a:graphic>
    </graphicFrame>
    <clientData/>
  </twoCellAnchor>
  <twoCellAnchor editAs="oneCell">
    <from>
      <col>5</col>
      <colOff>514440</colOff>
      <row>226</row>
      <rowOff>47520</rowOff>
    </from>
    <to>
      <col>11</col>
      <colOff>1671840</colOff>
      <row>244</row>
      <rowOff>84600</rowOff>
    </to>
    <graphicFrame>
      <nvGraphicFramePr>
        <cNvPr id="14" name="Chart 14"/>
        <cNvGraphicFramePr/>
      </nvGraphicFramePr>
      <xfrm/>
      <a:graphic>
        <a:graphicData uri="http://schemas.openxmlformats.org/drawingml/2006/chart">
          <c:chart r:id="rId14"/>
        </a:graphicData>
      </a:graphic>
    </graphicFrame>
    <clientData/>
  </twoCellAnchor>
</wsDr>
</file>

<file path=xl/drawings/drawing5.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10</col>
      <colOff>162000</colOff>
      <row>5</row>
      <rowOff>0</rowOff>
    </from>
    <to>
      <col>15</col>
      <colOff>560880</colOff>
      <row>21</row>
      <rowOff>103680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6.xml.rels><Relationships xmlns="http://schemas.openxmlformats.org/package/2006/relationships"><Relationship Type="http://schemas.openxmlformats.org/officeDocument/2006/relationships/drawing" Target="/xl/drawings/drawing4.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drawing" Target="/xl/drawings/drawing5.xml" Id="rId1" /></Relationships>
</file>

<file path=xl/worksheets/sheet1.xml><?xml version="1.0" encoding="utf-8"?>
<worksheet xmlns="http://schemas.openxmlformats.org/spreadsheetml/2006/main">
  <sheetPr filterMode="0">
    <outlinePr summaryBelow="1" summaryRight="1"/>
    <pageSetUpPr fitToPage="1"/>
  </sheetPr>
  <dimension ref="B1:I2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3" customWidth="1" style="224" min="1" max="1"/>
    <col width="14" customWidth="1" style="224" min="2" max="4"/>
    <col width="18" customWidth="1" style="224" min="5" max="6"/>
    <col width="16" customWidth="1" style="224" min="7" max="7"/>
    <col width="14" customWidth="1" style="224" min="8" max="8"/>
  </cols>
  <sheetData>
    <row r="1" ht="30" customHeight="1" s="225">
      <c r="I1" s="224" t="n"/>
    </row>
    <row r="2" ht="30" customHeight="1" s="225">
      <c r="F2" s="226" t="n"/>
      <c r="I2" s="224" t="n"/>
    </row>
    <row r="3" ht="15.75" customHeight="1" s="225">
      <c r="I3" s="224" t="n"/>
    </row>
    <row r="4" ht="15" customHeight="1" s="225">
      <c r="I4" s="224" t="n"/>
    </row>
    <row r="5" ht="15" customHeight="1" s="225">
      <c r="I5" s="224" t="n"/>
    </row>
    <row r="6" ht="33.75" customHeight="1" s="225">
      <c r="B6" s="227" t="inlineStr">
        <is>
          <t>FoxEco</t>
        </is>
      </c>
      <c r="I6" s="224" t="n"/>
    </row>
    <row r="7" ht="15" customHeight="1" s="225">
      <c r="I7" s="224" t="n"/>
    </row>
    <row r="8" ht="38.25" customHeight="1" s="225">
      <c r="B8" s="228" t="inlineStr">
        <is>
          <t>TEST CASE &amp; TEST REPORT</t>
        </is>
      </c>
      <c r="I8" s="224" t="n"/>
    </row>
    <row r="9" ht="15.75" customHeight="1" s="225">
      <c r="B9" s="229" t="inlineStr">
        <is>
          <t>Bộ tài liệu kiểm thử — quy trình SDLC</t>
        </is>
      </c>
      <c r="I9" s="224" t="n"/>
    </row>
    <row r="10" ht="15" customHeight="1" s="225">
      <c r="I10" s="224" t="n"/>
    </row>
    <row r="11" ht="15" customHeight="1" s="225">
      <c r="I11" s="224" t="n"/>
    </row>
    <row r="12" ht="21.75" customHeight="1" s="225">
      <c r="C12" s="230" t="inlineStr">
        <is>
          <t>Mã hiệu</t>
        </is>
      </c>
      <c r="D12" s="231" t="n"/>
      <c r="E12" s="232" t="inlineStr">
        <is>
          <t>7.1-BM/PM/HDCV/ISC</t>
        </is>
      </c>
      <c r="F12" s="233" t="n"/>
      <c r="G12" s="231" t="n"/>
    </row>
    <row r="13" ht="21.75" customHeight="1" s="225">
      <c r="C13" s="230" t="inlineStr">
        <is>
          <t>Phiên bản</t>
        </is>
      </c>
      <c r="D13" s="231" t="n"/>
      <c r="E13" s="232" t="n">
        <v>1.1</v>
      </c>
      <c r="F13" s="233" t="n"/>
      <c r="G13" s="231" t="n"/>
    </row>
    <row r="14" ht="15" customHeight="1" s="225">
      <c r="I14" s="224" t="n"/>
    </row>
    <row r="15" ht="15" customHeight="1" s="225">
      <c r="B15" s="234" t="inlineStr">
        <is>
          <t>File gồm 2 phần: TEST CASE (viết &amp; theo dõi case) và REPORT (tổng hợp kết quả &amp; bug).</t>
        </is>
      </c>
      <c r="I15" s="224" t="n"/>
    </row>
    <row r="16" ht="15" customHeight="1" s="225">
      <c r="B16" s="235" t="inlineStr">
        <is>
          <t xml:space="preserve">Sheet: Guideline · Revision History · Summary · Dashboard · Report Test · Data · RTM·  Test Cases </t>
        </is>
      </c>
      <c r="I16" s="224" t="n"/>
    </row>
    <row r="17" ht="15" customHeight="1" s="225">
      <c r="B17" s="235" t="n"/>
      <c r="I17" s="224" t="n"/>
    </row>
    <row r="18" ht="15" customHeight="1" s="225">
      <c r="I18" s="224" t="n"/>
    </row>
    <row r="19" ht="15.75" customHeight="1" s="225">
      <c r="I19" s="224" t="n"/>
    </row>
    <row r="20" ht="15.75" customHeight="1" s="225">
      <c r="I20" s="224" t="n"/>
    </row>
    <row r="21" ht="15.75" customHeight="1" s="225">
      <c r="I21" s="224" t="n"/>
    </row>
    <row r="22" ht="15.75" customHeight="1" s="225">
      <c r="I22" s="224" t="n"/>
    </row>
    <row r="23" ht="15.75" customHeight="1" s="225">
      <c r="I23" s="224" t="n"/>
    </row>
    <row r="24" ht="15.75" customHeight="1" s="225">
      <c r="I24" s="224" t="n"/>
    </row>
    <row r="25" ht="15.75" customHeight="1" s="225">
      <c r="I25" s="224" t="n"/>
    </row>
    <row r="26" ht="15.75" customHeight="1" s="225">
      <c r="I26" s="224" t="n"/>
    </row>
    <row r="27" ht="15.75" customHeight="1" s="225">
      <c r="I27" s="224" t="n"/>
    </row>
    <row r="28" ht="15.75" customHeight="1" s="225">
      <c r="I28" s="224" t="n"/>
    </row>
    <row r="29" ht="15.75" customHeight="1" s="225">
      <c r="I29" s="224" t="n"/>
    </row>
    <row r="30" ht="15.75" customHeight="1" s="225">
      <c r="I30" s="224" t="n"/>
    </row>
    <row r="31" ht="15.75" customHeight="1" s="225">
      <c r="I31" s="224" t="n"/>
    </row>
    <row r="32" ht="15.75" customHeight="1" s="225">
      <c r="I32" s="224" t="n"/>
    </row>
    <row r="33" ht="15.75" customHeight="1" s="225">
      <c r="I33" s="224" t="n"/>
    </row>
    <row r="34" ht="15.75" customHeight="1" s="225">
      <c r="I34" s="224" t="n"/>
    </row>
    <row r="35" ht="15.75" customHeight="1" s="225">
      <c r="I35" s="224" t="n"/>
    </row>
    <row r="36" ht="15.75" customHeight="1" s="225">
      <c r="I36" s="224" t="n"/>
    </row>
    <row r="37" ht="15.75" customHeight="1" s="225">
      <c r="I37" s="224" t="n"/>
    </row>
    <row r="38" ht="15.75" customHeight="1" s="225">
      <c r="I38" s="224" t="n"/>
    </row>
    <row r="39" ht="15.75" customHeight="1" s="225">
      <c r="I39" s="224" t="n"/>
    </row>
    <row r="40" ht="15.75" customHeight="1" s="225">
      <c r="I40" s="224" t="n"/>
    </row>
    <row r="41" ht="15.75" customHeight="1" s="225">
      <c r="I41" s="224" t="n"/>
    </row>
    <row r="42" ht="15.75" customHeight="1" s="225">
      <c r="I42" s="224" t="n"/>
    </row>
    <row r="43" ht="15.75" customHeight="1" s="225">
      <c r="I43" s="224" t="n"/>
    </row>
    <row r="44" ht="15.75" customHeight="1" s="225">
      <c r="I44" s="224" t="n"/>
    </row>
    <row r="45" ht="15.75" customHeight="1" s="225">
      <c r="I45" s="224" t="n"/>
    </row>
    <row r="46" ht="15.75" customHeight="1" s="225">
      <c r="I46" s="224" t="n"/>
    </row>
    <row r="47" ht="15.75" customHeight="1" s="225">
      <c r="I47" s="224" t="n"/>
    </row>
    <row r="48" ht="15.75" customHeight="1" s="225">
      <c r="I48" s="224" t="n"/>
    </row>
    <row r="49" ht="15.75" customHeight="1" s="225">
      <c r="I49" s="224" t="n"/>
    </row>
    <row r="50" ht="15.75" customHeight="1" s="225">
      <c r="I50" s="224" t="n"/>
    </row>
    <row r="51" ht="15.75" customHeight="1" s="225">
      <c r="I51" s="224" t="n"/>
    </row>
    <row r="52" ht="15.75" customHeight="1" s="225">
      <c r="I52" s="224" t="n"/>
    </row>
    <row r="53" ht="15.75" customHeight="1" s="225">
      <c r="I53" s="224" t="n"/>
    </row>
    <row r="54" ht="15.75" customHeight="1" s="225">
      <c r="I54" s="224" t="n"/>
    </row>
    <row r="55" ht="15.75" customHeight="1" s="225">
      <c r="I55" s="224" t="n"/>
    </row>
    <row r="56" ht="15.75" customHeight="1" s="225">
      <c r="I56" s="224" t="n"/>
    </row>
    <row r="57" ht="15.75" customHeight="1" s="225">
      <c r="I57" s="224" t="n"/>
    </row>
    <row r="58" ht="15.75" customHeight="1" s="225">
      <c r="I58" s="224" t="n"/>
    </row>
    <row r="59" ht="15.75" customHeight="1" s="225">
      <c r="I59" s="224" t="n"/>
    </row>
    <row r="60" ht="15.75" customHeight="1" s="225">
      <c r="I60" s="224" t="n"/>
    </row>
    <row r="61" ht="15.75" customHeight="1" s="225">
      <c r="I61" s="224" t="n"/>
    </row>
    <row r="62" ht="15.75" customHeight="1" s="225">
      <c r="I62" s="224" t="n"/>
    </row>
    <row r="63" ht="15.75" customHeight="1" s="225">
      <c r="I63" s="224" t="n"/>
    </row>
    <row r="64" ht="15.75" customHeight="1" s="225">
      <c r="I64" s="224" t="n"/>
    </row>
    <row r="65" ht="15.75" customHeight="1" s="225">
      <c r="I65" s="224" t="n"/>
    </row>
    <row r="66" ht="15.75" customHeight="1" s="225">
      <c r="I66" s="224" t="n"/>
    </row>
    <row r="67" ht="15.75" customHeight="1" s="225">
      <c r="I67" s="224" t="n"/>
    </row>
    <row r="68" ht="15.75" customHeight="1" s="225">
      <c r="I68" s="224" t="n"/>
    </row>
    <row r="69" ht="15.75" customHeight="1" s="225">
      <c r="I69" s="224" t="n"/>
    </row>
    <row r="70" ht="15.75" customHeight="1" s="225">
      <c r="I70" s="224" t="n"/>
    </row>
    <row r="71" ht="15.75" customHeight="1" s="225">
      <c r="I71" s="224" t="n"/>
    </row>
    <row r="72" ht="15.75" customHeight="1" s="225">
      <c r="I72" s="224" t="n"/>
    </row>
    <row r="73" ht="15.75" customHeight="1" s="225">
      <c r="I73" s="224" t="n"/>
    </row>
    <row r="74" ht="15.75" customHeight="1" s="225">
      <c r="I74" s="224" t="n"/>
    </row>
    <row r="75" ht="15.75" customHeight="1" s="225">
      <c r="I75" s="224" t="n"/>
    </row>
    <row r="76" ht="15.75" customHeight="1" s="225">
      <c r="I76" s="224" t="n"/>
    </row>
    <row r="77" ht="15.75" customHeight="1" s="225">
      <c r="I77" s="224" t="n"/>
    </row>
    <row r="78" ht="15.75" customHeight="1" s="225">
      <c r="I78" s="224" t="n"/>
    </row>
    <row r="79" ht="15.75" customHeight="1" s="225">
      <c r="I79" s="224" t="n"/>
    </row>
    <row r="80" ht="15.75" customHeight="1" s="225">
      <c r="I80" s="224" t="n"/>
    </row>
    <row r="81" ht="15.75" customHeight="1" s="225">
      <c r="I81" s="224" t="n"/>
    </row>
    <row r="82" ht="15.75" customHeight="1" s="225">
      <c r="I82" s="224" t="n"/>
    </row>
    <row r="83" ht="15.75" customHeight="1" s="225">
      <c r="I83" s="224" t="n"/>
    </row>
    <row r="84" ht="15.75" customHeight="1" s="225">
      <c r="I84" s="224" t="n"/>
    </row>
    <row r="85" ht="15.75" customHeight="1" s="225">
      <c r="I85" s="224" t="n"/>
    </row>
    <row r="86" ht="15.75" customHeight="1" s="225">
      <c r="I86" s="224" t="n"/>
    </row>
    <row r="87" ht="15.75" customHeight="1" s="225">
      <c r="I87" s="224" t="n"/>
    </row>
    <row r="88" ht="15.75" customHeight="1" s="225">
      <c r="I88" s="224" t="n"/>
    </row>
    <row r="89" ht="15.75" customHeight="1" s="225">
      <c r="I89" s="224" t="n"/>
    </row>
    <row r="90" ht="15.75" customHeight="1" s="225">
      <c r="I90" s="224" t="n"/>
    </row>
    <row r="91" ht="15.75" customHeight="1" s="225">
      <c r="I91" s="224" t="n"/>
    </row>
    <row r="92" ht="15.75" customHeight="1" s="225">
      <c r="I92" s="224" t="n"/>
    </row>
    <row r="93" ht="15.75" customHeight="1" s="225">
      <c r="I93" s="224" t="n"/>
    </row>
    <row r="94" ht="15.75" customHeight="1" s="225">
      <c r="I94" s="224" t="n"/>
    </row>
    <row r="95" ht="15.75" customHeight="1" s="225">
      <c r="I95" s="224" t="n"/>
    </row>
    <row r="96" ht="15.75" customHeight="1" s="225">
      <c r="I96" s="224" t="n"/>
    </row>
    <row r="97" ht="15.75" customHeight="1" s="225">
      <c r="I97" s="224" t="n"/>
    </row>
    <row r="98" ht="15.75" customHeight="1" s="225">
      <c r="I98" s="224" t="n"/>
    </row>
    <row r="99" ht="15.75" customHeight="1" s="225">
      <c r="I99" s="224" t="n"/>
    </row>
    <row r="100" ht="15.75" customHeight="1" s="225">
      <c r="I100" s="224" t="n"/>
    </row>
    <row r="101" ht="15.75" customHeight="1" s="225">
      <c r="I101" s="224" t="n"/>
    </row>
    <row r="102" ht="15.75" customHeight="1" s="225">
      <c r="I102" s="224" t="n"/>
    </row>
    <row r="103" ht="15.75" customHeight="1" s="225">
      <c r="I103" s="224" t="n"/>
    </row>
    <row r="104" ht="15.75" customHeight="1" s="225">
      <c r="I104" s="224" t="n"/>
    </row>
    <row r="105" ht="15.75" customHeight="1" s="225">
      <c r="I105" s="224" t="n"/>
    </row>
    <row r="106" ht="15.75" customHeight="1" s="225">
      <c r="I106" s="224" t="n"/>
    </row>
    <row r="107" ht="15.75" customHeight="1" s="225">
      <c r="I107" s="224" t="n"/>
    </row>
    <row r="108" ht="15.75" customHeight="1" s="225">
      <c r="I108" s="224" t="n"/>
    </row>
    <row r="109" ht="15.75" customHeight="1" s="225">
      <c r="I109" s="224" t="n"/>
    </row>
    <row r="110" ht="15.75" customHeight="1" s="225">
      <c r="I110" s="224" t="n"/>
    </row>
    <row r="111" ht="15.75" customHeight="1" s="225">
      <c r="I111" s="224" t="n"/>
    </row>
    <row r="112" ht="15.75" customHeight="1" s="225">
      <c r="I112" s="224" t="n"/>
    </row>
    <row r="113" ht="15.75" customHeight="1" s="225">
      <c r="I113" s="224" t="n"/>
    </row>
    <row r="114" ht="15.75" customHeight="1" s="225">
      <c r="I114" s="224" t="n"/>
    </row>
    <row r="115" ht="15.75" customHeight="1" s="225">
      <c r="I115" s="224" t="n"/>
    </row>
    <row r="116" ht="15.75" customHeight="1" s="225">
      <c r="I116" s="224" t="n"/>
    </row>
    <row r="117" ht="15.75" customHeight="1" s="225">
      <c r="I117" s="224" t="n"/>
    </row>
    <row r="118" ht="15.75" customHeight="1" s="225">
      <c r="I118" s="224" t="n"/>
    </row>
    <row r="119" ht="15.75" customHeight="1" s="225">
      <c r="I119" s="224" t="n"/>
    </row>
    <row r="120" ht="15.75" customHeight="1" s="225">
      <c r="I120" s="224" t="n"/>
    </row>
    <row r="121" ht="15.75" customHeight="1" s="225">
      <c r="I121" s="224" t="n"/>
    </row>
    <row r="122" ht="15.75" customHeight="1" s="225">
      <c r="I122" s="224" t="n"/>
    </row>
    <row r="123" ht="15.75" customHeight="1" s="225">
      <c r="I123" s="224" t="n"/>
    </row>
    <row r="124" ht="15.75" customHeight="1" s="225">
      <c r="I124" s="224" t="n"/>
    </row>
    <row r="125" ht="15.75" customHeight="1" s="225">
      <c r="I125" s="224" t="n"/>
    </row>
    <row r="126" ht="15.75" customHeight="1" s="225">
      <c r="I126" s="224" t="n"/>
    </row>
    <row r="127" ht="15.75" customHeight="1" s="225">
      <c r="I127" s="224" t="n"/>
    </row>
    <row r="128" ht="15.75" customHeight="1" s="225">
      <c r="I128" s="224" t="n"/>
    </row>
    <row r="129" ht="15.75" customHeight="1" s="225">
      <c r="I129" s="224" t="n"/>
    </row>
    <row r="130" ht="15.75" customHeight="1" s="225">
      <c r="I130" s="224" t="n"/>
    </row>
    <row r="131" ht="15.75" customHeight="1" s="225">
      <c r="I131" s="224" t="n"/>
    </row>
    <row r="132" ht="15.75" customHeight="1" s="225">
      <c r="I132" s="224" t="n"/>
    </row>
    <row r="133" ht="15.75" customHeight="1" s="225">
      <c r="I133" s="224" t="n"/>
    </row>
    <row r="134" ht="15.75" customHeight="1" s="225">
      <c r="I134" s="224" t="n"/>
    </row>
    <row r="135" ht="15.75" customHeight="1" s="225">
      <c r="I135" s="224" t="n"/>
    </row>
    <row r="136" ht="15.75" customHeight="1" s="225">
      <c r="I136" s="224" t="n"/>
    </row>
    <row r="137" ht="15.75" customHeight="1" s="225">
      <c r="I137" s="224" t="n"/>
    </row>
    <row r="138" ht="15.75" customHeight="1" s="225">
      <c r="I138" s="224" t="n"/>
    </row>
    <row r="139" ht="15.75" customHeight="1" s="225">
      <c r="I139" s="224" t="n"/>
    </row>
    <row r="140" ht="15.75" customHeight="1" s="225">
      <c r="I140" s="224" t="n"/>
    </row>
    <row r="141" ht="15.75" customHeight="1" s="225">
      <c r="I141" s="224" t="n"/>
    </row>
    <row r="142" ht="15.75" customHeight="1" s="225">
      <c r="I142" s="224" t="n"/>
    </row>
    <row r="143" ht="15.75" customHeight="1" s="225">
      <c r="I143" s="224" t="n"/>
    </row>
    <row r="144" ht="15.75" customHeight="1" s="225">
      <c r="I144" s="224" t="n"/>
    </row>
    <row r="145" ht="15.75" customHeight="1" s="225">
      <c r="I145" s="224" t="n"/>
    </row>
    <row r="146" ht="15.75" customHeight="1" s="225">
      <c r="I146" s="224" t="n"/>
    </row>
    <row r="147" ht="15.75" customHeight="1" s="225">
      <c r="I147" s="224" t="n"/>
    </row>
    <row r="148" ht="15.75" customHeight="1" s="225">
      <c r="I148" s="224" t="n"/>
    </row>
    <row r="149" ht="15.75" customHeight="1" s="225">
      <c r="I149" s="224" t="n"/>
    </row>
    <row r="150" ht="15.75" customHeight="1" s="225">
      <c r="I150" s="224" t="n"/>
    </row>
    <row r="151" ht="15.75" customHeight="1" s="225">
      <c r="I151" s="224" t="n"/>
    </row>
    <row r="152" ht="15.75" customHeight="1" s="225">
      <c r="I152" s="224" t="n"/>
    </row>
    <row r="153" ht="15.75" customHeight="1" s="225">
      <c r="I153" s="224" t="n"/>
    </row>
    <row r="154" ht="15.75" customHeight="1" s="225">
      <c r="I154" s="224" t="n"/>
    </row>
    <row r="155" ht="15.75" customHeight="1" s="225">
      <c r="I155" s="224" t="n"/>
    </row>
    <row r="156" ht="15.75" customHeight="1" s="225">
      <c r="I156" s="224" t="n"/>
    </row>
    <row r="157" ht="15.75" customHeight="1" s="225">
      <c r="I157" s="224" t="n"/>
    </row>
    <row r="158" ht="15.75" customHeight="1" s="225">
      <c r="I158" s="224" t="n"/>
    </row>
    <row r="159" ht="15.75" customHeight="1" s="225">
      <c r="I159" s="224" t="n"/>
    </row>
    <row r="160" ht="15.75" customHeight="1" s="225">
      <c r="I160" s="224" t="n"/>
    </row>
    <row r="161" ht="15.75" customHeight="1" s="225">
      <c r="I161" s="224" t="n"/>
    </row>
    <row r="162" ht="15.75" customHeight="1" s="225">
      <c r="I162" s="224" t="n"/>
    </row>
    <row r="163" ht="15.75" customHeight="1" s="225">
      <c r="I163" s="224" t="n"/>
    </row>
    <row r="164" ht="15.75" customHeight="1" s="225">
      <c r="I164" s="224" t="n"/>
    </row>
    <row r="165" ht="15.75" customHeight="1" s="225">
      <c r="I165" s="224" t="n"/>
    </row>
    <row r="166" ht="15.75" customHeight="1" s="225">
      <c r="I166" s="224" t="n"/>
    </row>
    <row r="167" ht="15.75" customHeight="1" s="225">
      <c r="I167" s="224" t="n"/>
    </row>
    <row r="168" ht="15.75" customHeight="1" s="225">
      <c r="I168" s="224" t="n"/>
    </row>
    <row r="169" ht="15.75" customHeight="1" s="225">
      <c r="I169" s="224" t="n"/>
    </row>
    <row r="170" ht="15.75" customHeight="1" s="225">
      <c r="I170" s="224" t="n"/>
    </row>
    <row r="171" ht="15.75" customHeight="1" s="225">
      <c r="I171" s="224" t="n"/>
    </row>
    <row r="172" ht="15.75" customHeight="1" s="225">
      <c r="I172" s="224" t="n"/>
    </row>
    <row r="173" ht="15.75" customHeight="1" s="225">
      <c r="I173" s="224" t="n"/>
    </row>
    <row r="174" ht="15.75" customHeight="1" s="225">
      <c r="I174" s="224" t="n"/>
    </row>
    <row r="175" ht="15.75" customHeight="1" s="225">
      <c r="I175" s="224" t="n"/>
    </row>
    <row r="176" ht="15.75" customHeight="1" s="225">
      <c r="I176" s="224" t="n"/>
    </row>
    <row r="177" ht="15.75" customHeight="1" s="225">
      <c r="I177" s="224" t="n"/>
    </row>
    <row r="178" ht="15.75" customHeight="1" s="225">
      <c r="I178" s="224" t="n"/>
    </row>
    <row r="179" ht="15.75" customHeight="1" s="225">
      <c r="I179" s="224" t="n"/>
    </row>
    <row r="180" ht="15.75" customHeight="1" s="225">
      <c r="I180" s="224" t="n"/>
    </row>
    <row r="181" ht="15.75" customHeight="1" s="225">
      <c r="I181" s="224" t="n"/>
    </row>
    <row r="182" ht="15.75" customHeight="1" s="225">
      <c r="I182" s="224" t="n"/>
    </row>
    <row r="183" ht="15.75" customHeight="1" s="225">
      <c r="I183" s="224" t="n"/>
    </row>
    <row r="184" ht="15.75" customHeight="1" s="225">
      <c r="I184" s="224" t="n"/>
    </row>
    <row r="185" ht="15.75" customHeight="1" s="225">
      <c r="I185" s="224" t="n"/>
    </row>
    <row r="186" ht="15.75" customHeight="1" s="225">
      <c r="I186" s="224" t="n"/>
    </row>
    <row r="187" ht="15.75" customHeight="1" s="225">
      <c r="I187" s="224" t="n"/>
    </row>
    <row r="188" ht="15.75" customHeight="1" s="225">
      <c r="I188" s="224" t="n"/>
    </row>
    <row r="189" ht="15.75" customHeight="1" s="225">
      <c r="I189" s="224" t="n"/>
    </row>
    <row r="190" ht="15.75" customHeight="1" s="225">
      <c r="I190" s="224" t="n"/>
    </row>
    <row r="191" ht="15.75" customHeight="1" s="225">
      <c r="I191" s="224" t="n"/>
    </row>
    <row r="192" ht="15.75" customHeight="1" s="225">
      <c r="I192" s="224" t="n"/>
    </row>
    <row r="193" ht="15.75" customHeight="1" s="225">
      <c r="I193" s="224" t="n"/>
    </row>
    <row r="194" ht="15.75" customHeight="1" s="225">
      <c r="I194" s="224" t="n"/>
    </row>
    <row r="195" ht="15.75" customHeight="1" s="225">
      <c r="I195" s="224" t="n"/>
    </row>
    <row r="196" ht="15.75" customHeight="1" s="225">
      <c r="I196" s="224" t="n"/>
    </row>
    <row r="197" ht="15.75" customHeight="1" s="225">
      <c r="I197" s="224" t="n"/>
    </row>
    <row r="198" ht="15.75" customHeight="1" s="225">
      <c r="I198" s="224" t="n"/>
    </row>
    <row r="199" ht="15.75" customHeight="1" s="225">
      <c r="I199" s="224" t="n"/>
    </row>
    <row r="200" ht="15.75" customHeight="1" s="225">
      <c r="I200" s="224" t="n"/>
    </row>
    <row r="201" ht="15.75" customHeight="1" s="225">
      <c r="I201" s="224" t="n"/>
    </row>
    <row r="202" ht="15.75" customHeight="1" s="225">
      <c r="I202" s="224" t="n"/>
    </row>
    <row r="203" ht="15.75" customHeight="1" s="225">
      <c r="I203" s="224" t="n"/>
    </row>
    <row r="204" ht="15.75" customHeight="1" s="225">
      <c r="I204" s="224" t="n"/>
    </row>
    <row r="205" ht="15.75" customHeight="1" s="225">
      <c r="I205" s="224" t="n"/>
    </row>
    <row r="206" ht="15.75" customHeight="1" s="225">
      <c r="I206" s="224" t="n"/>
    </row>
    <row r="207" ht="15.75" customHeight="1" s="225">
      <c r="I207" s="224" t="n"/>
    </row>
    <row r="208" ht="15.75" customHeight="1" s="225">
      <c r="I208" s="224" t="n"/>
    </row>
    <row r="209" ht="15.75" customHeight="1" s="225">
      <c r="I209" s="224" t="n"/>
    </row>
    <row r="210" ht="15.75" customHeight="1" s="225">
      <c r="I210" s="224" t="n"/>
    </row>
    <row r="211" ht="15.75" customHeight="1" s="225">
      <c r="I211" s="224" t="n"/>
    </row>
    <row r="212" ht="15.75" customHeight="1" s="225">
      <c r="I212" s="224" t="n"/>
    </row>
    <row r="213" ht="15.75" customHeight="1" s="225">
      <c r="I213" s="224" t="n"/>
    </row>
    <row r="214" ht="15.75" customHeight="1" s="225">
      <c r="I214" s="224" t="n"/>
    </row>
    <row r="215" ht="15.75" customHeight="1" s="225">
      <c r="I215" s="224" t="n"/>
    </row>
    <row r="216" ht="15.75" customHeight="1" s="225">
      <c r="I216" s="224" t="n"/>
    </row>
    <row r="217" ht="15.75" customHeight="1" s="225">
      <c r="I217" s="224" t="n"/>
    </row>
    <row r="218" ht="15.75" customHeight="1" s="225">
      <c r="I218" s="224" t="n"/>
    </row>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11">
    <mergeCell ref="B8:H8"/>
    <mergeCell ref="C12:D12"/>
    <mergeCell ref="E13:G13"/>
    <mergeCell ref="B17:H17"/>
    <mergeCell ref="B9:H9"/>
    <mergeCell ref="B6:H6"/>
    <mergeCell ref="E12:G12"/>
    <mergeCell ref="F2:H2"/>
    <mergeCell ref="C13:D13"/>
    <mergeCell ref="B15:H15"/>
    <mergeCell ref="B16:H16"/>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2.xml><?xml version="1.0" encoding="utf-8"?>
<worksheet xmlns="http://schemas.openxmlformats.org/spreadsheetml/2006/main">
  <sheetPr filterMode="0">
    <outlinePr summaryBelow="1" summaryRight="1"/>
    <pageSetUpPr fitToPage="1"/>
  </sheetPr>
  <dimension ref="A2:Z5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3" customWidth="1" style="224" min="1" max="1"/>
    <col width="26" customWidth="1" style="224" min="2" max="2"/>
    <col width="70" customWidth="1" style="224" min="3" max="3"/>
    <col width="8.710000000000001" customWidth="1" style="224" min="4" max="6"/>
  </cols>
  <sheetData>
    <row r="2" ht="33" customHeight="1" s="225">
      <c r="A2" s="236" t="n"/>
      <c r="B2" s="237" t="inlineStr">
        <is>
          <t>QUY ĐỊNH CHUNG</t>
        </is>
      </c>
      <c r="C2" s="231" t="n"/>
      <c r="D2" s="236" t="n"/>
      <c r="E2" s="236" t="n"/>
      <c r="F2" s="236" t="n"/>
      <c r="G2" s="236" t="n"/>
      <c r="H2" s="236" t="n"/>
      <c r="I2" s="236" t="n"/>
      <c r="J2" s="236" t="n"/>
      <c r="K2" s="236" t="n"/>
      <c r="L2" s="236" t="n"/>
      <c r="M2" s="236" t="n"/>
      <c r="N2" s="236" t="n"/>
      <c r="O2" s="236" t="n"/>
      <c r="P2" s="236" t="n"/>
      <c r="Q2" s="236" t="n"/>
      <c r="R2" s="236" t="n"/>
      <c r="S2" s="236" t="n"/>
      <c r="T2" s="236" t="n"/>
      <c r="U2" s="236" t="n"/>
      <c r="V2" s="236" t="n"/>
      <c r="W2" s="236" t="n"/>
      <c r="X2" s="236" t="n"/>
      <c r="Y2" s="236" t="n"/>
      <c r="Z2" s="236" t="n"/>
    </row>
    <row r="3" ht="39.75" customHeight="1" s="225">
      <c r="B3" s="238" t="inlineStr">
        <is>
          <t>1. Đặt tên file</t>
        </is>
      </c>
      <c r="C3" s="239" t="inlineStr">
        <is>
          <t>ISC_[Tên dự án]_[Version]_TC_[Version TC]_R[Số round test].xlsx 
VD: ISC_FCP-Web_v1.0_TC_v1.0_R1.xls</t>
        </is>
      </c>
    </row>
    <row r="4" ht="15" customHeight="1" s="225">
      <c r="B4" s="238" t="inlineStr">
        <is>
          <t>2. Tách sheet</t>
        </is>
      </c>
      <c r="C4" s="240" t="inlineStr">
        <is>
          <t>Mỗi Function/Screen tách thành 1 sheet Test Cases riêng (copy sheet mẫu).</t>
        </is>
      </c>
    </row>
    <row r="5" ht="15" customHeight="1" s="225">
      <c r="B5" s="238" t="inlineStr">
        <is>
          <t>3. Test Title</t>
        </is>
      </c>
      <c r="C5" s="240" t="inlineStr">
        <is>
          <t>Mỗi case kiểm tra 1 nội dung; bắt đầu bằng 'Check ...'</t>
        </is>
      </c>
    </row>
    <row r="6" ht="15" customHeight="1" s="225">
      <c r="B6" s="238" t="inlineStr">
        <is>
          <t>4. Người thực hiện</t>
        </is>
      </c>
      <c r="C6" s="240" t="inlineStr">
        <is>
          <t>Dùng email, mỗi case 1 người</t>
        </is>
      </c>
    </row>
    <row r="7" ht="23.25" customHeight="1" s="225">
      <c r="B7" s="238" t="inlineStr">
        <is>
          <t>5. Phiên bản</t>
        </is>
      </c>
      <c r="C7" s="240" t="inlineStr">
        <is>
          <t xml:space="preserve">Khi update nội dung file test cases phải tăng [Version TC] và quản lý lịch sử thay đổi trong sheet Revision History </t>
        </is>
      </c>
    </row>
    <row r="10" ht="33" customHeight="1" s="225">
      <c r="A10" s="236" t="n"/>
      <c r="B10" s="237" t="inlineStr">
        <is>
          <t>PHÂN LOẠI TRẠNG THÁI (Status — trạng thái TỔNG của TC)</t>
        </is>
      </c>
      <c r="C10" s="231" t="n"/>
      <c r="D10" s="236" t="n"/>
      <c r="E10" s="236" t="n"/>
      <c r="F10" s="236" t="n"/>
      <c r="G10" s="236" t="n"/>
      <c r="H10" s="236" t="n"/>
      <c r="I10" s="236" t="n"/>
      <c r="J10" s="236" t="n"/>
      <c r="K10" s="236" t="n"/>
      <c r="L10" s="236" t="n"/>
      <c r="M10" s="236" t="n"/>
      <c r="N10" s="236" t="n"/>
      <c r="O10" s="236" t="n"/>
      <c r="P10" s="236" t="n"/>
      <c r="Q10" s="236" t="n"/>
      <c r="R10" s="236" t="n"/>
      <c r="S10" s="236" t="n"/>
      <c r="T10" s="236" t="n"/>
      <c r="U10" s="236" t="n"/>
      <c r="V10" s="236" t="n"/>
      <c r="W10" s="236" t="n"/>
      <c r="X10" s="236" t="n"/>
      <c r="Y10" s="236" t="n"/>
      <c r="Z10" s="236" t="n"/>
    </row>
    <row r="11" ht="15" customHeight="1" s="225">
      <c r="B11" s="241" t="inlineStr">
        <is>
          <t>Trạng thái</t>
        </is>
      </c>
      <c r="C11" s="242" t="inlineStr">
        <is>
          <t>Ý nghĩa</t>
        </is>
      </c>
    </row>
    <row r="12" ht="15" customHeight="1" s="225">
      <c r="B12" s="238" t="inlineStr">
        <is>
          <t>Pass</t>
        </is>
      </c>
      <c r="C12" s="240" t="inlineStr">
        <is>
          <t>Đạt — chỉ Pass khi TẤT CẢ bước/kiểm tra trong case đều đạt</t>
        </is>
      </c>
    </row>
    <row r="13" ht="15" customHeight="1" s="225">
      <c r="B13" s="238" t="inlineStr">
        <is>
          <t>Fail</t>
        </is>
      </c>
      <c r="C13" s="240" t="inlineStr">
        <is>
          <t>Chỉ cần 1 bước/kiểm tra không đạt → Fail (ghi ID Bugs)</t>
        </is>
      </c>
    </row>
    <row r="14" ht="15" customHeight="1" s="225">
      <c r="B14" s="238" t="inlineStr">
        <is>
          <t>Block</t>
        </is>
      </c>
      <c r="C14" s="240" t="inlineStr">
        <is>
          <t>Không thực hiện được / Pending — ghi rõ lý do ở Remark</t>
        </is>
      </c>
    </row>
    <row r="15" ht="15" customHeight="1" s="225">
      <c r="B15" s="238" t="inlineStr">
        <is>
          <t>N/A</t>
        </is>
      </c>
      <c r="C15" s="240" t="inlineStr">
        <is>
          <t>Case không áp dụng (VD: Won't fix)</t>
        </is>
      </c>
    </row>
    <row r="16" ht="15" customHeight="1" s="225">
      <c r="B16" s="243" t="n"/>
      <c r="C16" s="244" t="n"/>
    </row>
    <row r="17" ht="15" customHeight="1" s="225">
      <c r="B17" s="243" t="n"/>
      <c r="C17" s="244" t="n"/>
    </row>
    <row r="18" ht="33" customHeight="1" s="225">
      <c r="A18" s="236" t="n"/>
      <c r="B18" s="237" t="inlineStr">
        <is>
          <t xml:space="preserve">PHÂN LOẠI ĐỘ ƯU TIÊN </t>
        </is>
      </c>
      <c r="C18" s="231" t="n"/>
      <c r="D18" s="236" t="n"/>
      <c r="E18" s="236" t="n"/>
      <c r="F18" s="236" t="n"/>
      <c r="G18" s="236" t="n"/>
      <c r="H18" s="236" t="n"/>
      <c r="I18" s="236" t="n"/>
      <c r="J18" s="236" t="n"/>
      <c r="K18" s="236" t="n"/>
      <c r="L18" s="236" t="n"/>
      <c r="M18" s="236" t="n"/>
      <c r="N18" s="236" t="n"/>
      <c r="O18" s="236" t="n"/>
      <c r="P18" s="236" t="n"/>
      <c r="Q18" s="236" t="n"/>
      <c r="R18" s="236" t="n"/>
      <c r="S18" s="236" t="n"/>
      <c r="T18" s="236" t="n"/>
      <c r="U18" s="236" t="n"/>
      <c r="V18" s="236" t="n"/>
      <c r="W18" s="236" t="n"/>
      <c r="X18" s="236" t="n"/>
      <c r="Y18" s="236" t="n"/>
      <c r="Z18" s="236" t="n"/>
    </row>
    <row r="19" ht="15" customHeight="1" s="225">
      <c r="B19" s="241" t="inlineStr">
        <is>
          <t>Priority</t>
        </is>
      </c>
      <c r="C19" s="242" t="inlineStr">
        <is>
          <t>Ý nghĩa</t>
        </is>
      </c>
    </row>
    <row r="20" ht="15" customHeight="1" s="225">
      <c r="B20" s="238" t="inlineStr">
        <is>
          <t>High (P1)</t>
        </is>
      </c>
      <c r="C20" s="240" t="inlineStr">
        <is>
          <t>Bắt buộc chạy; ảnh hưởng luồng/nghiệp vụ chính</t>
        </is>
      </c>
    </row>
    <row r="21" ht="15.75" customHeight="1" s="225">
      <c r="B21" s="238" t="inlineStr">
        <is>
          <t>Medium (P2)</t>
        </is>
      </c>
      <c r="C21" s="240" t="inlineStr">
        <is>
          <t>Chạy ít nhất 1 lần; ảnh hưởng người dùng mức trung bình</t>
        </is>
      </c>
    </row>
    <row r="22" ht="15.75" customHeight="1" s="225">
      <c r="B22" s="238" t="inlineStr">
        <is>
          <t>Low (P3)</t>
        </is>
      </c>
      <c r="C22" s="240" t="inlineStr">
        <is>
          <t>Có thể bỏ khi rút ngắn thời gian; ít ảnh hưởng</t>
        </is>
      </c>
    </row>
    <row r="23" ht="15.75" customHeight="1" s="225"/>
    <row r="24" ht="15.75" customHeight="1" s="225"/>
    <row r="25" ht="33" customHeight="1" s="225">
      <c r="A25" s="236" t="n"/>
      <c r="B25" s="237" t="inlineStr">
        <is>
          <t>PHÂN LOẠI NHÓM (Group)</t>
        </is>
      </c>
      <c r="C25" s="231" t="n"/>
      <c r="D25" s="236" t="n"/>
      <c r="E25" s="236" t="n"/>
      <c r="F25" s="236" t="n"/>
      <c r="G25" s="236" t="n"/>
      <c r="H25" s="236" t="n"/>
      <c r="I25" s="236" t="n"/>
      <c r="J25" s="236" t="n"/>
      <c r="K25" s="236" t="n"/>
      <c r="L25" s="236" t="n"/>
      <c r="M25" s="236" t="n"/>
      <c r="N25" s="236" t="n"/>
      <c r="O25" s="236" t="n"/>
      <c r="P25" s="236" t="n"/>
      <c r="Q25" s="236" t="n"/>
      <c r="R25" s="236" t="n"/>
      <c r="S25" s="236" t="n"/>
      <c r="T25" s="236" t="n"/>
      <c r="U25" s="236" t="n"/>
      <c r="V25" s="236" t="n"/>
      <c r="W25" s="236" t="n"/>
      <c r="X25" s="236" t="n"/>
      <c r="Y25" s="236" t="n"/>
      <c r="Z25" s="236" t="n"/>
    </row>
    <row r="26" ht="15.75" customHeight="1" s="225">
      <c r="B26" s="241" t="inlineStr">
        <is>
          <t>Group</t>
        </is>
      </c>
      <c r="C26" s="242" t="inlineStr">
        <is>
          <t>Ý nghĩa</t>
        </is>
      </c>
    </row>
    <row r="27" ht="15.75" customHeight="1" s="225">
      <c r="B27" s="238" t="inlineStr">
        <is>
          <t>Functional</t>
        </is>
      </c>
      <c r="C27" s="240" t="inlineStr">
        <is>
          <t>Kiểm tra chức năng theo luồng nghiệp vụ</t>
        </is>
      </c>
    </row>
    <row r="28" ht="15.75" customHeight="1" s="225">
      <c r="B28" s="238" t="inlineStr">
        <is>
          <t>UI</t>
        </is>
      </c>
      <c r="C28" s="240" t="inlineStr">
        <is>
          <t>Kiểm tra giao diện: bố cục, hiển thị, responsive, thông báo, trạng thái control</t>
        </is>
      </c>
    </row>
    <row r="29" ht="15.75" customHeight="1" s="225">
      <c r="B29" s="238" t="inlineStr">
        <is>
          <t>Integration</t>
        </is>
      </c>
      <c r="C29" s="240" t="inlineStr">
        <is>
          <t>Kiểm tra tích hợp giữa các module / API / hệ thống</t>
        </is>
      </c>
    </row>
    <row r="30" ht="15.75" customHeight="1" s="225">
      <c r="B30" s="238" t="inlineStr">
        <is>
          <t>Database</t>
        </is>
      </c>
      <c r="C30" s="240" t="inlineStr">
        <is>
          <t>Kiểm tra tầng dữ liệu: lưu/đọc đúng, ràng buộc &amp; toàn vẹn dữ liệu (CSDL)</t>
        </is>
      </c>
    </row>
    <row r="31" ht="15.75" customHeight="1" s="225">
      <c r="B31" s="243" t="n"/>
      <c r="C31" s="244" t="n"/>
    </row>
    <row r="32" ht="15.75" customHeight="1" s="225"/>
    <row r="33" ht="33" customHeight="1" s="225">
      <c r="A33" s="236" t="n"/>
      <c r="B33" s="237" t="inlineStr">
        <is>
          <t>Ý NGHĨA CỘT EXECUTION</t>
        </is>
      </c>
      <c r="C33" s="231" t="n"/>
      <c r="D33" s="236" t="n"/>
      <c r="E33" s="236" t="n"/>
      <c r="F33" s="236" t="n"/>
      <c r="G33" s="236" t="n"/>
      <c r="H33" s="236" t="n"/>
      <c r="I33" s="236" t="n"/>
      <c r="J33" s="236" t="n"/>
      <c r="K33" s="236" t="n"/>
      <c r="L33" s="236" t="n"/>
      <c r="M33" s="236" t="n"/>
      <c r="N33" s="236" t="n"/>
      <c r="O33" s="236" t="n"/>
      <c r="P33" s="236" t="n"/>
      <c r="Q33" s="236" t="n"/>
      <c r="R33" s="236" t="n"/>
      <c r="S33" s="236" t="n"/>
      <c r="T33" s="236" t="n"/>
      <c r="U33" s="236" t="n"/>
      <c r="V33" s="236" t="n"/>
      <c r="W33" s="236" t="n"/>
      <c r="X33" s="236" t="n"/>
      <c r="Y33" s="236" t="n"/>
      <c r="Z33" s="236" t="n"/>
    </row>
    <row r="34" ht="15.75" customHeight="1" s="225">
      <c r="B34" s="238" t="inlineStr">
        <is>
          <t>Status</t>
        </is>
      </c>
      <c r="C34" s="240" t="inlineStr">
        <is>
          <t>Trạng thái TỔNG của TC = kết quả round MỚI NHẤT (tự động, không nhập tay).</t>
        </is>
      </c>
    </row>
    <row r="35" ht="15.75" customHeight="1" s="225">
      <c r="B35" s="238" t="inlineStr">
        <is>
          <t>Executed By (mỗi round)</t>
        </is>
      </c>
      <c r="C35" s="240" t="inlineStr">
        <is>
          <t>Email người thực thi test ở TỪNG round.</t>
        </is>
      </c>
    </row>
    <row r="36" ht="15.75" customHeight="1" s="225">
      <c r="B36" s="238" t="inlineStr">
        <is>
          <t>ID Bugs (mỗi round)</t>
        </is>
      </c>
      <c r="C36" s="240" t="inlineStr">
        <is>
          <t>Mã bug (Jira) phát sinh ở round đó khi Fail.</t>
        </is>
      </c>
    </row>
    <row r="37" ht="15.75" customHeight="1" s="225"/>
    <row r="38" ht="15.75" customHeight="1" s="225"/>
    <row r="39" ht="33" customHeight="1" s="225">
      <c r="A39" s="236" t="n"/>
      <c r="B39" s="237" t="inlineStr">
        <is>
          <t>SDLC</t>
        </is>
      </c>
      <c r="C39" s="231" t="n"/>
      <c r="D39" s="236" t="n"/>
      <c r="E39" s="236" t="n"/>
      <c r="F39" s="236" t="n"/>
      <c r="G39" s="236" t="n"/>
      <c r="H39" s="236" t="n"/>
      <c r="I39" s="236" t="n"/>
      <c r="J39" s="236" t="n"/>
      <c r="K39" s="236" t="n"/>
      <c r="L39" s="236" t="n"/>
      <c r="M39" s="236" t="n"/>
      <c r="N39" s="236" t="n"/>
      <c r="O39" s="236" t="n"/>
      <c r="P39" s="236" t="n"/>
      <c r="Q39" s="236" t="n"/>
      <c r="R39" s="236" t="n"/>
      <c r="S39" s="236" t="n"/>
      <c r="T39" s="236" t="n"/>
      <c r="U39" s="236" t="n"/>
      <c r="V39" s="236" t="n"/>
      <c r="W39" s="236" t="n"/>
      <c r="X39" s="236" t="n"/>
      <c r="Y39" s="236" t="n"/>
      <c r="Z39" s="236" t="n"/>
    </row>
    <row r="40" ht="15.75" customHeight="1" s="225">
      <c r="B40" s="245" t="inlineStr">
        <is>
          <t>Các cột dưới đây tích hợp AI vào quy trình kiểm thử</t>
        </is>
      </c>
      <c r="C40" s="231" t="n"/>
    </row>
    <row r="41" ht="15.75" customHeight="1" s="225">
      <c r="B41" s="238" t="inlineStr">
        <is>
          <t>Origin (Nguồn tạo)</t>
        </is>
      </c>
      <c r="C41" s="240" t="inlineStr">
        <is>
          <t>AI = TC do AI sinh · QC = QC viết tay</t>
        </is>
      </c>
    </row>
    <row r="42" ht="15.75" customHeight="1" s="225">
      <c r="B42" s="238" t="inlineStr">
        <is>
          <t>Review</t>
        </is>
      </c>
      <c r="C42" s="240" t="inlineStr">
        <is>
          <t>Reviewed = QC đã review · Pending = chờ review · N/A</t>
        </is>
      </c>
    </row>
    <row r="43" ht="15.75" customHeight="1" s="225">
      <c r="B43" s="238" t="inlineStr">
        <is>
          <t>Automated</t>
        </is>
      </c>
      <c r="C43" s="240" t="inlineStr">
        <is>
          <t>Yes/No — TC đã được viết script automation hay chưa</t>
        </is>
      </c>
    </row>
    <row r="44" ht="15.75" customHeight="1" s="225">
      <c r="B44" s="238" t="inlineStr">
        <is>
          <t>Script</t>
        </is>
      </c>
      <c r="C44" s="240" t="inlineStr">
        <is>
          <t>Đường dẫn file script automation (nếu có)</t>
        </is>
      </c>
    </row>
    <row r="45" ht="15.75" customHeight="1" s="225">
      <c r="B45" s="238" t="inlineStr">
        <is>
          <t>Vibe-test</t>
        </is>
      </c>
      <c r="C45" s="240" t="inlineStr">
        <is>
          <t>Yes/No/N-A theo TỪNG round — TC có kiểm thử kiểu 'vibe-test' (thăm dò có AI agent hỗ trợ) ở round đó. Cột 'Vibe-test (tổng)' tự gộp = Yes nếu có ≥1 round Yes.</t>
        </is>
      </c>
    </row>
    <row r="46" ht="15.75" customHeight="1" s="225">
      <c r="B46" s="238" t="inlineStr">
        <is>
          <t>KQ Script</t>
        </is>
      </c>
      <c r="C46" s="240" t="inlineStr">
        <is>
          <t>Kết quả CHẠY script tự động theo TỪNG round: Pass/Fail/Block/N/A/Chưa chạy. Cột 'KQ Script (tổng)' tự lấy kết quả round mới nhất.</t>
        </is>
      </c>
    </row>
    <row r="47" ht="15.75" customHeight="1" s="225">
      <c r="B47" s="238" t="inlineStr">
        <is>
          <t>Traceability</t>
        </is>
      </c>
      <c r="C47" s="240" t="inlineStr">
        <is>
          <t>Scenario ID + Req ID + DOC Source: truy vết TC ↔ kịch bản ↔ yêu cầu ↔ tài liệu nguồn</t>
        </is>
      </c>
    </row>
    <row r="48" ht="15.75" customHeight="1" s="225"/>
    <row r="49" ht="15.75" customHeight="1" s="225">
      <c r="B49" s="237" t="inlineStr">
        <is>
          <t>TEST THEO ROUND (nhiều round trong 1 version)</t>
        </is>
      </c>
      <c r="C49" s="231" t="n"/>
    </row>
    <row r="50" ht="15.75" customHeight="1" s="225">
      <c r="B50" s="238" t="inlineStr">
        <is>
          <t>R1 … R5</t>
        </is>
      </c>
      <c r="C50" s="240" t="inlineStr">
        <is>
          <t>Mỗi round là 1 khối 5 cột: Vibe-test · KQ Script · Kết quả · Executed By · ID Bugs. Chạy round nào thì nhập vào khối round đó. Template hỗ trợ 5 round.</t>
        </is>
      </c>
    </row>
    <row r="51" ht="15.75" customHeight="1" s="225">
      <c r="B51" s="238" t="inlineStr">
        <is>
          <t>Status</t>
        </is>
      </c>
      <c r="C51" s="240" t="inlineStr">
        <is>
          <t>TỰ ĐỘNG = kết quả (Kết quả) của round MỚI NHẤT trong R1…R5. Không nhập tay.</t>
        </is>
      </c>
    </row>
    <row r="52" ht="15.75" customHeight="1" s="225">
      <c r="B52" s="238" t="inlineStr">
        <is>
          <t>Round (Bug Data)</t>
        </is>
      </c>
      <c r="C52" s="240" t="inlineStr">
        <is>
          <t>Round phát hiện bug. Report mục IV thống kê Bug theo round &amp; tiến độ Pass/Fail theo round.</t>
        </is>
      </c>
    </row>
    <row r="53" ht="15.75" customHeight="1" s="225"/>
    <row r="54" ht="15.75" customHeight="1" s="225"/>
    <row r="55" ht="15.75" customHeight="1" s="225"/>
    <row r="56" ht="15.75" customHeight="1" s="225"/>
    <row r="57" ht="15.75" customHeight="1" s="225"/>
    <row r="58" ht="15.75" customHeight="1" s="225"/>
    <row r="59" ht="15.75" customHeight="1" s="225"/>
    <row r="60" ht="15.75" customHeight="1" s="225"/>
    <row r="61" ht="15.75" customHeight="1" s="225"/>
    <row r="62" ht="15.75" customHeight="1" s="225"/>
    <row r="63" ht="15.75" customHeight="1" s="225"/>
    <row r="64" ht="15.75" customHeight="1" s="225"/>
    <row r="65" ht="15.75" customHeight="1" s="225"/>
    <row r="66" ht="15.75" customHeight="1" s="225"/>
    <row r="67" ht="15.75" customHeight="1" s="225"/>
    <row r="68" ht="15.75" customHeight="1" s="225"/>
    <row r="69" ht="15.75" customHeight="1" s="225"/>
    <row r="70" ht="15.75" customHeight="1" s="225"/>
    <row r="71" ht="15.75" customHeight="1" s="225"/>
    <row r="72" ht="15.75" customHeight="1" s="225"/>
    <row r="73" ht="15.75" customHeight="1" s="225"/>
    <row r="74" ht="15.75" customHeight="1" s="225"/>
    <row r="75" ht="15.75" customHeight="1" s="225"/>
    <row r="76" ht="15.75" customHeight="1" s="225"/>
    <row r="77" ht="15.75" customHeight="1" s="225"/>
    <row r="78" ht="15.75" customHeight="1" s="225"/>
    <row r="79" ht="15.75" customHeight="1" s="225"/>
    <row r="80" ht="15.75" customHeight="1" s="225"/>
    <row r="81" ht="15.75" customHeight="1" s="225"/>
    <row r="82" ht="15.75" customHeight="1" s="225"/>
    <row r="83" ht="15.75" customHeight="1" s="225"/>
    <row r="84" ht="15.75" customHeight="1" s="225"/>
    <row r="85" ht="15.75" customHeight="1" s="225"/>
    <row r="86" ht="15.75" customHeight="1" s="225"/>
    <row r="87" ht="15.75" customHeight="1" s="225"/>
    <row r="88" ht="15.75" customHeight="1" s="225"/>
    <row r="89" ht="15.75" customHeight="1" s="225"/>
    <row r="90" ht="15.75" customHeight="1" s="225"/>
    <row r="91" ht="15.75" customHeight="1" s="225"/>
    <row r="92" ht="15.75" customHeight="1" s="225"/>
    <row r="93" ht="15.75" customHeight="1" s="225"/>
    <row r="94" ht="15.75" customHeight="1" s="225"/>
    <row r="95" ht="15.75" customHeight="1" s="225"/>
    <row r="96" ht="15.75" customHeight="1" s="225"/>
    <row r="97" ht="15.75" customHeight="1" s="225"/>
    <row r="98" ht="15.75" customHeight="1" s="225"/>
    <row r="99" ht="15.75" customHeight="1" s="225"/>
    <row r="100" ht="15.75" customHeight="1" s="225"/>
    <row r="101" ht="15.75" customHeight="1" s="225"/>
    <row r="102" ht="15.75" customHeight="1" s="225"/>
    <row r="103" ht="15.75" customHeight="1" s="225"/>
    <row r="104" ht="15.75" customHeight="1" s="225"/>
    <row r="105" ht="15.75" customHeight="1" s="225"/>
    <row r="106" ht="15.75" customHeight="1" s="225"/>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row r="115" ht="15.75" customHeight="1" s="225"/>
    <row r="116" ht="15.75" customHeight="1" s="225"/>
    <row r="117" ht="15.75" customHeight="1" s="225"/>
    <row r="118" ht="15.75" customHeight="1" s="225"/>
    <row r="119" ht="15.75" customHeight="1" s="225"/>
    <row r="120" ht="15.75" customHeight="1" s="225"/>
    <row r="121" ht="15.75" customHeight="1" s="225"/>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row r="133" ht="15.75" customHeight="1" s="225"/>
    <row r="134" ht="15.75" customHeight="1" s="225"/>
    <row r="135" ht="15.75" customHeight="1" s="225"/>
    <row r="136" ht="15.75" customHeight="1" s="225"/>
    <row r="137" ht="15.75" customHeight="1" s="225"/>
    <row r="138" ht="15.75" customHeight="1" s="225"/>
    <row r="139" ht="15.75" customHeight="1" s="225"/>
    <row r="140" ht="15.75" customHeight="1" s="225"/>
    <row r="141" ht="15.75" customHeight="1" s="225"/>
    <row r="142" ht="15.75" customHeight="1" s="225"/>
    <row r="143" ht="15.75" customHeight="1" s="225"/>
    <row r="144" ht="15.75" customHeight="1" s="225"/>
    <row r="145" ht="15.75" customHeight="1" s="225"/>
    <row r="146" ht="15.75" customHeight="1" s="225"/>
    <row r="147" ht="15.75" customHeight="1" s="225"/>
    <row r="148" ht="15.75" customHeight="1" s="225"/>
    <row r="149" ht="15.75" customHeight="1" s="225"/>
    <row r="150" ht="15.75" customHeight="1" s="225"/>
    <row r="151" ht="15.75" customHeight="1" s="225"/>
    <row r="152" ht="15.75" customHeight="1" s="225"/>
    <row r="153" ht="15.75" customHeight="1" s="225"/>
    <row r="154" ht="15.75" customHeight="1" s="225"/>
    <row r="155" ht="15.75" customHeight="1" s="225"/>
    <row r="156" ht="15.75" customHeight="1" s="225"/>
    <row r="157" ht="15.75" customHeight="1" s="225"/>
    <row r="158" ht="15.75" customHeight="1" s="225"/>
    <row r="159" ht="15.75" customHeight="1" s="225"/>
    <row r="160" ht="15.75" customHeight="1" s="225"/>
    <row r="161" ht="15.75" customHeight="1" s="225"/>
    <row r="162" ht="15.75" customHeight="1" s="225"/>
    <row r="163" ht="15.75" customHeight="1" s="225"/>
    <row r="164" ht="15.75" customHeight="1" s="225"/>
    <row r="165" ht="15.75" customHeight="1" s="225"/>
    <row r="166" ht="15.75" customHeight="1" s="225"/>
    <row r="167" ht="15.75" customHeight="1" s="225"/>
    <row r="168" ht="15.75" customHeight="1" s="225"/>
    <row r="169" ht="15.75" customHeight="1" s="225"/>
    <row r="170" ht="15.75" customHeight="1" s="225"/>
    <row r="171" ht="15.75" customHeight="1" s="225"/>
    <row r="172" ht="15.75" customHeight="1" s="225"/>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row r="181" ht="15.75" customHeight="1" s="225"/>
    <row r="182" ht="15.75" customHeight="1" s="225"/>
    <row r="183" ht="15.75" customHeight="1" s="225"/>
    <row r="184" ht="15.75" customHeight="1" s="225"/>
    <row r="185" ht="15.75" customHeight="1" s="225"/>
    <row r="186" ht="15.75" customHeight="1" s="225"/>
    <row r="187" ht="15.75" customHeight="1" s="225"/>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row r="197" ht="15.75" customHeight="1" s="225"/>
    <row r="198" ht="15.75" customHeight="1" s="225"/>
    <row r="199" ht="15.75" customHeight="1" s="225"/>
    <row r="200" ht="15.75" customHeight="1" s="225"/>
    <row r="201" ht="15.75" customHeight="1" s="225"/>
    <row r="202" ht="15.75" customHeight="1" s="225"/>
    <row r="203" ht="15.75" customHeight="1" s="225"/>
    <row r="204" ht="15.75" customHeight="1" s="225"/>
    <row r="205" ht="15.75" customHeight="1" s="225"/>
    <row r="206" ht="15.75" customHeight="1" s="225"/>
    <row r="207" ht="15.75" customHeight="1" s="225"/>
    <row r="208" ht="15.75" customHeight="1" s="225"/>
    <row r="209" ht="15.75" customHeight="1" s="225"/>
    <row r="210" ht="15.75" customHeight="1" s="225"/>
    <row r="211" ht="15.75" customHeight="1" s="225"/>
    <row r="212" ht="15.75" customHeight="1" s="225"/>
    <row r="213" ht="15.75" customHeight="1" s="225"/>
    <row r="214" ht="15.75" customHeight="1" s="225"/>
    <row r="215" ht="15.75" customHeight="1" s="225"/>
    <row r="216" ht="15.75" customHeight="1" s="225"/>
    <row r="217" ht="15.75" customHeight="1" s="225"/>
    <row r="218" ht="15.75" customHeight="1" s="225"/>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8">
    <mergeCell ref="B39:C39"/>
    <mergeCell ref="B2:C2"/>
    <mergeCell ref="B33:C33"/>
    <mergeCell ref="B25:C25"/>
    <mergeCell ref="B10:C10"/>
    <mergeCell ref="B40:C40"/>
    <mergeCell ref="B18:C18"/>
    <mergeCell ref="B49:C49"/>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1"/>
  </sheetPr>
  <dimension ref="A1:Z21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3" customWidth="1" style="224" min="1" max="1"/>
    <col width="14" customWidth="1" style="224" min="2" max="4"/>
    <col width="18" customWidth="1" style="224" min="5" max="6"/>
    <col width="48" customWidth="1" style="224" min="7" max="7"/>
    <col width="14" customWidth="1" style="224" min="8" max="8"/>
  </cols>
  <sheetData>
    <row r="1" ht="30" customHeight="1" s="225">
      <c r="I1" s="224" t="n"/>
    </row>
    <row r="2" ht="30" customHeight="1" s="225">
      <c r="F2" s="226" t="n"/>
      <c r="I2" s="224" t="n"/>
    </row>
    <row r="3" ht="33.75" customHeight="1" s="225">
      <c r="D3" s="246" t="inlineStr">
        <is>
          <t>REVISION HISTORY</t>
        </is>
      </c>
      <c r="I3" s="224" t="n"/>
    </row>
    <row r="4" ht="15" customHeight="1" s="225">
      <c r="I4" s="224" t="n"/>
    </row>
    <row r="5" ht="15" customHeight="1" s="225">
      <c r="I5" s="224" t="n"/>
    </row>
    <row r="6" ht="18.75" customHeight="1" s="225">
      <c r="A6" s="247" t="n"/>
      <c r="B6" s="248" t="inlineStr">
        <is>
          <t>Date</t>
        </is>
      </c>
      <c r="C6" s="248" t="inlineStr">
        <is>
          <t>Version</t>
        </is>
      </c>
      <c r="D6" s="248" t="inlineStr">
        <is>
          <t>Author</t>
        </is>
      </c>
      <c r="E6" s="248" t="inlineStr">
        <is>
          <t>Reviewer</t>
        </is>
      </c>
      <c r="F6" s="248" t="inlineStr">
        <is>
          <t>Approver</t>
        </is>
      </c>
      <c r="G6" s="248" t="inlineStr">
        <is>
          <t>Change Description</t>
        </is>
      </c>
      <c r="H6" s="247" t="n"/>
      <c r="I6" s="247" t="n"/>
      <c r="J6" s="247" t="n"/>
      <c r="K6" s="247" t="n"/>
      <c r="L6" s="247" t="n"/>
      <c r="M6" s="247" t="n"/>
      <c r="N6" s="247" t="n"/>
      <c r="O6" s="247" t="n"/>
      <c r="P6" s="247" t="n"/>
      <c r="Q6" s="247" t="n"/>
      <c r="R6" s="247" t="n"/>
      <c r="S6" s="247" t="n"/>
      <c r="T6" s="247" t="n"/>
      <c r="U6" s="247" t="n"/>
      <c r="V6" s="247" t="n"/>
      <c r="W6" s="247" t="n"/>
      <c r="X6" s="247" t="n"/>
      <c r="Y6" s="247" t="n"/>
      <c r="Z6" s="247" t="n"/>
    </row>
    <row r="7" ht="38.25" customHeight="1" s="225">
      <c r="A7" s="249" t="n"/>
      <c r="B7" s="250" t="n">
        <v>46231</v>
      </c>
      <c r="C7" s="251" t="n">
        <v>1</v>
      </c>
      <c r="D7" s="252" t="inlineStr">
        <is>
          <t>GiangDC2</t>
        </is>
      </c>
      <c r="E7" s="252" t="inlineStr">
        <is>
          <t>—</t>
        </is>
      </c>
      <c r="F7" s="253" t="inlineStr">
        <is>
          <t>—</t>
        </is>
      </c>
      <c r="G7" s="254" t="inlineStr">
        <is>
          <t>Tạo mới — consolidate 3 fragment (Hoạt động/Cá nhân/Thông báo) v1.0, comprehensive mode</t>
        </is>
      </c>
      <c r="H7" s="228" t="n"/>
      <c r="I7" s="249" t="n"/>
      <c r="J7" s="249" t="n"/>
      <c r="K7" s="249" t="n"/>
      <c r="L7" s="249" t="n"/>
      <c r="M7" s="249" t="n"/>
      <c r="N7" s="249" t="n"/>
      <c r="O7" s="249" t="n"/>
      <c r="P7" s="249" t="n"/>
      <c r="Q7" s="249" t="n"/>
      <c r="R7" s="249" t="n"/>
      <c r="S7" s="249" t="n"/>
      <c r="T7" s="249" t="n"/>
      <c r="U7" s="249" t="n"/>
      <c r="V7" s="249" t="n"/>
      <c r="W7" s="249" t="n"/>
      <c r="X7" s="249" t="n"/>
      <c r="Y7" s="249" t="n"/>
      <c r="Z7" s="249" t="n"/>
    </row>
    <row r="8" ht="38.25" customHeight="1" s="225">
      <c r="B8" s="250" t="n">
        <v>46231.78086296297</v>
      </c>
      <c r="C8" s="251" t="n">
        <v>2</v>
      </c>
      <c r="D8" s="252" t="inlineStr">
        <is>
          <t>GiangDC2</t>
        </is>
      </c>
      <c r="E8" s="252" t="inlineStr">
        <is>
          <t>—</t>
        </is>
      </c>
      <c r="F8" s="255" t="inlineStr">
        <is>
          <t>—</t>
        </is>
      </c>
      <c r="G8" s="256" t="inlineStr">
        <is>
          <t>Consolidate thêm Đăng tin (Test Case 4, TC_04, 100 TC) vào TC-MASTER — 162 TC tổng cộng (Hoạt động 20 + Cá nhân 15 + Thông báo 27 + Đăng tin 100). Dashboard +1 row, RTM +11 Req ID row, Coverage Matrix - Đăng tin thêm mới.</t>
        </is>
      </c>
      <c r="H8" s="228" t="n"/>
      <c r="I8" s="224" t="n"/>
    </row>
    <row r="9" ht="38.25" customHeight="1" s="225">
      <c r="B9" s="257" t="n">
        <v>46232</v>
      </c>
      <c r="C9" s="258" t="n">
        <v>3</v>
      </c>
      <c r="D9" s="258" t="inlineStr">
        <is>
          <t>GiangDC2</t>
        </is>
      </c>
      <c r="E9" s="258" t="inlineStr">
        <is>
          <t>—</t>
        </is>
      </c>
      <c r="F9" s="255" t="inlineStr">
        <is>
          <t>—</t>
        </is>
      </c>
      <c r="G9" s="256" t="inlineStr">
        <is>
          <t>SYNC: (1) Đưa +13 TC mới của Đăng tin (Block Người gửi/Người nhận, autocomplete địa chỉ, SC-ORD-031/032, đã có sẵn trong fragment/TC-MASTER 2026-07-29 nhưng chưa vào file ISC chính) vào ISC_FoxEco_v1.0_TC_v1_R1.xlsx — Đăng tin 100→113 TC, tổng 162→175 TC. (2) Patch 3 ô Expected Result còn sót hedge text cũ "⚠ QA đề xuất, chưa BA confirm chính thức" (Hoạt động dòng 27-28, Thông báo dòng 29) sang text đã Resolved khớp với fragment (C-ORD-06).</t>
        </is>
      </c>
      <c r="H9" s="228" t="n"/>
      <c r="I9" s="224" t="n"/>
    </row>
    <row r="10" ht="38.25" customHeight="1" s="225">
      <c r="B10" s="257" t="n">
        <v>46233</v>
      </c>
      <c r="C10" s="258" t="n">
        <v>4</v>
      </c>
      <c r="D10" s="258" t="inlineStr">
        <is>
          <t>GiangDC2</t>
        </is>
      </c>
      <c r="E10" s="258" t="inlineStr">
        <is>
          <t>—</t>
        </is>
      </c>
      <c r="F10" s="255" t="inlineStr">
        <is>
          <t>—</t>
        </is>
      </c>
      <c r="G10" s="256" t="inlineStr">
        <is>
          <t>CONSOLIDATE toàn bộ 9 fragment v1.0 → TC-MASTER: thêm 5 sheet chức năng mới Test Case 5 (TC_05 Trang chủ 32 TC), Test Case 6 (TC_06 Bảng tin &amp; Chi tiết tin 31), Test Case 7 (TC_07 Theo dõi đơn 44), Test Case 8 (TC_08 Huỷ đơn 27), Test Case 9 (TC_09 Tặng quà 16); đồng bộ lại 4 sheet cũ theo fragment mới nhất (Hoạt động 20 / Cá nhân 15 / Thông báo 27 / Đăng tin 109). Tổng 321 TC / 9 sheet. Dashboard +5 dòng (công thức Tổng TC đếm cột C cho cả 30 dòng). RTM: 23 → 41 Req ID (+18), toàn bộ công thức E/F/G/H nối đủ 9 term COUNTIF theo 9 sheet, dòng Tổng dời xuống row 47 với range SUM E6:E46, ghi chú cuối bảng cập nhật "9 sheet", conditional formatting gap mở rộng B6:J46. 9 sheet Coverage Matrix refresh từ fragment (comprehensive mode).</t>
        </is>
      </c>
      <c r="H10" s="228" t="n"/>
      <c r="I10" s="224" t="n"/>
    </row>
    <row r="11" ht="38.25" customHeight="1" s="225">
      <c r="B11" s="257" t="n">
        <v>46233</v>
      </c>
      <c r="C11" s="258" t="n">
        <v>5</v>
      </c>
      <c r="D11" s="258" t="inlineStr">
        <is>
          <t>GiangDC2</t>
        </is>
      </c>
      <c r="E11" s="258" t="inlineStr">
        <is>
          <t>—</t>
        </is>
      </c>
      <c r="F11" s="255" t="inlineStr">
        <is>
          <t>—</t>
        </is>
      </c>
      <c r="G11" s="256" t="inlineStr">
        <is>
          <t>FIX toàn bộ 12 finding của /review-tc 2026-07-30 (2 MAJOR + 10 MINOR). +2 TC màn "Quà đã nhận" (TC_02.16 completeness 3 thành phần, TC_02.17 danh sách lịch sử — đóng gap R2-15) → 321→323 TC. Viết lại Remark TC_03.1/2/3 theo trần 5 thông báo/tin đã chốt. Viết lại TC_03.8/TC_03.10 chỉ assert vế thông báo + dedupe sang TC_07. Coverage Matrix: SC-NTF-006 (DEPRECATED) → SC-ASN-013; tách SC-ORD-004/005; footer Trang chủ 31→32; Cá nhân 15→17. Chuẩn hoá 27 DOC Source phi-tài-liệu. Sửa Remark VAL-02→N/A baseline (TC_04.81/82), Expected TC_04.93 + TC_04.106.</t>
        </is>
      </c>
      <c r="H11" s="228" t="n"/>
      <c r="I11" s="224" t="n"/>
    </row>
    <row r="12" ht="38.25" customHeight="1" s="225">
      <c r="B12" s="257" t="n"/>
      <c r="C12" s="258" t="n"/>
      <c r="D12" s="258" t="n"/>
      <c r="E12" s="258" t="n"/>
      <c r="F12" s="255" t="n"/>
      <c r="G12" s="256" t="n"/>
      <c r="H12" s="228" t="n"/>
      <c r="I12" s="224" t="n"/>
    </row>
    <row r="13" ht="38.25" customHeight="1" s="225">
      <c r="B13" s="257" t="n"/>
      <c r="C13" s="258" t="n"/>
      <c r="D13" s="258" t="n"/>
      <c r="E13" s="258" t="n"/>
      <c r="F13" s="255" t="n"/>
      <c r="G13" s="256" t="n"/>
      <c r="H13" s="228" t="n"/>
      <c r="I13" s="224" t="n"/>
    </row>
    <row r="14" ht="38.25" customHeight="1" s="225">
      <c r="B14" s="257" t="n"/>
      <c r="C14" s="258" t="n"/>
      <c r="D14" s="258" t="n"/>
      <c r="E14" s="258" t="n"/>
      <c r="F14" s="255" t="n"/>
      <c r="G14" s="256" t="n"/>
      <c r="H14" s="228" t="n"/>
      <c r="I14" s="224" t="n"/>
    </row>
    <row r="15" ht="15" customHeight="1" s="225">
      <c r="I15" s="224" t="n"/>
    </row>
    <row r="16" ht="15" customHeight="1" s="225">
      <c r="B16" s="234" t="n"/>
      <c r="I16" s="224" t="n"/>
    </row>
    <row r="17" ht="15" customHeight="1" s="225">
      <c r="B17" s="235" t="n"/>
      <c r="I17" s="224" t="n"/>
    </row>
    <row r="18" ht="15" customHeight="1" s="225">
      <c r="B18" s="235" t="n"/>
      <c r="I18" s="224" t="n"/>
    </row>
    <row r="19" ht="15" customHeight="1" s="225">
      <c r="I19" s="224" t="n"/>
    </row>
    <row r="20" ht="15.75" customHeight="1" s="225">
      <c r="I20" s="224" t="n"/>
    </row>
    <row r="21" ht="15.75" customHeight="1" s="225">
      <c r="I21" s="224" t="n"/>
    </row>
    <row r="22" ht="15.75" customHeight="1" s="225">
      <c r="I22" s="224" t="n"/>
    </row>
    <row r="23" ht="15.75" customHeight="1" s="225">
      <c r="I23" s="224" t="n"/>
    </row>
    <row r="24" ht="15.75" customHeight="1" s="225">
      <c r="I24" s="224" t="n"/>
    </row>
    <row r="25" ht="15.75" customHeight="1" s="225">
      <c r="I25" s="224" t="n"/>
    </row>
    <row r="26" ht="15.75" customHeight="1" s="225">
      <c r="I26" s="224" t="n"/>
    </row>
    <row r="27" ht="15.75" customHeight="1" s="225">
      <c r="I27" s="224" t="n"/>
    </row>
    <row r="28" ht="15.75" customHeight="1" s="225">
      <c r="I28" s="224" t="n"/>
    </row>
    <row r="29" ht="15.75" customHeight="1" s="225">
      <c r="I29" s="224" t="n"/>
    </row>
    <row r="30" ht="15.75" customHeight="1" s="225">
      <c r="I30" s="224" t="n"/>
    </row>
    <row r="31" ht="15.75" customHeight="1" s="225">
      <c r="I31" s="224" t="n"/>
    </row>
    <row r="32" ht="15.75" customHeight="1" s="225">
      <c r="I32" s="224" t="n"/>
    </row>
    <row r="33" ht="15.75" customHeight="1" s="225">
      <c r="I33" s="224" t="n"/>
    </row>
    <row r="34" ht="15.75" customHeight="1" s="225">
      <c r="I34" s="224" t="n"/>
    </row>
    <row r="35" ht="15.75" customHeight="1" s="225">
      <c r="I35" s="224" t="n"/>
    </row>
    <row r="36" ht="15.75" customHeight="1" s="225">
      <c r="I36" s="224" t="n"/>
    </row>
    <row r="37" ht="15.75" customHeight="1" s="225">
      <c r="I37" s="224" t="n"/>
    </row>
    <row r="38" ht="15.75" customHeight="1" s="225">
      <c r="I38" s="224" t="n"/>
    </row>
    <row r="39" ht="15.75" customHeight="1" s="225">
      <c r="I39" s="224" t="n"/>
    </row>
    <row r="40" ht="15.75" customHeight="1" s="225">
      <c r="I40" s="224" t="n"/>
    </row>
    <row r="41" ht="15.75" customHeight="1" s="225">
      <c r="I41" s="224" t="n"/>
    </row>
    <row r="42" ht="15.75" customHeight="1" s="225">
      <c r="I42" s="224" t="n"/>
    </row>
    <row r="43" ht="15.75" customHeight="1" s="225">
      <c r="I43" s="224" t="n"/>
    </row>
    <row r="44" ht="15.75" customHeight="1" s="225">
      <c r="I44" s="224" t="n"/>
    </row>
    <row r="45" ht="15.75" customHeight="1" s="225">
      <c r="I45" s="224" t="n"/>
    </row>
    <row r="46" ht="15.75" customHeight="1" s="225">
      <c r="I46" s="224" t="n"/>
    </row>
    <row r="47" ht="15.75" customHeight="1" s="225">
      <c r="I47" s="224" t="n"/>
    </row>
    <row r="48" ht="15.75" customHeight="1" s="225">
      <c r="I48" s="224" t="n"/>
    </row>
    <row r="49" ht="15.75" customHeight="1" s="225">
      <c r="I49" s="224" t="n"/>
    </row>
    <row r="50" ht="15.75" customHeight="1" s="225">
      <c r="I50" s="224" t="n"/>
    </row>
    <row r="51" ht="15.75" customHeight="1" s="225">
      <c r="I51" s="224" t="n"/>
    </row>
    <row r="52" ht="15.75" customHeight="1" s="225">
      <c r="I52" s="224" t="n"/>
    </row>
    <row r="53" ht="15.75" customHeight="1" s="225">
      <c r="I53" s="224" t="n"/>
    </row>
    <row r="54" ht="15.75" customHeight="1" s="225">
      <c r="I54" s="224" t="n"/>
    </row>
    <row r="55" ht="15.75" customHeight="1" s="225">
      <c r="I55" s="224" t="n"/>
    </row>
    <row r="56" ht="15.75" customHeight="1" s="225">
      <c r="I56" s="224" t="n"/>
    </row>
    <row r="57" ht="15.75" customHeight="1" s="225">
      <c r="I57" s="224" t="n"/>
    </row>
    <row r="58" ht="15.75" customHeight="1" s="225">
      <c r="I58" s="224" t="n"/>
    </row>
    <row r="59" ht="15.75" customHeight="1" s="225">
      <c r="I59" s="224" t="n"/>
    </row>
    <row r="60" ht="15.75" customHeight="1" s="225">
      <c r="I60" s="224" t="n"/>
    </row>
    <row r="61" ht="15.75" customHeight="1" s="225">
      <c r="I61" s="224" t="n"/>
    </row>
    <row r="62" ht="15.75" customHeight="1" s="225">
      <c r="I62" s="224" t="n"/>
    </row>
    <row r="63" ht="15.75" customHeight="1" s="225">
      <c r="I63" s="224" t="n"/>
    </row>
    <row r="64" ht="15.75" customHeight="1" s="225">
      <c r="I64" s="224" t="n"/>
    </row>
    <row r="65" ht="15.75" customHeight="1" s="225">
      <c r="I65" s="224" t="n"/>
    </row>
    <row r="66" ht="15.75" customHeight="1" s="225">
      <c r="I66" s="224" t="n"/>
    </row>
    <row r="67" ht="15.75" customHeight="1" s="225">
      <c r="I67" s="224" t="n"/>
    </row>
    <row r="68" ht="15.75" customHeight="1" s="225">
      <c r="I68" s="224" t="n"/>
    </row>
    <row r="69" ht="15.75" customHeight="1" s="225">
      <c r="I69" s="224" t="n"/>
    </row>
    <row r="70" ht="15.75" customHeight="1" s="225">
      <c r="I70" s="224" t="n"/>
    </row>
    <row r="71" ht="15.75" customHeight="1" s="225">
      <c r="I71" s="224" t="n"/>
    </row>
    <row r="72" ht="15.75" customHeight="1" s="225">
      <c r="I72" s="224" t="n"/>
    </row>
    <row r="73" ht="15.75" customHeight="1" s="225">
      <c r="I73" s="224" t="n"/>
    </row>
    <row r="74" ht="15.75" customHeight="1" s="225">
      <c r="I74" s="224" t="n"/>
    </row>
    <row r="75" ht="15.75" customHeight="1" s="225">
      <c r="I75" s="224" t="n"/>
    </row>
    <row r="76" ht="15.75" customHeight="1" s="225">
      <c r="I76" s="224" t="n"/>
    </row>
    <row r="77" ht="15.75" customHeight="1" s="225">
      <c r="I77" s="224" t="n"/>
    </row>
    <row r="78" ht="15.75" customHeight="1" s="225">
      <c r="I78" s="224" t="n"/>
    </row>
    <row r="79" ht="15.75" customHeight="1" s="225">
      <c r="I79" s="224" t="n"/>
    </row>
    <row r="80" ht="15.75" customHeight="1" s="225">
      <c r="I80" s="224" t="n"/>
    </row>
    <row r="81" ht="15.75" customHeight="1" s="225">
      <c r="I81" s="224" t="n"/>
    </row>
    <row r="82" ht="15.75" customHeight="1" s="225">
      <c r="I82" s="224" t="n"/>
    </row>
    <row r="83" ht="15.75" customHeight="1" s="225">
      <c r="I83" s="224" t="n"/>
    </row>
    <row r="84" ht="15.75" customHeight="1" s="225">
      <c r="I84" s="224" t="n"/>
    </row>
    <row r="85" ht="15.75" customHeight="1" s="225">
      <c r="I85" s="224" t="n"/>
    </row>
    <row r="86" ht="15.75" customHeight="1" s="225">
      <c r="I86" s="224" t="n"/>
    </row>
    <row r="87" ht="15.75" customHeight="1" s="225">
      <c r="I87" s="224" t="n"/>
    </row>
    <row r="88" ht="15.75" customHeight="1" s="225">
      <c r="I88" s="224" t="n"/>
    </row>
    <row r="89" ht="15.75" customHeight="1" s="225">
      <c r="I89" s="224" t="n"/>
    </row>
    <row r="90" ht="15.75" customHeight="1" s="225">
      <c r="I90" s="224" t="n"/>
    </row>
    <row r="91" ht="15.75" customHeight="1" s="225">
      <c r="I91" s="224" t="n"/>
    </row>
    <row r="92" ht="15.75" customHeight="1" s="225">
      <c r="I92" s="224" t="n"/>
    </row>
    <row r="93" ht="15.75" customHeight="1" s="225">
      <c r="I93" s="224" t="n"/>
    </row>
    <row r="94" ht="15.75" customHeight="1" s="225">
      <c r="I94" s="224" t="n"/>
    </row>
    <row r="95" ht="15.75" customHeight="1" s="225">
      <c r="I95" s="224" t="n"/>
    </row>
    <row r="96" ht="15.75" customHeight="1" s="225">
      <c r="I96" s="224" t="n"/>
    </row>
    <row r="97" ht="15.75" customHeight="1" s="225">
      <c r="I97" s="224" t="n"/>
    </row>
    <row r="98" ht="15.75" customHeight="1" s="225">
      <c r="I98" s="224" t="n"/>
    </row>
    <row r="99" ht="15.75" customHeight="1" s="225">
      <c r="I99" s="224" t="n"/>
    </row>
    <row r="100" ht="15.75" customHeight="1" s="225">
      <c r="I100" s="224" t="n"/>
    </row>
    <row r="101" ht="15.75" customHeight="1" s="225">
      <c r="I101" s="224" t="n"/>
    </row>
    <row r="102" ht="15.75" customHeight="1" s="225">
      <c r="I102" s="224" t="n"/>
    </row>
    <row r="103" ht="15.75" customHeight="1" s="225">
      <c r="I103" s="224" t="n"/>
    </row>
    <row r="104" ht="15.75" customHeight="1" s="225">
      <c r="I104" s="224" t="n"/>
    </row>
    <row r="105" ht="15.75" customHeight="1" s="225">
      <c r="I105" s="224" t="n"/>
    </row>
    <row r="106" ht="15.75" customHeight="1" s="225">
      <c r="I106" s="224" t="n"/>
    </row>
    <row r="107" ht="15.75" customHeight="1" s="225">
      <c r="I107" s="224" t="n"/>
    </row>
    <row r="108" ht="15.75" customHeight="1" s="225">
      <c r="I108" s="224" t="n"/>
    </row>
    <row r="109" ht="15.75" customHeight="1" s="225">
      <c r="I109" s="224" t="n"/>
    </row>
    <row r="110" ht="15.75" customHeight="1" s="225">
      <c r="I110" s="224" t="n"/>
    </row>
    <row r="111" ht="15.75" customHeight="1" s="225">
      <c r="I111" s="224" t="n"/>
    </row>
    <row r="112" ht="15.75" customHeight="1" s="225">
      <c r="I112" s="224" t="n"/>
    </row>
    <row r="113" ht="15.75" customHeight="1" s="225">
      <c r="I113" s="224" t="n"/>
    </row>
    <row r="114" ht="15.75" customHeight="1" s="225">
      <c r="I114" s="224" t="n"/>
    </row>
    <row r="115" ht="15.75" customHeight="1" s="225">
      <c r="I115" s="224" t="n"/>
    </row>
    <row r="116" ht="15.75" customHeight="1" s="225">
      <c r="I116" s="224" t="n"/>
    </row>
    <row r="117" ht="15.75" customHeight="1" s="225">
      <c r="I117" s="224" t="n"/>
    </row>
    <row r="118" ht="15.75" customHeight="1" s="225">
      <c r="I118" s="224" t="n"/>
    </row>
    <row r="119" ht="15.75" customHeight="1" s="225">
      <c r="I119" s="224" t="n"/>
    </row>
    <row r="120" ht="15.75" customHeight="1" s="225">
      <c r="I120" s="224" t="n"/>
    </row>
    <row r="121" ht="15.75" customHeight="1" s="225">
      <c r="I121" s="224" t="n"/>
    </row>
    <row r="122" ht="15.75" customHeight="1" s="225">
      <c r="I122" s="224" t="n"/>
    </row>
    <row r="123" ht="15.75" customHeight="1" s="225">
      <c r="I123" s="224" t="n"/>
    </row>
    <row r="124" ht="15.75" customHeight="1" s="225">
      <c r="I124" s="224" t="n"/>
    </row>
    <row r="125" ht="15.75" customHeight="1" s="225">
      <c r="I125" s="224" t="n"/>
    </row>
    <row r="126" ht="15.75" customHeight="1" s="225">
      <c r="I126" s="224" t="n"/>
    </row>
    <row r="127" ht="15.75" customHeight="1" s="225">
      <c r="I127" s="224" t="n"/>
    </row>
    <row r="128" ht="15.75" customHeight="1" s="225">
      <c r="I128" s="224" t="n"/>
    </row>
    <row r="129" ht="15.75" customHeight="1" s="225">
      <c r="I129" s="224" t="n"/>
    </row>
    <row r="130" ht="15.75" customHeight="1" s="225">
      <c r="I130" s="224" t="n"/>
    </row>
    <row r="131" ht="15.75" customHeight="1" s="225">
      <c r="I131" s="224" t="n"/>
    </row>
    <row r="132" ht="15.75" customHeight="1" s="225">
      <c r="I132" s="224" t="n"/>
    </row>
    <row r="133" ht="15.75" customHeight="1" s="225">
      <c r="I133" s="224" t="n"/>
    </row>
    <row r="134" ht="15.75" customHeight="1" s="225">
      <c r="I134" s="224" t="n"/>
    </row>
    <row r="135" ht="15.75" customHeight="1" s="225">
      <c r="I135" s="224" t="n"/>
    </row>
    <row r="136" ht="15.75" customHeight="1" s="225">
      <c r="I136" s="224" t="n"/>
    </row>
    <row r="137" ht="15.75" customHeight="1" s="225">
      <c r="I137" s="224" t="n"/>
    </row>
    <row r="138" ht="15.75" customHeight="1" s="225">
      <c r="I138" s="224" t="n"/>
    </row>
    <row r="139" ht="15.75" customHeight="1" s="225">
      <c r="I139" s="224" t="n"/>
    </row>
    <row r="140" ht="15.75" customHeight="1" s="225">
      <c r="I140" s="224" t="n"/>
    </row>
    <row r="141" ht="15.75" customHeight="1" s="225">
      <c r="I141" s="224" t="n"/>
    </row>
    <row r="142" ht="15.75" customHeight="1" s="225">
      <c r="I142" s="224" t="n"/>
    </row>
    <row r="143" ht="15.75" customHeight="1" s="225">
      <c r="I143" s="224" t="n"/>
    </row>
    <row r="144" ht="15.75" customHeight="1" s="225">
      <c r="I144" s="224" t="n"/>
    </row>
    <row r="145" ht="15.75" customHeight="1" s="225">
      <c r="I145" s="224" t="n"/>
    </row>
    <row r="146" ht="15.75" customHeight="1" s="225">
      <c r="I146" s="224" t="n"/>
    </row>
    <row r="147" ht="15.75" customHeight="1" s="225">
      <c r="I147" s="224" t="n"/>
    </row>
    <row r="148" ht="15.75" customHeight="1" s="225">
      <c r="I148" s="224" t="n"/>
    </row>
    <row r="149" ht="15.75" customHeight="1" s="225">
      <c r="I149" s="224" t="n"/>
    </row>
    <row r="150" ht="15.75" customHeight="1" s="225">
      <c r="I150" s="224" t="n"/>
    </row>
    <row r="151" ht="15.75" customHeight="1" s="225">
      <c r="I151" s="224" t="n"/>
    </row>
    <row r="152" ht="15.75" customHeight="1" s="225">
      <c r="I152" s="224" t="n"/>
    </row>
    <row r="153" ht="15.75" customHeight="1" s="225">
      <c r="I153" s="224" t="n"/>
    </row>
    <row r="154" ht="15.75" customHeight="1" s="225">
      <c r="I154" s="224" t="n"/>
    </row>
    <row r="155" ht="15.75" customHeight="1" s="225">
      <c r="I155" s="224" t="n"/>
    </row>
    <row r="156" ht="15.75" customHeight="1" s="225">
      <c r="I156" s="224" t="n"/>
    </row>
    <row r="157" ht="15.75" customHeight="1" s="225">
      <c r="I157" s="224" t="n"/>
    </row>
    <row r="158" ht="15.75" customHeight="1" s="225">
      <c r="I158" s="224" t="n"/>
    </row>
    <row r="159" ht="15.75" customHeight="1" s="225">
      <c r="I159" s="224" t="n"/>
    </row>
    <row r="160" ht="15.75" customHeight="1" s="225">
      <c r="I160" s="224" t="n"/>
    </row>
    <row r="161" ht="15.75" customHeight="1" s="225">
      <c r="I161" s="224" t="n"/>
    </row>
    <row r="162" ht="15.75" customHeight="1" s="225">
      <c r="I162" s="224" t="n"/>
    </row>
    <row r="163" ht="15.75" customHeight="1" s="225">
      <c r="I163" s="224" t="n"/>
    </row>
    <row r="164" ht="15.75" customHeight="1" s="225">
      <c r="I164" s="224" t="n"/>
    </row>
    <row r="165" ht="15.75" customHeight="1" s="225">
      <c r="I165" s="224" t="n"/>
    </row>
    <row r="166" ht="15.75" customHeight="1" s="225">
      <c r="I166" s="224" t="n"/>
    </row>
    <row r="167" ht="15.75" customHeight="1" s="225">
      <c r="I167" s="224" t="n"/>
    </row>
    <row r="168" ht="15.75" customHeight="1" s="225">
      <c r="I168" s="224" t="n"/>
    </row>
    <row r="169" ht="15.75" customHeight="1" s="225">
      <c r="I169" s="224" t="n"/>
    </row>
    <row r="170" ht="15.75" customHeight="1" s="225">
      <c r="I170" s="224" t="n"/>
    </row>
    <row r="171" ht="15.75" customHeight="1" s="225">
      <c r="I171" s="224" t="n"/>
    </row>
    <row r="172" ht="15.75" customHeight="1" s="225">
      <c r="I172" s="224" t="n"/>
    </row>
    <row r="173" ht="15.75" customHeight="1" s="225">
      <c r="I173" s="224" t="n"/>
    </row>
    <row r="174" ht="15.75" customHeight="1" s="225">
      <c r="I174" s="224" t="n"/>
    </row>
    <row r="175" ht="15.75" customHeight="1" s="225">
      <c r="I175" s="224" t="n"/>
    </row>
    <row r="176" ht="15.75" customHeight="1" s="225">
      <c r="I176" s="224" t="n"/>
    </row>
    <row r="177" ht="15.75" customHeight="1" s="225">
      <c r="I177" s="224" t="n"/>
    </row>
    <row r="178" ht="15.75" customHeight="1" s="225">
      <c r="I178" s="224" t="n"/>
    </row>
    <row r="179" ht="15.75" customHeight="1" s="225">
      <c r="I179" s="224" t="n"/>
    </row>
    <row r="180" ht="15.75" customHeight="1" s="225">
      <c r="I180" s="224" t="n"/>
    </row>
    <row r="181" ht="15.75" customHeight="1" s="225">
      <c r="I181" s="224" t="n"/>
    </row>
    <row r="182" ht="15.75" customHeight="1" s="225">
      <c r="I182" s="224" t="n"/>
    </row>
    <row r="183" ht="15.75" customHeight="1" s="225">
      <c r="I183" s="224" t="n"/>
    </row>
    <row r="184" ht="15.75" customHeight="1" s="225">
      <c r="I184" s="224" t="n"/>
    </row>
    <row r="185" ht="15.75" customHeight="1" s="225">
      <c r="I185" s="224" t="n"/>
    </row>
    <row r="186" ht="15.75" customHeight="1" s="225">
      <c r="I186" s="224" t="n"/>
    </row>
    <row r="187" ht="15.75" customHeight="1" s="225">
      <c r="I187" s="224" t="n"/>
    </row>
    <row r="188" ht="15.75" customHeight="1" s="225">
      <c r="I188" s="224" t="n"/>
    </row>
    <row r="189" ht="15.75" customHeight="1" s="225">
      <c r="I189" s="224" t="n"/>
    </row>
    <row r="190" ht="15.75" customHeight="1" s="225">
      <c r="I190" s="224" t="n"/>
    </row>
    <row r="191" ht="15.75" customHeight="1" s="225">
      <c r="I191" s="224" t="n"/>
    </row>
    <row r="192" ht="15.75" customHeight="1" s="225">
      <c r="I192" s="224" t="n"/>
    </row>
    <row r="193" ht="15.75" customHeight="1" s="225">
      <c r="I193" s="224" t="n"/>
    </row>
    <row r="194" ht="15.75" customHeight="1" s="225">
      <c r="I194" s="224" t="n"/>
    </row>
    <row r="195" ht="15.75" customHeight="1" s="225">
      <c r="I195" s="224" t="n"/>
    </row>
    <row r="196" ht="15.75" customHeight="1" s="225">
      <c r="I196" s="224" t="n"/>
    </row>
    <row r="197" ht="15.75" customHeight="1" s="225">
      <c r="I197" s="224" t="n"/>
    </row>
    <row r="198" ht="15.75" customHeight="1" s="225">
      <c r="I198" s="224" t="n"/>
    </row>
    <row r="199" ht="15.75" customHeight="1" s="225">
      <c r="I199" s="224" t="n"/>
    </row>
    <row r="200" ht="15.75" customHeight="1" s="225">
      <c r="I200" s="224" t="n"/>
    </row>
    <row r="201" ht="15.75" customHeight="1" s="225">
      <c r="I201" s="224" t="n"/>
    </row>
    <row r="202" ht="15.75" customHeight="1" s="225">
      <c r="I202" s="224" t="n"/>
    </row>
    <row r="203" ht="15.75" customHeight="1" s="225">
      <c r="I203" s="224" t="n"/>
    </row>
    <row r="204" ht="15.75" customHeight="1" s="225">
      <c r="I204" s="224" t="n"/>
    </row>
    <row r="205" ht="15.75" customHeight="1" s="225">
      <c r="I205" s="224" t="n"/>
    </row>
    <row r="206" ht="15.75" customHeight="1" s="225">
      <c r="I206" s="224" t="n"/>
    </row>
    <row r="207" ht="15.75" customHeight="1" s="225">
      <c r="I207" s="224" t="n"/>
    </row>
    <row r="208" ht="15.75" customHeight="1" s="225">
      <c r="I208" s="224" t="n"/>
    </row>
    <row r="209" ht="15.75" customHeight="1" s="225">
      <c r="I209" s="224" t="n"/>
    </row>
    <row r="210" ht="15.75" customHeight="1" s="225">
      <c r="I210" s="224" t="n"/>
    </row>
    <row r="211" ht="15.75" customHeight="1" s="225">
      <c r="I211" s="224" t="n"/>
    </row>
    <row r="212" ht="15.75" customHeight="1" s="225">
      <c r="I212" s="224" t="n"/>
    </row>
    <row r="213" ht="15.75" customHeight="1" s="225">
      <c r="I213" s="224" t="n"/>
    </row>
    <row r="214" ht="15.75" customHeight="1" s="225">
      <c r="I214" s="224" t="n"/>
    </row>
    <row r="215" ht="15.75" customHeight="1" s="225">
      <c r="I215" s="224" t="n"/>
    </row>
    <row r="216" ht="15.75" customHeight="1" s="225">
      <c r="I216" s="224" t="n"/>
    </row>
    <row r="217" ht="15.75" customHeight="1" s="225">
      <c r="I217" s="224" t="n"/>
    </row>
    <row r="218" ht="15.75" customHeight="1" s="225">
      <c r="I218" s="224" t="n"/>
    </row>
    <row r="219" ht="15.75" customHeight="1" s="225">
      <c r="I219" s="224" t="n"/>
    </row>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4">
    <mergeCell ref="B16:H16"/>
    <mergeCell ref="F2:H2"/>
    <mergeCell ref="B17:H17"/>
    <mergeCell ref="B18:H18"/>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4.xml><?xml version="1.0" encoding="utf-8"?>
<worksheet xmlns="http://schemas.openxmlformats.org/spreadsheetml/2006/main">
  <sheetPr filterMode="0">
    <outlinePr summaryBelow="1" summaryRight="1"/>
    <pageSetUpPr fitToPage="1"/>
  </sheetPr>
  <dimension ref="B2:J74"/>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customHeight="1" zeroHeight="0" outlineLevelRow="0"/>
  <cols>
    <col width="3" customWidth="1" style="224" min="1" max="1"/>
    <col width="26" customWidth="1" style="224" min="2" max="2"/>
    <col width="11" customWidth="1" style="224" min="3" max="6"/>
    <col width="16.14" customWidth="1" style="224" min="7" max="7"/>
  </cols>
  <sheetData>
    <row r="2" ht="20.25" customHeight="1" s="225">
      <c r="B2" s="259" t="inlineStr">
        <is>
          <t>SUMMARY — Thiết lập chung &amp; Chỉ số Test Case</t>
        </is>
      </c>
    </row>
    <row r="3" ht="15" customHeight="1" s="225">
      <c r="B3" s="260" t="inlineStr">
        <is>
          <t>Sheet SETUP CHUNG. Chỉ số TỔNG QUAN bên dưới được GOM TỰ ĐỘNG từ TẤT CẢ sheet Test Case, quản lý ở sheet "Dashboard".</t>
        </is>
      </c>
    </row>
    <row r="5" ht="40.5" customHeight="1" s="225">
      <c r="B5" s="261" t="inlineStr">
        <is>
          <t>THIẾT LẬP CHUNG</t>
        </is>
      </c>
      <c r="C5" s="233" t="n"/>
      <c r="D5" s="233" t="n"/>
      <c r="E5" s="231" t="n"/>
    </row>
    <row r="6" ht="15" customHeight="1" s="225">
      <c r="B6" s="262" t="inlineStr">
        <is>
          <t>Tên dự án</t>
        </is>
      </c>
      <c r="C6" s="263" t="inlineStr">
        <is>
          <t>FoxEco</t>
        </is>
      </c>
      <c r="D6" s="233" t="n"/>
      <c r="E6" s="231" t="n"/>
    </row>
    <row r="7" ht="15" customHeight="1" s="225">
      <c r="B7" s="262" t="inlineStr">
        <is>
          <t>Mã tài liệu</t>
        </is>
      </c>
      <c r="C7" s="264" t="inlineStr">
        <is>
          <t>7.1-BM/PM/HDCV/ISC</t>
        </is>
      </c>
      <c r="D7" s="233" t="n"/>
      <c r="E7" s="231" t="n"/>
    </row>
    <row r="8" ht="15" customHeight="1" s="225">
      <c r="B8" s="262" t="inlineStr">
        <is>
          <t>Version</t>
        </is>
      </c>
      <c r="C8" s="263" t="inlineStr">
        <is>
          <t>v1.0</t>
        </is>
      </c>
      <c r="D8" s="233" t="n"/>
      <c r="E8" s="231" t="n"/>
    </row>
    <row r="9" ht="15" customHeight="1" s="225">
      <c r="B9" s="262" t="inlineStr">
        <is>
          <t>Sprint</t>
        </is>
      </c>
      <c r="C9" s="263" t="inlineStr">
        <is>
          <t>N/A (Solo — không chia sprint)</t>
        </is>
      </c>
      <c r="D9" s="233" t="n"/>
      <c r="E9" s="231" t="n"/>
    </row>
    <row r="10" ht="15" customHeight="1" s="225">
      <c r="B10" s="262" t="inlineStr">
        <is>
          <t>Ngày bắt đầu test</t>
        </is>
      </c>
      <c r="C10" s="265" t="n">
        <v>46231</v>
      </c>
      <c r="D10" s="233" t="n"/>
      <c r="E10" s="231" t="n"/>
    </row>
    <row r="11" ht="15" customHeight="1" s="225">
      <c r="B11" s="262" t="inlineStr">
        <is>
          <t>Ngày kết thúc test</t>
        </is>
      </c>
      <c r="C11" s="265" t="n">
        <v>46231</v>
      </c>
      <c r="D11" s="233" t="n"/>
      <c r="E11" s="231" t="n"/>
    </row>
    <row r="12" ht="15" customHeight="1" s="225">
      <c r="B12" s="262" t="inlineStr">
        <is>
          <t>Số sheet chức năng</t>
        </is>
      </c>
      <c r="C12" s="263">
        <f>COUNTIF(Dashboard!$D$4:$D$33,"?*")</f>
        <v/>
      </c>
      <c r="D12" s="233" t="n"/>
      <c r="E12" s="231" t="n"/>
    </row>
    <row r="13" ht="15" customHeight="1" s="225">
      <c r="B13" s="262" t="inlineStr">
        <is>
          <t>PIC</t>
        </is>
      </c>
      <c r="C13" s="265" t="inlineStr">
        <is>
          <t>GiangDC2</t>
        </is>
      </c>
      <c r="D13" s="233" t="n"/>
      <c r="E13" s="231" t="n"/>
    </row>
    <row r="14" ht="15" customHeight="1" s="225">
      <c r="B14" s="260" t="inlineStr">
        <is>
          <t>Ô vàng = nhập tay. Version / ngày test được Test Cases &amp; Report tham chiếu tự động.</t>
        </is>
      </c>
    </row>
    <row r="15" ht="25.5" customHeight="1" s="225"/>
    <row r="16" ht="25.5" customHeight="1" s="225">
      <c r="B16" s="261" t="inlineStr">
        <is>
          <t>TỔNG QUAN TEST CASE — ƯU TIÊN &amp; TIẾN ĐỘ THỰC THI</t>
        </is>
      </c>
      <c r="C16" s="233" t="n"/>
      <c r="D16" s="233" t="n"/>
      <c r="E16" s="233" t="n"/>
      <c r="F16" s="231" t="n"/>
    </row>
    <row r="17" ht="15" customHeight="1" s="225">
      <c r="B17" s="266" t="inlineStr">
        <is>
          <t>Tổng số Test Case</t>
        </is>
      </c>
      <c r="C17" s="267">
        <f>Dashboard!$F$34</f>
        <v/>
      </c>
      <c r="D17" s="268" t="n"/>
      <c r="F17" s="269" t="n"/>
      <c r="G17" s="270" t="n"/>
      <c r="I17" s="271" t="inlineStr">
        <is>
          <t>THEO NHÓM LOẠI TC (Group)</t>
        </is>
      </c>
      <c r="J17" s="231" t="n"/>
    </row>
    <row r="18" ht="15" customHeight="1" s="225">
      <c r="B18" s="272" t="inlineStr">
        <is>
          <t>Mức ưu tiên</t>
        </is>
      </c>
      <c r="C18" s="273" t="inlineStr">
        <is>
          <t>Tổng TC</t>
        </is>
      </c>
      <c r="D18" s="274" t="inlineStr">
        <is>
          <t>% / Tổng</t>
        </is>
      </c>
      <c r="E18" s="272" t="inlineStr">
        <is>
          <t>Đã chạy</t>
        </is>
      </c>
      <c r="F18" s="272" t="inlineStr">
        <is>
          <t>% đã chạy</t>
        </is>
      </c>
      <c r="G18" s="270" t="n"/>
      <c r="I18" s="272" t="inlineStr">
        <is>
          <t>Nhóm</t>
        </is>
      </c>
      <c r="J18" s="272" t="inlineStr">
        <is>
          <t>Số TC</t>
        </is>
      </c>
    </row>
    <row r="19" ht="15" customHeight="1" s="225">
      <c r="B19" s="275" t="inlineStr">
        <is>
          <t>High (P1)</t>
        </is>
      </c>
      <c r="C19" s="276">
        <f>Dashboard!$O$34</f>
        <v/>
      </c>
      <c r="D19" s="277">
        <f>IFERROR(C19/$C$17,0)</f>
        <v/>
      </c>
      <c r="E19" s="276">
        <f>Dashboard!$AB$34</f>
        <v/>
      </c>
      <c r="F19" s="277">
        <f>IFERROR(E19/C19,0)</f>
        <v/>
      </c>
      <c r="G19" s="270" t="n"/>
      <c r="I19" s="278" t="inlineStr">
        <is>
          <t>Functional</t>
        </is>
      </c>
      <c r="J19" s="276">
        <f>Dashboard!$R$34</f>
        <v/>
      </c>
    </row>
    <row r="20" ht="15.75" customHeight="1" s="225">
      <c r="B20" s="275" t="inlineStr">
        <is>
          <t>Medium (P2)</t>
        </is>
      </c>
      <c r="C20" s="276">
        <f>Dashboard!$P$34</f>
        <v/>
      </c>
      <c r="D20" s="277">
        <f>IFERROR(C20/$C$17,0)</f>
        <v/>
      </c>
      <c r="E20" s="276">
        <f>Dashboard!$AC$34</f>
        <v/>
      </c>
      <c r="F20" s="277">
        <f>IFERROR(E20/C20,0)</f>
        <v/>
      </c>
      <c r="G20" s="270" t="n"/>
      <c r="I20" s="278" t="inlineStr">
        <is>
          <t>UI</t>
        </is>
      </c>
      <c r="J20" s="276">
        <f>Dashboard!$S$34</f>
        <v/>
      </c>
    </row>
    <row r="21" ht="15.75" customHeight="1" s="225">
      <c r="B21" s="275" t="inlineStr">
        <is>
          <t>Low (P3)</t>
        </is>
      </c>
      <c r="C21" s="276">
        <f>Dashboard!$Q$34</f>
        <v/>
      </c>
      <c r="D21" s="277">
        <f>IFERROR(C21/$C$17,0)</f>
        <v/>
      </c>
      <c r="E21" s="276">
        <f>Dashboard!$AD$34</f>
        <v/>
      </c>
      <c r="F21" s="277">
        <f>IFERROR(E21/C21,0)</f>
        <v/>
      </c>
      <c r="I21" s="278" t="inlineStr">
        <is>
          <t>Integration</t>
        </is>
      </c>
      <c r="J21" s="276">
        <f>Dashboard!$T$34</f>
        <v/>
      </c>
    </row>
    <row r="22" ht="15.75" customHeight="1" s="225">
      <c r="B22" s="279" t="inlineStr">
        <is>
          <t>Tổng</t>
        </is>
      </c>
      <c r="C22" s="267">
        <f>SUM(C19:C21)</f>
        <v/>
      </c>
      <c r="D22" s="280">
        <f>IFERROR(C22/$C$17,0)</f>
        <v/>
      </c>
      <c r="E22" s="267">
        <f>SUM(E19:E21)</f>
        <v/>
      </c>
      <c r="F22" s="280">
        <f>IFERROR(E22/C22,0)</f>
        <v/>
      </c>
      <c r="I22" s="278" t="inlineStr">
        <is>
          <t>Database</t>
        </is>
      </c>
      <c r="J22" s="276">
        <f>Dashboard!$U$34</f>
        <v/>
      </c>
    </row>
    <row r="23" ht="15.75" customHeight="1" s="225"/>
    <row r="24" ht="15.75" customHeight="1" s="225"/>
    <row r="25" ht="15.75" customHeight="1" s="225"/>
    <row r="26" ht="15.75" customHeight="1" s="225"/>
    <row r="27" ht="15.75" customHeight="1" s="225"/>
    <row r="28" ht="15.75" customHeight="1" s="225"/>
    <row r="29" ht="15.75" customHeight="1" s="225"/>
    <row r="30" ht="15.75" customHeight="1" s="225">
      <c r="B30" s="269" t="n"/>
      <c r="C30" s="270" t="n"/>
    </row>
    <row r="31" ht="15.75" customHeight="1" s="225"/>
    <row r="32" ht="15.75" customHeight="1" s="225"/>
    <row r="33" ht="15.75" customHeight="1" s="225"/>
    <row r="34" ht="15.75" customHeight="1" s="225"/>
    <row r="35" ht="15.75" customHeight="1" s="225"/>
    <row r="36" ht="15.75" customHeight="1" s="225"/>
    <row r="37" ht="15.75" customHeight="1" s="225"/>
    <row r="38" ht="15.75" customHeight="1" s="225"/>
    <row r="39" ht="15.75" customHeight="1" s="225"/>
    <row r="40" ht="15.75" customHeight="1" s="225"/>
    <row r="41" ht="15.75" customHeight="1" s="225"/>
    <row r="42" ht="37.5" customHeight="1" s="225">
      <c r="B42" s="281" t="inlineStr">
        <is>
          <t>SDLC — MỨC ĐỘ ÁP DỤNG</t>
        </is>
      </c>
      <c r="C42" s="233" t="n"/>
      <c r="D42" s="233" t="n"/>
      <c r="E42" s="233" t="n"/>
    </row>
    <row r="43" ht="15.75" customHeight="1" s="225">
      <c r="B43" s="282" t="inlineStr">
        <is>
          <t>Chỉ số</t>
        </is>
      </c>
      <c r="C43" s="283" t="inlineStr">
        <is>
          <t>Số lượng</t>
        </is>
      </c>
      <c r="D43" s="283" t="inlineStr">
        <is>
          <t>% / Tổng TC</t>
        </is>
      </c>
      <c r="E43" s="231" t="n"/>
    </row>
    <row r="44" ht="15.75" customHeight="1" s="225">
      <c r="B44" s="284" t="inlineStr">
        <is>
          <t>TC do AI sinh (Origin=AI)</t>
        </is>
      </c>
      <c r="C44" s="285">
        <f>Dashboard!$V$34</f>
        <v/>
      </c>
      <c r="D44" s="286">
        <f>IFERROR(C44/$C17,0)</f>
        <v/>
      </c>
      <c r="E44" s="231" t="n"/>
    </row>
    <row r="45" ht="15.75" customHeight="1" s="225">
      <c r="B45" s="284" t="inlineStr">
        <is>
          <t>TC do QC viết (Origin=QC)</t>
        </is>
      </c>
      <c r="C45" s="285">
        <f>Dashboard!$W$34</f>
        <v/>
      </c>
      <c r="D45" s="286">
        <f>IFERROR(C45/$C17,0)</f>
        <v/>
      </c>
      <c r="E45" s="231" t="n"/>
    </row>
    <row r="46" ht="15.75" customHeight="1" s="225">
      <c r="B46" s="284" t="inlineStr">
        <is>
          <t>TC đã automation (Automated=Yes)</t>
        </is>
      </c>
      <c r="C46" s="285">
        <f>Dashboard!$X$34</f>
        <v/>
      </c>
      <c r="D46" s="286">
        <f>IFERROR(C46/$C17,0)</f>
        <v/>
      </c>
      <c r="E46" s="231" t="n"/>
    </row>
    <row r="47" ht="15.75" customHeight="1" s="225">
      <c r="B47" s="284" t="inlineStr">
        <is>
          <t>TC Vibe-test (Yes)</t>
        </is>
      </c>
      <c r="C47" s="285">
        <f>Dashboard!$Y$34</f>
        <v/>
      </c>
      <c r="D47" s="286">
        <f>IFERROR(C47/$C17,0)</f>
        <v/>
      </c>
      <c r="E47" s="231" t="n"/>
    </row>
    <row r="48" ht="15.75" customHeight="1" s="225">
      <c r="B48" s="284" t="inlineStr">
        <is>
          <t>TC script auto chạy Pass</t>
        </is>
      </c>
      <c r="C48" s="285">
        <f>Dashboard!$Z$34</f>
        <v/>
      </c>
      <c r="D48" s="286">
        <f>IFERROR(C48/$C17,0)</f>
        <v/>
      </c>
      <c r="E48" s="231" t="n"/>
    </row>
    <row r="49" ht="15.75" customHeight="1" s="225">
      <c r="B49" s="284" t="inlineStr">
        <is>
          <t>TC đã TL review</t>
        </is>
      </c>
      <c r="C49" s="285">
        <f>Dashboard!$AA$34</f>
        <v/>
      </c>
      <c r="D49" s="286">
        <f>IFERROR(C49/$C17,0)</f>
        <v/>
      </c>
      <c r="E49" s="231" t="n"/>
    </row>
    <row r="50" ht="15.75" customHeight="1" s="225"/>
    <row r="51" ht="15.75" customHeight="1" s="225">
      <c r="B51" s="287" t="inlineStr">
        <is>
          <t>% tính trên TỔNG SỐ TEST CASE. Tự đếm từ sheet Test Cases (khác khối III của Report — khối đó nhập tay theo bug).</t>
        </is>
      </c>
    </row>
    <row r="52" ht="15.75" customHeight="1" s="225"/>
    <row r="53" ht="15.75" customHeight="1" s="225">
      <c r="B53" s="288" t="inlineStr">
        <is>
          <t>Test nhiều Round/1 version: nhập kết quả từng round ở cột R1…R8 (sheet Test Case); Status = round mới nhất. Chi tiết tiến độ theo round ở Report — mục IV.</t>
        </is>
      </c>
    </row>
    <row r="54" ht="15.75" customHeight="1" s="225"/>
    <row r="55" ht="15.75" customHeight="1" s="225"/>
    <row r="56" ht="40.5" customHeight="1" s="225">
      <c r="B56" s="261" t="inlineStr">
        <is>
          <t>MÔI TRƯỜNG &amp; PHẠM VI TEST</t>
        </is>
      </c>
      <c r="C56" s="233" t="n"/>
      <c r="D56" s="233" t="n"/>
      <c r="E56" s="233" t="n"/>
      <c r="F56" s="231" t="n"/>
    </row>
    <row r="57" ht="15.75" customHeight="1" s="225">
      <c r="B57" s="262" t="inlineStr">
        <is>
          <t>Environment</t>
        </is>
      </c>
      <c r="C57" s="263" t="inlineStr">
        <is>
          <t>Staging</t>
        </is>
      </c>
      <c r="D57" s="233" t="n"/>
      <c r="E57" s="233" t="n"/>
      <c r="F57" s="231" t="n"/>
    </row>
    <row r="58" ht="15.75" customHeight="1" s="225">
      <c r="B58" s="262" t="inlineStr">
        <is>
          <t>Platform</t>
        </is>
      </c>
      <c r="C58" s="263" t="inlineStr">
        <is>
          <t>Web / Android / iOS</t>
        </is>
      </c>
      <c r="D58" s="233" t="n"/>
      <c r="E58" s="233" t="n"/>
      <c r="F58" s="231" t="n"/>
    </row>
    <row r="59" ht="15.75" customHeight="1" s="225">
      <c r="B59" s="262" t="inlineStr">
        <is>
          <t>Device</t>
        </is>
      </c>
      <c r="C59" s="263" t="inlineStr">
        <is>
          <t>VD: iPhone 14 (iOS 17), Galaxy S23 (Android 14)</t>
        </is>
      </c>
      <c r="D59" s="233" t="n"/>
      <c r="E59" s="233" t="n"/>
      <c r="F59" s="231" t="n"/>
    </row>
    <row r="60" ht="15.75" customHeight="1" s="225">
      <c r="B60" s="262" t="inlineStr">
        <is>
          <t>Accounts</t>
        </is>
      </c>
      <c r="C60" s="263" t="inlineStr">
        <is>
          <t>VD: user01, user02</t>
        </is>
      </c>
      <c r="D60" s="233" t="n"/>
      <c r="E60" s="233" t="n"/>
      <c r="F60" s="231" t="n"/>
    </row>
    <row r="61" ht="15.75" customHeight="1" s="225">
      <c r="B61" s="262" t="inlineStr">
        <is>
          <t>Functional Testing</t>
        </is>
      </c>
      <c r="C61" s="263" t="inlineStr">
        <is>
          <t>VD: 1. Function A / 2. Function B</t>
        </is>
      </c>
      <c r="D61" s="233" t="n"/>
      <c r="E61" s="233" t="n"/>
      <c r="F61" s="231" t="n"/>
    </row>
    <row r="62" ht="15.75" customHeight="1" s="225">
      <c r="B62" s="262" t="inlineStr">
        <is>
          <t>System Integration Testing (nếu có)</t>
        </is>
      </c>
      <c r="C62" s="263" t="inlineStr">
        <is>
          <t>VD: Tool A, Tool B</t>
        </is>
      </c>
      <c r="D62" s="233" t="n"/>
      <c r="E62" s="233" t="n"/>
      <c r="F62" s="231" t="n"/>
    </row>
    <row r="63" ht="15.75" customHeight="1" s="225"/>
    <row r="64" ht="15.75" customHeight="1" s="225">
      <c r="B64" s="289" t="inlineStr">
        <is>
          <t>►  QUẢN LÝ DANH SÁCH SHEET TEST CASE: xem sheet "Dashboard".
     Thêm/bớt function chỉ cần thêm/xoá 1 dòng (tên tab sheet) ở Dashboard — mọi chỉ số tự cập nhật.</t>
        </is>
      </c>
      <c r="C64" s="290" t="n"/>
      <c r="D64" s="290" t="n"/>
      <c r="E64" s="290" t="n"/>
      <c r="F64" s="291" t="n"/>
    </row>
    <row r="65" ht="45.75" customHeight="1" s="225">
      <c r="B65" s="292" t="n"/>
      <c r="C65" s="293" t="n"/>
      <c r="D65" s="293" t="n"/>
      <c r="E65" s="293" t="n"/>
      <c r="F65" s="294" t="n"/>
    </row>
    <row r="66" ht="15.75" customHeight="1" s="225">
      <c r="B66" s="295" t="n"/>
      <c r="C66" s="296" t="n"/>
      <c r="D66" s="297" t="n"/>
      <c r="E66" s="297" t="n"/>
      <c r="F66" s="298" t="n"/>
    </row>
    <row r="67" ht="15.75" customHeight="1" s="225">
      <c r="B67" s="295" t="n"/>
      <c r="C67" s="296" t="n"/>
      <c r="D67" s="249" t="n"/>
      <c r="E67" s="249" t="n"/>
      <c r="F67" s="298" t="n"/>
    </row>
    <row r="68" ht="15.75" customHeight="1" s="225">
      <c r="B68" s="295" t="n"/>
      <c r="C68" s="296" t="n"/>
      <c r="D68" s="249" t="n"/>
      <c r="E68" s="249" t="n"/>
      <c r="F68" s="298" t="n"/>
    </row>
    <row r="69" ht="15.75" customHeight="1" s="225">
      <c r="B69" s="295" t="n"/>
      <c r="C69" s="296" t="n"/>
      <c r="D69" s="249" t="n"/>
      <c r="E69" s="249" t="n"/>
      <c r="F69" s="298" t="n"/>
    </row>
    <row r="70" ht="15.75" customHeight="1" s="225">
      <c r="B70" s="295" t="n"/>
      <c r="C70" s="296" t="n"/>
      <c r="D70" s="249" t="n"/>
      <c r="E70" s="249" t="n"/>
      <c r="F70" s="298" t="n"/>
    </row>
    <row r="71" ht="15.75" customHeight="1" s="225">
      <c r="B71" s="295" t="n"/>
      <c r="C71" s="296" t="n"/>
      <c r="D71" s="249" t="n"/>
      <c r="E71" s="249" t="n"/>
      <c r="F71" s="298" t="n"/>
    </row>
    <row r="72" ht="15.75" customHeight="1" s="225">
      <c r="B72" s="295" t="n"/>
      <c r="C72" s="296" t="n"/>
      <c r="D72" s="249" t="n"/>
      <c r="E72" s="249" t="n"/>
      <c r="F72" s="298" t="n"/>
    </row>
    <row r="73" ht="15.75" customHeight="1" s="225">
      <c r="B73" s="298" t="n"/>
      <c r="F73" s="298" t="n"/>
    </row>
    <row r="74" ht="15.75" customHeight="1" s="225">
      <c r="B74" s="299" t="n"/>
      <c r="F74" s="300" t="n"/>
    </row>
    <row r="75" ht="15.75" customHeight="1" s="225"/>
    <row r="76" ht="15.75" customHeight="1" s="225"/>
    <row r="77" ht="15.75" customHeight="1" s="225"/>
    <row r="78" ht="15.75" customHeight="1" s="225"/>
    <row r="79" ht="15.75" customHeight="1" s="225"/>
    <row r="80" ht="15.75" customHeight="1" s="225"/>
    <row r="81" ht="15.75" customHeight="1" s="225"/>
    <row r="82" ht="15.75" customHeight="1" s="225"/>
    <row r="83" ht="15.75" customHeight="1" s="225"/>
    <row r="84" ht="15.75" customHeight="1" s="225"/>
    <row r="85" ht="15.75" customHeight="1" s="225"/>
    <row r="86" ht="15.75" customHeight="1" s="225"/>
    <row r="87" ht="15.75" customHeight="1" s="225"/>
    <row r="88" ht="15.75" customHeight="1" s="225"/>
    <row r="89" ht="15.75" customHeight="1" s="225"/>
    <row r="90" ht="15.75" customHeight="1" s="225"/>
    <row r="91" ht="15.75" customHeight="1" s="225"/>
    <row r="92" ht="15.75" customHeight="1" s="225"/>
    <row r="93" ht="15.75" customHeight="1" s="225"/>
    <row r="94" ht="15.75" customHeight="1" s="225"/>
    <row r="95" ht="15.75" customHeight="1" s="225"/>
    <row r="96" ht="15.75" customHeight="1" s="225"/>
    <row r="97" ht="15.75" customHeight="1" s="225"/>
    <row r="98" ht="15.75" customHeight="1" s="225"/>
    <row r="99" ht="15.75" customHeight="1" s="225"/>
    <row r="100" ht="15.75" customHeight="1" s="225"/>
    <row r="101" ht="15.75" customHeight="1" s="225"/>
    <row r="102" ht="15.75" customHeight="1" s="225"/>
    <row r="103" ht="15.75" customHeight="1" s="225"/>
    <row r="104" ht="15.75" customHeight="1" s="225"/>
    <row r="105" ht="15.75" customHeight="1" s="225"/>
    <row r="106" ht="15.75" customHeight="1" s="225"/>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row r="115" ht="15.75" customHeight="1" s="225"/>
    <row r="116" ht="15.75" customHeight="1" s="225"/>
    <row r="117" ht="15.75" customHeight="1" s="225"/>
    <row r="118" ht="15.75" customHeight="1" s="225"/>
    <row r="119" ht="15.75" customHeight="1" s="225"/>
    <row r="120" ht="15.75" customHeight="1" s="225"/>
    <row r="121" ht="15.75" customHeight="1" s="225"/>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row r="133" ht="15.75" customHeight="1" s="225"/>
    <row r="134" ht="15.75" customHeight="1" s="225"/>
    <row r="135" ht="15.75" customHeight="1" s="225"/>
    <row r="136" ht="15.75" customHeight="1" s="225"/>
    <row r="137" ht="15.75" customHeight="1" s="225"/>
    <row r="138" ht="15.75" customHeight="1" s="225"/>
    <row r="139" ht="15.75" customHeight="1" s="225"/>
    <row r="140" ht="15.75" customHeight="1" s="225"/>
    <row r="141" ht="15.75" customHeight="1" s="225"/>
    <row r="142" ht="15.75" customHeight="1" s="225"/>
    <row r="143" ht="15.75" customHeight="1" s="225"/>
    <row r="144" ht="15.75" customHeight="1" s="225"/>
    <row r="145" ht="15.75" customHeight="1" s="225"/>
    <row r="146" ht="15.75" customHeight="1" s="225"/>
    <row r="147" ht="15.75" customHeight="1" s="225"/>
    <row r="148" ht="15.75" customHeight="1" s="225"/>
    <row r="149" ht="15.75" customHeight="1" s="225"/>
    <row r="150" ht="15.75" customHeight="1" s="225"/>
    <row r="151" ht="15.75" customHeight="1" s="225"/>
    <row r="152" ht="15.75" customHeight="1" s="225"/>
    <row r="153" ht="15.75" customHeight="1" s="225"/>
    <row r="154" ht="15.75" customHeight="1" s="225"/>
    <row r="155" ht="15.75" customHeight="1" s="225"/>
    <row r="156" ht="15.75" customHeight="1" s="225"/>
    <row r="157" ht="15.75" customHeight="1" s="225"/>
    <row r="158" ht="15.75" customHeight="1" s="225"/>
    <row r="159" ht="15.75" customHeight="1" s="225"/>
    <row r="160" ht="15.75" customHeight="1" s="225"/>
    <row r="161" ht="15.75" customHeight="1" s="225"/>
    <row r="162" ht="15.75" customHeight="1" s="225"/>
    <row r="163" ht="15.75" customHeight="1" s="225"/>
    <row r="164" ht="15.75" customHeight="1" s="225"/>
    <row r="165" ht="15.75" customHeight="1" s="225"/>
    <row r="166" ht="15.75" customHeight="1" s="225"/>
    <row r="167" ht="15.75" customHeight="1" s="225"/>
    <row r="168" ht="15.75" customHeight="1" s="225"/>
    <row r="169" ht="15.75" customHeight="1" s="225"/>
    <row r="170" ht="15.75" customHeight="1" s="225"/>
    <row r="171" ht="15.75" customHeight="1" s="225"/>
    <row r="172" ht="15.75" customHeight="1" s="225"/>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row r="181" ht="15.75" customHeight="1" s="225"/>
    <row r="182" ht="15.75" customHeight="1" s="225"/>
    <row r="183" ht="15.75" customHeight="1" s="225"/>
    <row r="184" ht="15.75" customHeight="1" s="225"/>
    <row r="185" ht="15.75" customHeight="1" s="225"/>
    <row r="186" ht="15.75" customHeight="1" s="225"/>
    <row r="187" ht="15.75" customHeight="1" s="225"/>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row r="197" ht="15.75" customHeight="1" s="225"/>
    <row r="198" ht="15.75" customHeight="1" s="225"/>
    <row r="199" ht="15.75" customHeight="1" s="225"/>
    <row r="200" ht="15.75" customHeight="1" s="225"/>
    <row r="201" ht="15.75" customHeight="1" s="225"/>
    <row r="202" ht="15.75" customHeight="1" s="225"/>
    <row r="203" ht="15.75" customHeight="1" s="225"/>
    <row r="204" ht="15.75" customHeight="1" s="225"/>
    <row r="205" ht="15.75" customHeight="1" s="225"/>
    <row r="206" ht="15.75" customHeight="1" s="225"/>
    <row r="207" ht="15.75" customHeight="1" s="225"/>
    <row r="208" ht="15.75" customHeight="1" s="225"/>
    <row r="209" ht="15.75" customHeight="1" s="225"/>
    <row r="210" ht="15.75" customHeight="1" s="225"/>
    <row r="211" ht="15.75" customHeight="1" s="225"/>
    <row r="212" ht="15.75" customHeight="1" s="225"/>
    <row r="213" ht="15.75" customHeight="1" s="225"/>
    <row r="214" ht="15.75" customHeight="1" s="225"/>
    <row r="215" ht="15.75" customHeight="1" s="225"/>
    <row r="216" ht="15.75" customHeight="1" s="225"/>
    <row r="217" ht="15.75" customHeight="1" s="225"/>
    <row r="218" ht="15.75" customHeight="1" s="225"/>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30">
    <mergeCell ref="C61:F61"/>
    <mergeCell ref="B16:F16"/>
    <mergeCell ref="C9:E9"/>
    <mergeCell ref="D46:E46"/>
    <mergeCell ref="B5:E5"/>
    <mergeCell ref="B51:E51"/>
    <mergeCell ref="C57:F57"/>
    <mergeCell ref="C12:E12"/>
    <mergeCell ref="B56:F56"/>
    <mergeCell ref="D45:E45"/>
    <mergeCell ref="C11:E11"/>
    <mergeCell ref="D49:E49"/>
    <mergeCell ref="B64:F65"/>
    <mergeCell ref="C8:E8"/>
    <mergeCell ref="C62:F62"/>
    <mergeCell ref="C7:E7"/>
    <mergeCell ref="D48:E48"/>
    <mergeCell ref="C58:F58"/>
    <mergeCell ref="D47:E47"/>
    <mergeCell ref="C13:E13"/>
    <mergeCell ref="D43:E43"/>
    <mergeCell ref="B42:E42"/>
    <mergeCell ref="I17:J17"/>
    <mergeCell ref="B14:E14"/>
    <mergeCell ref="C6:E6"/>
    <mergeCell ref="B53:E53"/>
    <mergeCell ref="C59:F59"/>
    <mergeCell ref="C60:F60"/>
    <mergeCell ref="D44:E44"/>
    <mergeCell ref="C10:E10"/>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5.xml><?xml version="1.0" encoding="utf-8"?>
<worksheet xmlns="http://schemas.openxmlformats.org/spreadsheetml/2006/main">
  <sheetPr filterMode="0">
    <outlinePr summaryBelow="1" summaryRight="1"/>
    <pageSetUpPr fitToPage="1"/>
  </sheetPr>
  <dimension ref="A1:BC41"/>
  <sheetViews>
    <sheetView showFormulas="0" showGridLines="0" showRowColHeaders="1" showZeros="1" rightToLeft="0" tabSelected="0" showOutlineSymbols="1" defaultGridColor="1" view="normal" topLeftCell="A1" colorId="64" zoomScale="100" zoomScaleNormal="100" zoomScalePageLayoutView="100" workbookViewId="0">
      <pane xSplit="5" ySplit="3" topLeftCell="F4" activePane="bottomRight" state="frozen"/>
      <selection pane="topLeft" activeCell="A1" activeCellId="0" sqref="A1"/>
      <selection pane="topRight" activeCell="F1" activeCellId="0" sqref="F1"/>
      <selection pane="bottomLeft" activeCell="A4" activeCellId="0" sqref="A4"/>
      <selection pane="bottomRight" activeCell="F4" activeCellId="0" sqref="F4"/>
    </sheetView>
  </sheetViews>
  <sheetFormatPr baseColWidth="8" defaultColWidth="14.43359375" defaultRowHeight="15" customHeight="1" zeroHeight="0" outlineLevelRow="0"/>
  <cols>
    <col width="2" customWidth="1" style="224" min="1" max="1"/>
    <col width="5" customWidth="1" style="224" min="2" max="2"/>
    <col width="8" customWidth="1" style="224" min="3" max="3"/>
    <col width="16" customWidth="1" style="224" min="4" max="4"/>
    <col width="20" customWidth="1" style="224" min="5" max="5"/>
    <col width="7" customWidth="1" style="224" min="6" max="6"/>
    <col width="6" customWidth="1" style="224" min="7" max="10"/>
    <col width="8" customWidth="1" style="224" min="11" max="11"/>
    <col width="9.57" customWidth="1" style="224" min="12" max="12"/>
    <col width="9" customWidth="1" style="224" min="13" max="13"/>
    <col width="8" customWidth="1" style="224" min="14" max="17"/>
    <col width="12.57" customWidth="1" style="224" min="18" max="18"/>
    <col width="8" customWidth="1" style="224" min="19" max="19"/>
    <col width="13.29" customWidth="1" style="224" min="20" max="20"/>
    <col width="11.85" customWidth="1" style="224" min="21" max="21"/>
    <col width="8" customWidth="1" style="224" min="22" max="26"/>
    <col width="10" customWidth="1" style="224" min="27" max="27"/>
    <col width="9" customWidth="1" style="224" min="28" max="30"/>
  </cols>
  <sheetData>
    <row r="1" ht="38.25" customHeight="1" s="225">
      <c r="A1" s="301" t="n"/>
      <c r="B1" s="302" t="inlineStr">
        <is>
          <t>BẢNG ĐIỀU KHIỂN — QUẢN LÝ &amp; GOM SỐ LIỆU TẤT CẢ SHEET TEST CASE</t>
        </is>
      </c>
    </row>
    <row r="2" ht="15" customHeight="1" s="225">
      <c r="B2" s="303" t="n"/>
      <c r="C2" s="304" t="inlineStr">
        <is>
          <t>QUẢN LÝ SHEET  (nhập tay 3 cột)</t>
        </is>
      </c>
      <c r="D2" s="233" t="n"/>
      <c r="E2" s="233" t="n"/>
      <c r="F2" s="305" t="inlineStr">
        <is>
          <t>Execution</t>
        </is>
      </c>
      <c r="G2" s="233" t="n"/>
      <c r="H2" s="233" t="n"/>
      <c r="I2" s="233" t="n"/>
      <c r="J2" s="233" t="n"/>
      <c r="K2" s="233" t="n"/>
      <c r="L2" s="233" t="n"/>
      <c r="M2" s="233" t="n"/>
      <c r="N2" s="233" t="n"/>
      <c r="O2" s="306" t="inlineStr">
        <is>
          <t>PRIORITY</t>
        </is>
      </c>
      <c r="P2" s="233" t="n"/>
      <c r="Q2" s="233" t="n"/>
      <c r="R2" s="307" t="inlineStr">
        <is>
          <t>GROUP TC</t>
        </is>
      </c>
      <c r="S2" s="233" t="n"/>
      <c r="T2" s="233" t="n"/>
      <c r="U2" s="233" t="n"/>
      <c r="V2" s="308" t="inlineStr">
        <is>
          <t>SDLC</t>
        </is>
      </c>
      <c r="W2" s="233" t="n"/>
      <c r="X2" s="233" t="n"/>
      <c r="Y2" s="233" t="n"/>
      <c r="Z2" s="233" t="n"/>
      <c r="AA2" s="233" t="n"/>
      <c r="AB2" s="309" t="inlineStr">
        <is>
          <t>PRIORITY — ĐÃ CHẠY</t>
        </is>
      </c>
      <c r="AC2" s="233" t="n"/>
      <c r="AD2" s="231" t="n"/>
      <c r="AE2" s="310" t="inlineStr">
        <is>
          <t>TIẾN ĐỘ THEO ROUND (mỗi round chạy lại toàn bộ TC)</t>
        </is>
      </c>
    </row>
    <row r="3" ht="33.75" customHeight="1" s="225">
      <c r="B3" s="311" t="inlineStr">
        <is>
          <t>STT</t>
        </is>
      </c>
      <c r="C3" s="311" t="inlineStr">
        <is>
          <t>Mã CN</t>
        </is>
      </c>
      <c r="D3" s="311" t="inlineStr">
        <is>
          <t>Tên tab sheet
(đúng 100%)</t>
        </is>
      </c>
      <c r="E3" s="311" t="inlineStr">
        <is>
          <t>Function / Màn hình</t>
        </is>
      </c>
      <c r="F3" s="312" t="inlineStr">
        <is>
          <t>Tổng TC</t>
        </is>
      </c>
      <c r="G3" s="312" t="inlineStr">
        <is>
          <t>Pass</t>
        </is>
      </c>
      <c r="H3" s="312" t="inlineStr">
        <is>
          <t>Fail</t>
        </is>
      </c>
      <c r="I3" s="312" t="inlineStr">
        <is>
          <t>Block</t>
        </is>
      </c>
      <c r="J3" s="312" t="inlineStr">
        <is>
          <t>N/A</t>
        </is>
      </c>
      <c r="K3" s="312" t="inlineStr">
        <is>
          <t>Chưa chạy</t>
        </is>
      </c>
      <c r="L3" s="312" t="inlineStr">
        <is>
          <t>Executed</t>
        </is>
      </c>
      <c r="M3" s="312" t="inlineStr">
        <is>
          <t>Coverage %</t>
        </is>
      </c>
      <c r="N3" s="312" t="inlineStr">
        <is>
          <t>Pass %</t>
        </is>
      </c>
      <c r="O3" s="313" t="inlineStr">
        <is>
          <t>High</t>
        </is>
      </c>
      <c r="P3" s="313" t="inlineStr">
        <is>
          <t>Medium</t>
        </is>
      </c>
      <c r="Q3" s="313" t="inlineStr">
        <is>
          <t>Low</t>
        </is>
      </c>
      <c r="R3" s="314" t="inlineStr">
        <is>
          <t>Functional</t>
        </is>
      </c>
      <c r="S3" s="314" t="inlineStr">
        <is>
          <t>UI</t>
        </is>
      </c>
      <c r="T3" s="314" t="inlineStr">
        <is>
          <t>Integration</t>
        </is>
      </c>
      <c r="U3" s="314" t="inlineStr">
        <is>
          <t>Database</t>
        </is>
      </c>
      <c r="V3" s="315" t="inlineStr">
        <is>
          <t>AI-gen</t>
        </is>
      </c>
      <c r="W3" s="315" t="inlineStr">
        <is>
          <t>QC viết</t>
        </is>
      </c>
      <c r="X3" s="315" t="inlineStr">
        <is>
          <t>Auto</t>
        </is>
      </c>
      <c r="Y3" s="315" t="inlineStr">
        <is>
          <t>Vibe</t>
        </is>
      </c>
      <c r="Z3" s="315" t="inlineStr">
        <is>
          <t>Script Pass</t>
        </is>
      </c>
      <c r="AA3" s="315" t="inlineStr">
        <is>
          <t>Reviewed</t>
        </is>
      </c>
      <c r="AB3" s="309" t="inlineStr">
        <is>
          <t>High
đã chạy</t>
        </is>
      </c>
      <c r="AC3" s="309" t="inlineStr">
        <is>
          <t>Medium
đã chạy</t>
        </is>
      </c>
      <c r="AD3" s="309" t="inlineStr">
        <is>
          <t>Low
đã chạy</t>
        </is>
      </c>
      <c r="AE3" s="316" t="inlineStr">
        <is>
          <t>R1 Executed</t>
        </is>
      </c>
      <c r="AF3" s="316" t="inlineStr">
        <is>
          <t>R1 Pass</t>
        </is>
      </c>
      <c r="AG3" s="316" t="inlineStr">
        <is>
          <t>R1 Fail</t>
        </is>
      </c>
      <c r="AH3" s="316" t="inlineStr">
        <is>
          <t>R1 Block</t>
        </is>
      </c>
      <c r="AI3" s="316" t="inlineStr">
        <is>
          <t>R1 N/A</t>
        </is>
      </c>
      <c r="AJ3" s="316" t="inlineStr">
        <is>
          <t>R2 Executed</t>
        </is>
      </c>
      <c r="AK3" s="316" t="inlineStr">
        <is>
          <t>R2 Pass</t>
        </is>
      </c>
      <c r="AL3" s="316" t="inlineStr">
        <is>
          <t>R2 Fail</t>
        </is>
      </c>
      <c r="AM3" s="316" t="inlineStr">
        <is>
          <t>R2 Block</t>
        </is>
      </c>
      <c r="AN3" s="316" t="inlineStr">
        <is>
          <t>R2 N/A</t>
        </is>
      </c>
      <c r="AO3" s="316" t="inlineStr">
        <is>
          <t>R3 Executed</t>
        </is>
      </c>
      <c r="AP3" s="316" t="inlineStr">
        <is>
          <t>R3 Pass</t>
        </is>
      </c>
      <c r="AQ3" s="316" t="inlineStr">
        <is>
          <t>R3 Fail</t>
        </is>
      </c>
      <c r="AR3" s="316" t="inlineStr">
        <is>
          <t>R3 Block</t>
        </is>
      </c>
      <c r="AS3" s="316" t="inlineStr">
        <is>
          <t>R3 N/A</t>
        </is>
      </c>
      <c r="AT3" s="316" t="inlineStr">
        <is>
          <t>R4 Executed</t>
        </is>
      </c>
      <c r="AU3" s="316" t="inlineStr">
        <is>
          <t>R4 Pass</t>
        </is>
      </c>
      <c r="AV3" s="316" t="inlineStr">
        <is>
          <t>R4 Fail</t>
        </is>
      </c>
      <c r="AW3" s="316" t="inlineStr">
        <is>
          <t>R4 Block</t>
        </is>
      </c>
      <c r="AX3" s="316" t="inlineStr">
        <is>
          <t>R4 N/A</t>
        </is>
      </c>
      <c r="AY3" s="316" t="inlineStr">
        <is>
          <t>R5 Executed</t>
        </is>
      </c>
      <c r="AZ3" s="316" t="inlineStr">
        <is>
          <t>R5 Pass</t>
        </is>
      </c>
      <c r="BA3" s="316" t="inlineStr">
        <is>
          <t>R5 Fail</t>
        </is>
      </c>
      <c r="BB3" s="316" t="inlineStr">
        <is>
          <t>R5 Block</t>
        </is>
      </c>
      <c r="BC3" s="316" t="inlineStr">
        <is>
          <t>R5 N/A</t>
        </is>
      </c>
    </row>
    <row r="4" ht="15" customHeight="1" s="225">
      <c r="B4" s="317">
        <f>IF($D4="","",ROW()-3)</f>
        <v/>
      </c>
      <c r="C4" s="318" t="inlineStr">
        <is>
          <t>TC_01</t>
        </is>
      </c>
      <c r="D4" s="318" t="inlineStr">
        <is>
          <t>Hoạt động</t>
        </is>
      </c>
      <c r="E4" s="319" t="inlineStr">
        <is>
          <t>Hoạt động (Đơn của tôi)</t>
        </is>
      </c>
      <c r="F4" s="317">
        <f>IF($D4="","",IFERROR(COUNTIF(INDIRECT("'"&amp;$D4&amp;"'!$C$7:$C$500"),"?*"),0))</f>
        <v/>
      </c>
      <c r="G4" s="317">
        <f>IF($D4="","",IFERROR(COUNTIF(INDIRECT("'"&amp;$D4&amp;"'!$AO$7:$AO$500"),"Pass"),0))</f>
        <v/>
      </c>
      <c r="H4" s="317">
        <f>IF($D4="","",IFERROR(COUNTIF(INDIRECT("'"&amp;$D4&amp;"'!$AO$7:$AO$500"),"Fail"),0))</f>
        <v/>
      </c>
      <c r="I4" s="317">
        <f>IF($D4="","",IFERROR(COUNTIF(INDIRECT("'"&amp;$D4&amp;"'!$AO$7:$AO$500"),"Block"),0))</f>
        <v/>
      </c>
      <c r="J4" s="317">
        <f>IF($D4="","",IFERROR(COUNTIF(INDIRECT("'"&amp;$D4&amp;"'!$AO$7:$AO$500"),"N/A"),0))</f>
        <v/>
      </c>
      <c r="K4" s="317">
        <f>IF($D4="","",MAX(0,$F4-$G4-$H4-$I4-$J4))</f>
        <v/>
      </c>
      <c r="L4" s="317">
        <f>IF($D4="","",$G4+$H4+$I4+$J4)</f>
        <v/>
      </c>
      <c r="M4" s="320">
        <f>IF($D4="","",IFERROR($L4/$F4,0))</f>
        <v/>
      </c>
      <c r="N4" s="320">
        <f>IF($D4="","",IFERROR($G4/$L4,0))</f>
        <v/>
      </c>
      <c r="O4" s="317">
        <f>IF($D4="","",IFERROR(COUNTIF(INDIRECT("'"&amp;$D4&amp;"'!$E$7:$E$500"),"High"),0))</f>
        <v/>
      </c>
      <c r="P4" s="317">
        <f>IF($D4="","",IFERROR(COUNTIF(INDIRECT("'"&amp;$D4&amp;"'!$E$7:$E$500"),"Medium"),0))</f>
        <v/>
      </c>
      <c r="Q4" s="317">
        <f>IF($D4="","",IFERROR(COUNTIF(INDIRECT("'"&amp;$D4&amp;"'!$E$7:$E$500"),"Low"),0))</f>
        <v/>
      </c>
      <c r="R4" s="317">
        <f>IF($D4="","",IFERROR(COUNTIF(INDIRECT("'"&amp;$D4&amp;"'!$D$7:$D$500"),"Functional"),0))</f>
        <v/>
      </c>
      <c r="S4" s="317">
        <f>IF($D4="","",IFERROR(COUNTIF(INDIRECT("'"&amp;$D4&amp;"'!$D$7:$D$500"),"UI"),0))</f>
        <v/>
      </c>
      <c r="T4" s="317">
        <f>IF($D4="","",IFERROR(COUNTIF(INDIRECT("'"&amp;$D4&amp;"'!$D$7:$D$500"),"Integration"),0))</f>
        <v/>
      </c>
      <c r="U4" s="317">
        <f>IF($D4="","",IFERROR(COUNTIF(INDIRECT("'"&amp;$D4&amp;"'!$D$7:$D$500"),"Database Test Case"),0))</f>
        <v/>
      </c>
      <c r="V4" s="317">
        <f>IF($D4="","",IFERROR(COUNTIF(INDIRECT("'"&amp;$D4&amp;"'!$J$7:$J$500"),"AI"),0))</f>
        <v/>
      </c>
      <c r="W4" s="317">
        <f>IF($D4="","",IFERROR(COUNTIF(INDIRECT("'"&amp;$D4&amp;"'!$J$7:$J$500"),"QC"),0))</f>
        <v/>
      </c>
      <c r="X4" s="317">
        <f>IF($D4="","",IFERROR(COUNTIF(INDIRECT("'"&amp;$D4&amp;"'!$L$7:$L$500"),"Yes"),0))</f>
        <v/>
      </c>
      <c r="Y4" s="317">
        <f>IF($D4="","",IFERROR(COUNTIF(INDIRECT("'"&amp;$D4&amp;"'!$AM$7:$AM$500"),"Yes"),0))</f>
        <v/>
      </c>
      <c r="Z4" s="317">
        <f>IF($D4="","",IFERROR(COUNTIF(INDIRECT("'"&amp;$D4&amp;"'!$AN$7:$AN$500"),"Pass"),0))</f>
        <v/>
      </c>
      <c r="AA4" s="317">
        <f>IF($D4="","",IFERROR(COUNTIF(INDIRECT("'"&amp;$D4&amp;"'!$K$7:$K$500"),"Reviewed"),0))</f>
        <v/>
      </c>
      <c r="AB4" s="321">
        <f>IF($D4="","",IFERROR(SUMPRODUCT((INDIRECT("'"&amp;$D4&amp;"'!$E$7:$E$500")="High")*(INDIRECT("'"&amp;$D4&amp;"'!$AO$7:$AO$500")&lt;&gt;"")),0))</f>
        <v/>
      </c>
      <c r="AC4" s="321">
        <f>IF($D4="","",IFERROR(SUMPRODUCT((INDIRECT("'"&amp;$D4&amp;"'!$E$7:$E$500")="Medium")*(INDIRECT("'"&amp;$D4&amp;"'!$AO$7:$AO$500")&lt;&gt;"")),0))</f>
        <v/>
      </c>
      <c r="AD4" s="321">
        <f>IF($D4="","",IFERROR(SUMPRODUCT((INDIRECT("'"&amp;$D4&amp;"'!$E$7:$E$500")="Low")*(INDIRECT("'"&amp;$D4&amp;"'!$AO$7:$AO$500")&lt;&gt;"")),0))</f>
        <v/>
      </c>
      <c r="AE4" s="322">
        <f>IF($D4="","",IFERROR(COUNTIF(INDIRECT("'"&amp;$D4&amp;"'!$P$7:$P$500"),"&lt;&gt;"),0))</f>
        <v/>
      </c>
      <c r="AF4" s="322">
        <f>IF($D4="","",IFERROR(COUNTIF(INDIRECT("'"&amp;$D4&amp;"'!$P$7:$P$500"),"Pass"),0))</f>
        <v/>
      </c>
      <c r="AG4" s="322">
        <f>IF($D4="","",IFERROR(COUNTIF(INDIRECT("'"&amp;$D4&amp;"'!$P$7:$P$500"),"Fail"),0))</f>
        <v/>
      </c>
      <c r="AH4" s="322">
        <f>IF($D4="","",IFERROR(COUNTIF(INDIRECT("'"&amp;$D4&amp;"'!$P$7:$P$500"),"Block"),0))</f>
        <v/>
      </c>
      <c r="AI4" s="322">
        <f>IF($D4="","",IFERROR(COUNTIF(INDIRECT("'"&amp;$D4&amp;"'!$P$7:$P$500"),"N/A"),0))</f>
        <v/>
      </c>
      <c r="AJ4" s="322">
        <f>IF($D4="","",IFERROR(COUNTIF(INDIRECT("'"&amp;$D4&amp;"'!$U$7:$U$500"),"&lt;&gt;"),0))</f>
        <v/>
      </c>
      <c r="AK4" s="322">
        <f>IF($D4="","",IFERROR(COUNTIF(INDIRECT("'"&amp;$D4&amp;"'!$U$7:$U$500"),"Pass"),0))</f>
        <v/>
      </c>
      <c r="AL4" s="322">
        <f>IF($D4="","",IFERROR(COUNTIF(INDIRECT("'"&amp;$D4&amp;"'!$U$7:$U$500"),"Fail"),0))</f>
        <v/>
      </c>
      <c r="AM4" s="322">
        <f>IF($D4="","",IFERROR(COUNTIF(INDIRECT("'"&amp;$D4&amp;"'!$U$7:$U$500"),"Block"),0))</f>
        <v/>
      </c>
      <c r="AN4" s="322">
        <f>IF($D4="","",IFERROR(COUNTIF(INDIRECT("'"&amp;$D4&amp;"'!$U$7:$U$500"),"N/A"),0))</f>
        <v/>
      </c>
      <c r="AO4" s="322">
        <f>IF($D4="","",IFERROR(COUNTIF(INDIRECT("'"&amp;$D4&amp;"'!$Z$7:$Z$500"),"&lt;&gt;"),0))</f>
        <v/>
      </c>
      <c r="AP4" s="322">
        <f>IF($D4="","",IFERROR(COUNTIF(INDIRECT("'"&amp;$D4&amp;"'!$Z$7:$Z$500"),"Pass"),0))</f>
        <v/>
      </c>
      <c r="AQ4" s="322">
        <f>IF($D4="","",IFERROR(COUNTIF(INDIRECT("'"&amp;$D4&amp;"'!$Z$7:$Z$500"),"Fail"),0))</f>
        <v/>
      </c>
      <c r="AR4" s="322">
        <f>IF($D4="","",IFERROR(COUNTIF(INDIRECT("'"&amp;$D4&amp;"'!$Z$7:$Z$500"),"Block"),0))</f>
        <v/>
      </c>
      <c r="AS4" s="322">
        <f>IF($D4="","",IFERROR(COUNTIF(INDIRECT("'"&amp;$D4&amp;"'!$Z$7:$Z$500"),"N/A"),0))</f>
        <v/>
      </c>
      <c r="AT4" s="322">
        <f>IF($D4="","",IFERROR(COUNTIF(INDIRECT("'"&amp;$D4&amp;"'!$AE$7:$AE$500"),"&lt;&gt;"),0))</f>
        <v/>
      </c>
      <c r="AU4" s="322">
        <f>IF($D4="","",IFERROR(COUNTIF(INDIRECT("'"&amp;$D4&amp;"'!$AE$7:$AE$500"),"Pass"),0))</f>
        <v/>
      </c>
      <c r="AV4" s="322">
        <f>IF($D4="","",IFERROR(COUNTIF(INDIRECT("'"&amp;$D4&amp;"'!$AE$7:$AE$500"),"Fail"),0))</f>
        <v/>
      </c>
      <c r="AW4" s="322">
        <f>IF($D4="","",IFERROR(COUNTIF(INDIRECT("'"&amp;$D4&amp;"'!$AE$7:$AE$500"),"Block"),0))</f>
        <v/>
      </c>
      <c r="AX4" s="322">
        <f>IF($D4="","",IFERROR(COUNTIF(INDIRECT("'"&amp;$D4&amp;"'!$AE$7:$AE$500"),"N/A"),0))</f>
        <v/>
      </c>
      <c r="AY4" s="322">
        <f>IF($D4="","",IFERROR(COUNTIF(INDIRECT("'"&amp;$D4&amp;"'!$AJ$7:$AJ$500"),"&lt;&gt;"),0))</f>
        <v/>
      </c>
      <c r="AZ4" s="322">
        <f>IF($D4="","",IFERROR(COUNTIF(INDIRECT("'"&amp;$D4&amp;"'!$AJ$7:$AJ$500"),"Pass"),0))</f>
        <v/>
      </c>
      <c r="BA4" s="322">
        <f>IF($D4="","",IFERROR(COUNTIF(INDIRECT("'"&amp;$D4&amp;"'!$AJ$7:$AJ$500"),"Fail"),0))</f>
        <v/>
      </c>
      <c r="BB4" s="322">
        <f>IF($D4="","",IFERROR(COUNTIF(INDIRECT("'"&amp;$D4&amp;"'!$AJ$7:$AJ$500"),"Block"),0))</f>
        <v/>
      </c>
      <c r="BC4" s="224">
        <f>IF($D4="","",IFERROR(COUNTIF(INDIRECT("'"&amp;$D4&amp;"'!$AJ$7:$AJ$500"),"N/A"),0))</f>
        <v/>
      </c>
    </row>
    <row r="5" ht="15" customHeight="1" s="225">
      <c r="B5" s="317">
        <f>IF($D5="","",ROW()-3)</f>
        <v/>
      </c>
      <c r="C5" s="318" t="inlineStr">
        <is>
          <t>TC_02</t>
        </is>
      </c>
      <c r="D5" s="318" t="inlineStr">
        <is>
          <t>Cá nhân</t>
        </is>
      </c>
      <c r="E5" s="319" t="inlineStr">
        <is>
          <t>Cá nhân</t>
        </is>
      </c>
      <c r="F5" s="317">
        <f>IF($D5="","",IFERROR(COUNTIF(INDIRECT("'"&amp;$D5&amp;"'!$C$7:$C$500"),"?*"),0))</f>
        <v/>
      </c>
      <c r="G5" s="317">
        <f>IF($D5="","",IFERROR(COUNTIF(INDIRECT("'"&amp;$D5&amp;"'!$AO$7:$AO$500"),"Pass"),0))</f>
        <v/>
      </c>
      <c r="H5" s="317">
        <f>IF($D5="","",IFERROR(COUNTIF(INDIRECT("'"&amp;$D5&amp;"'!$AO$7:$AO$500"),"Fail"),0))</f>
        <v/>
      </c>
      <c r="I5" s="317">
        <f>IF($D5="","",IFERROR(COUNTIF(INDIRECT("'"&amp;$D5&amp;"'!$AO$7:$AO$500"),"Block"),0))</f>
        <v/>
      </c>
      <c r="J5" s="317">
        <f>IF($D5="","",IFERROR(COUNTIF(INDIRECT("'"&amp;$D5&amp;"'!$AO$7:$AO$500"),"N/A"),0))</f>
        <v/>
      </c>
      <c r="K5" s="317">
        <f>IF($D5="","",MAX(0,$F5-$G5-$H5-$I5-$J5))</f>
        <v/>
      </c>
      <c r="L5" s="317">
        <f>IF($D5="","",$G5+$H5+$I5+$J5)</f>
        <v/>
      </c>
      <c r="M5" s="320">
        <f>IF($D5="","",IFERROR($L5/$F5,0))</f>
        <v/>
      </c>
      <c r="N5" s="320">
        <f>IF($D5="","",IFERROR($G5/$L5,0))</f>
        <v/>
      </c>
      <c r="O5" s="317">
        <f>IF($D5="","",IFERROR(COUNTIF(INDIRECT("'"&amp;$D5&amp;"'!$E$7:$E$500"),"High"),0))</f>
        <v/>
      </c>
      <c r="P5" s="317">
        <f>IF($D5="","",IFERROR(COUNTIF(INDIRECT("'"&amp;$D5&amp;"'!$E$7:$E$500"),"Medium"),0))</f>
        <v/>
      </c>
      <c r="Q5" s="317">
        <f>IF($D5="","",IFERROR(COUNTIF(INDIRECT("'"&amp;$D5&amp;"'!$E$7:$E$500"),"Low"),0))</f>
        <v/>
      </c>
      <c r="R5" s="317">
        <f>IF($D5="","",IFERROR(COUNTIF(INDIRECT("'"&amp;$D5&amp;"'!$D$7:$D$500"),"Functional"),0))</f>
        <v/>
      </c>
      <c r="S5" s="317">
        <f>IF($D5="","",IFERROR(COUNTIF(INDIRECT("'"&amp;$D5&amp;"'!$D$7:$D$500"),"UI"),0))</f>
        <v/>
      </c>
      <c r="T5" s="317">
        <f>IF($D5="","",IFERROR(COUNTIF(INDIRECT("'"&amp;$D5&amp;"'!$D$7:$D$500"),"Integration"),0))</f>
        <v/>
      </c>
      <c r="U5" s="317">
        <f>IF($D5="","",IFERROR(COUNTIF(INDIRECT("'"&amp;$D5&amp;"'!$D$7:$D$500"),"Database Test Case"),0))</f>
        <v/>
      </c>
      <c r="V5" s="317">
        <f>IF($D5="","",IFERROR(COUNTIF(INDIRECT("'"&amp;$D5&amp;"'!$J$7:$J$500"),"AI"),0))</f>
        <v/>
      </c>
      <c r="W5" s="317">
        <f>IF($D5="","",IFERROR(COUNTIF(INDIRECT("'"&amp;$D5&amp;"'!$J$7:$J$500"),"QC"),0))</f>
        <v/>
      </c>
      <c r="X5" s="317">
        <f>IF($D5="","",IFERROR(COUNTIF(INDIRECT("'"&amp;$D5&amp;"'!$L$7:$L$500"),"Yes"),0))</f>
        <v/>
      </c>
      <c r="Y5" s="317">
        <f>IF($D5="","",IFERROR(COUNTIF(INDIRECT("'"&amp;$D5&amp;"'!$AM$7:$AM$500"),"Yes"),0))</f>
        <v/>
      </c>
      <c r="Z5" s="317">
        <f>IF($D5="","",IFERROR(COUNTIF(INDIRECT("'"&amp;$D5&amp;"'!$AN$7:$AN$500"),"Pass"),0))</f>
        <v/>
      </c>
      <c r="AA5" s="317">
        <f>IF($D5="","",IFERROR(COUNTIF(INDIRECT("'"&amp;$D5&amp;"'!$K$7:$K$500"),"Reviewed"),0))</f>
        <v/>
      </c>
      <c r="AB5" s="321">
        <f>IF($D5="","",IFERROR(SUMPRODUCT((INDIRECT("'"&amp;$D5&amp;"'!$E$7:$E$500")="High")*(INDIRECT("'"&amp;$D5&amp;"'!$AO$7:$AO$500")&lt;&gt;"")),0))</f>
        <v/>
      </c>
      <c r="AC5" s="321">
        <f>IF($D5="","",IFERROR(SUMPRODUCT((INDIRECT("'"&amp;$D5&amp;"'!$E$7:$E$500")="Medium")*(INDIRECT("'"&amp;$D5&amp;"'!$AO$7:$AO$500")&lt;&gt;"")),0))</f>
        <v/>
      </c>
      <c r="AD5" s="321">
        <f>IF($D5="","",IFERROR(SUMPRODUCT((INDIRECT("'"&amp;$D5&amp;"'!$E$7:$E$500")="Low")*(INDIRECT("'"&amp;$D5&amp;"'!$AO$7:$AO$500")&lt;&gt;"")),0))</f>
        <v/>
      </c>
      <c r="AE5" s="322">
        <f>IF($D5="","",IFERROR(COUNTIF(INDIRECT("'"&amp;$D5&amp;"'!$P$7:$P$500"),"&lt;&gt;"),0))</f>
        <v/>
      </c>
      <c r="AF5" s="322">
        <f>IF($D5="","",IFERROR(COUNTIF(INDIRECT("'"&amp;$D5&amp;"'!$P$7:$P$500"),"Pass"),0))</f>
        <v/>
      </c>
      <c r="AG5" s="322">
        <f>IF($D5="","",IFERROR(COUNTIF(INDIRECT("'"&amp;$D5&amp;"'!$P$7:$P$500"),"Fail"),0))</f>
        <v/>
      </c>
      <c r="AH5" s="322">
        <f>IF($D5="","",IFERROR(COUNTIF(INDIRECT("'"&amp;$D5&amp;"'!$P$7:$P$500"),"Block"),0))</f>
        <v/>
      </c>
      <c r="AI5" s="322">
        <f>IF($D5="","",IFERROR(COUNTIF(INDIRECT("'"&amp;$D5&amp;"'!$P$7:$P$500"),"N/A"),0))</f>
        <v/>
      </c>
      <c r="AJ5" s="322">
        <f>IF($D5="","",IFERROR(COUNTIF(INDIRECT("'"&amp;$D5&amp;"'!$U$7:$U$500"),"&lt;&gt;"),0))</f>
        <v/>
      </c>
      <c r="AK5" s="322">
        <f>IF($D5="","",IFERROR(COUNTIF(INDIRECT("'"&amp;$D5&amp;"'!$U$7:$U$500"),"Pass"),0))</f>
        <v/>
      </c>
      <c r="AL5" s="322">
        <f>IF($D5="","",IFERROR(COUNTIF(INDIRECT("'"&amp;$D5&amp;"'!$U$7:$U$500"),"Fail"),0))</f>
        <v/>
      </c>
      <c r="AM5" s="322">
        <f>IF($D5="","",IFERROR(COUNTIF(INDIRECT("'"&amp;$D5&amp;"'!$U$7:$U$500"),"Block"),0))</f>
        <v/>
      </c>
      <c r="AN5" s="322">
        <f>IF($D5="","",IFERROR(COUNTIF(INDIRECT("'"&amp;$D5&amp;"'!$U$7:$U$500"),"N/A"),0))</f>
        <v/>
      </c>
      <c r="AO5" s="322">
        <f>IF($D5="","",IFERROR(COUNTIF(INDIRECT("'"&amp;$D5&amp;"'!$Z$7:$Z$500"),"&lt;&gt;"),0))</f>
        <v/>
      </c>
      <c r="AP5" s="322">
        <f>IF($D5="","",IFERROR(COUNTIF(INDIRECT("'"&amp;$D5&amp;"'!$Z$7:$Z$500"),"Pass"),0))</f>
        <v/>
      </c>
      <c r="AQ5" s="322">
        <f>IF($D5="","",IFERROR(COUNTIF(INDIRECT("'"&amp;$D5&amp;"'!$Z$7:$Z$500"),"Fail"),0))</f>
        <v/>
      </c>
      <c r="AR5" s="322">
        <f>IF($D5="","",IFERROR(COUNTIF(INDIRECT("'"&amp;$D5&amp;"'!$Z$7:$Z$500"),"Block"),0))</f>
        <v/>
      </c>
      <c r="AS5" s="322">
        <f>IF($D5="","",IFERROR(COUNTIF(INDIRECT("'"&amp;$D5&amp;"'!$Z$7:$Z$500"),"N/A"),0))</f>
        <v/>
      </c>
      <c r="AT5" s="322">
        <f>IF($D5="","",IFERROR(COUNTIF(INDIRECT("'"&amp;$D5&amp;"'!$AE$7:$AE$500"),"&lt;&gt;"),0))</f>
        <v/>
      </c>
      <c r="AU5" s="322">
        <f>IF($D5="","",IFERROR(COUNTIF(INDIRECT("'"&amp;$D5&amp;"'!$AE$7:$AE$500"),"Pass"),0))</f>
        <v/>
      </c>
      <c r="AV5" s="322">
        <f>IF($D5="","",IFERROR(COUNTIF(INDIRECT("'"&amp;$D5&amp;"'!$AE$7:$AE$500"),"Fail"),0))</f>
        <v/>
      </c>
      <c r="AW5" s="322">
        <f>IF($D5="","",IFERROR(COUNTIF(INDIRECT("'"&amp;$D5&amp;"'!$AE$7:$AE$500"),"Block"),0))</f>
        <v/>
      </c>
      <c r="AX5" s="322">
        <f>IF($D5="","",IFERROR(COUNTIF(INDIRECT("'"&amp;$D5&amp;"'!$AE$7:$AE$500"),"N/A"),0))</f>
        <v/>
      </c>
      <c r="AY5" s="322">
        <f>IF($D5="","",IFERROR(COUNTIF(INDIRECT("'"&amp;$D5&amp;"'!$AJ$7:$AJ$500"),"&lt;&gt;"),0))</f>
        <v/>
      </c>
      <c r="AZ5" s="322">
        <f>IF($D5="","",IFERROR(COUNTIF(INDIRECT("'"&amp;$D5&amp;"'!$AJ$7:$AJ$500"),"Pass"),0))</f>
        <v/>
      </c>
      <c r="BA5" s="322">
        <f>IF($D5="","",IFERROR(COUNTIF(INDIRECT("'"&amp;$D5&amp;"'!$AJ$7:$AJ$500"),"Fail"),0))</f>
        <v/>
      </c>
      <c r="BB5" s="322">
        <f>IF($D5="","",IFERROR(COUNTIF(INDIRECT("'"&amp;$D5&amp;"'!$AJ$7:$AJ$500"),"Block"),0))</f>
        <v/>
      </c>
      <c r="BC5" s="224">
        <f>IF($D5="","",IFERROR(COUNTIF(INDIRECT("'"&amp;$D5&amp;"'!$AJ$7:$AJ$500"),"N/A"),0))</f>
        <v/>
      </c>
    </row>
    <row r="6" ht="15" customHeight="1" s="225">
      <c r="B6" s="317">
        <f>IF($D6="","",ROW()-3)</f>
        <v/>
      </c>
      <c r="C6" s="318" t="inlineStr">
        <is>
          <t>TC_03</t>
        </is>
      </c>
      <c r="D6" s="318" t="inlineStr">
        <is>
          <t>Thông báo</t>
        </is>
      </c>
      <c r="E6" s="319" t="inlineStr">
        <is>
          <t>Thông báo</t>
        </is>
      </c>
      <c r="F6" s="317">
        <f>IF($D6="","",IFERROR(COUNTIF(INDIRECT("'"&amp;$D6&amp;"'!$C$7:$C$500"),"?*"),0))</f>
        <v/>
      </c>
      <c r="G6" s="317">
        <f>IF($D6="","",IFERROR(COUNTIF(INDIRECT("'"&amp;$D6&amp;"'!$AO$7:$AO$500"),"Pass"),0))</f>
        <v/>
      </c>
      <c r="H6" s="317">
        <f>IF($D6="","",IFERROR(COUNTIF(INDIRECT("'"&amp;$D6&amp;"'!$AO$7:$AO$500"),"Fail"),0))</f>
        <v/>
      </c>
      <c r="I6" s="317">
        <f>IF($D6="","",IFERROR(COUNTIF(INDIRECT("'"&amp;$D6&amp;"'!$AO$7:$AO$500"),"Block"),0))</f>
        <v/>
      </c>
      <c r="J6" s="317">
        <f>IF($D6="","",IFERROR(COUNTIF(INDIRECT("'"&amp;$D6&amp;"'!$AO$7:$AO$500"),"N/A"),0))</f>
        <v/>
      </c>
      <c r="K6" s="317">
        <f>IF($D6="","",MAX(0,$F6-$G6-$H6-$I6-$J6))</f>
        <v/>
      </c>
      <c r="L6" s="317">
        <f>IF($D6="","",$G6+$H6+$I6+$J6)</f>
        <v/>
      </c>
      <c r="M6" s="320">
        <f>IF($D6="","",IFERROR($L6/$F6,0))</f>
        <v/>
      </c>
      <c r="N6" s="320">
        <f>IF($D6="","",IFERROR($G6/$L6,0))</f>
        <v/>
      </c>
      <c r="O6" s="317">
        <f>IF($D6="","",IFERROR(COUNTIF(INDIRECT("'"&amp;$D6&amp;"'!$E$7:$E$500"),"High"),0))</f>
        <v/>
      </c>
      <c r="P6" s="317">
        <f>IF($D6="","",IFERROR(COUNTIF(INDIRECT("'"&amp;$D6&amp;"'!$E$7:$E$500"),"Medium"),0))</f>
        <v/>
      </c>
      <c r="Q6" s="317">
        <f>IF($D6="","",IFERROR(COUNTIF(INDIRECT("'"&amp;$D6&amp;"'!$E$7:$E$500"),"Low"),0))</f>
        <v/>
      </c>
      <c r="R6" s="317">
        <f>IF($D6="","",IFERROR(COUNTIF(INDIRECT("'"&amp;$D6&amp;"'!$D$7:$D$500"),"Functional"),0))</f>
        <v/>
      </c>
      <c r="S6" s="317">
        <f>IF($D6="","",IFERROR(COUNTIF(INDIRECT("'"&amp;$D6&amp;"'!$D$7:$D$500"),"UI"),0))</f>
        <v/>
      </c>
      <c r="T6" s="317">
        <f>IF($D6="","",IFERROR(COUNTIF(INDIRECT("'"&amp;$D6&amp;"'!$D$7:$D$500"),"Integration"),0))</f>
        <v/>
      </c>
      <c r="U6" s="317">
        <f>IF($D6="","",IFERROR(COUNTIF(INDIRECT("'"&amp;$D6&amp;"'!$D$7:$D$500"),"Database Test Case"),0))</f>
        <v/>
      </c>
      <c r="V6" s="317">
        <f>IF($D6="","",IFERROR(COUNTIF(INDIRECT("'"&amp;$D6&amp;"'!$J$7:$J$500"),"AI"),0))</f>
        <v/>
      </c>
      <c r="W6" s="317">
        <f>IF($D6="","",IFERROR(COUNTIF(INDIRECT("'"&amp;$D6&amp;"'!$J$7:$J$500"),"QC"),0))</f>
        <v/>
      </c>
      <c r="X6" s="317">
        <f>IF($D6="","",IFERROR(COUNTIF(INDIRECT("'"&amp;$D6&amp;"'!$L$7:$L$500"),"Yes"),0))</f>
        <v/>
      </c>
      <c r="Y6" s="317">
        <f>IF($D6="","",IFERROR(COUNTIF(INDIRECT("'"&amp;$D6&amp;"'!$AM$7:$AM$500"),"Yes"),0))</f>
        <v/>
      </c>
      <c r="Z6" s="317">
        <f>IF($D6="","",IFERROR(COUNTIF(INDIRECT("'"&amp;$D6&amp;"'!$AN$7:$AN$500"),"Pass"),0))</f>
        <v/>
      </c>
      <c r="AA6" s="317">
        <f>IF($D6="","",IFERROR(COUNTIF(INDIRECT("'"&amp;$D6&amp;"'!$K$7:$K$500"),"Reviewed"),0))</f>
        <v/>
      </c>
      <c r="AB6" s="321">
        <f>IF($D6="","",IFERROR(SUMPRODUCT((INDIRECT("'"&amp;$D6&amp;"'!$E$7:$E$500")="High")*(INDIRECT("'"&amp;$D6&amp;"'!$AO$7:$AO$500")&lt;&gt;"")),0))</f>
        <v/>
      </c>
      <c r="AC6" s="321">
        <f>IF($D6="","",IFERROR(SUMPRODUCT((INDIRECT("'"&amp;$D6&amp;"'!$E$7:$E$500")="Medium")*(INDIRECT("'"&amp;$D6&amp;"'!$AO$7:$AO$500")&lt;&gt;"")),0))</f>
        <v/>
      </c>
      <c r="AD6" s="321">
        <f>IF($D6="","",IFERROR(SUMPRODUCT((INDIRECT("'"&amp;$D6&amp;"'!$E$7:$E$500")="Low")*(INDIRECT("'"&amp;$D6&amp;"'!$AO$7:$AO$500")&lt;&gt;"")),0))</f>
        <v/>
      </c>
      <c r="AE6" s="322">
        <f>IF($D6="","",IFERROR(COUNTIF(INDIRECT("'"&amp;$D6&amp;"'!$P$7:$P$500"),"&lt;&gt;"),0))</f>
        <v/>
      </c>
      <c r="AF6" s="322">
        <f>IF($D6="","",IFERROR(COUNTIF(INDIRECT("'"&amp;$D6&amp;"'!$P$7:$P$500"),"Pass"),0))</f>
        <v/>
      </c>
      <c r="AG6" s="322">
        <f>IF($D6="","",IFERROR(COUNTIF(INDIRECT("'"&amp;$D6&amp;"'!$P$7:$P$500"),"Fail"),0))</f>
        <v/>
      </c>
      <c r="AH6" s="322">
        <f>IF($D6="","",IFERROR(COUNTIF(INDIRECT("'"&amp;$D6&amp;"'!$P$7:$P$500"),"Block"),0))</f>
        <v/>
      </c>
      <c r="AI6" s="322">
        <f>IF($D6="","",IFERROR(COUNTIF(INDIRECT("'"&amp;$D6&amp;"'!$P$7:$P$500"),"N/A"),0))</f>
        <v/>
      </c>
      <c r="AJ6" s="322">
        <f>IF($D6="","",IFERROR(COUNTIF(INDIRECT("'"&amp;$D6&amp;"'!$U$7:$U$500"),"&lt;&gt;"),0))</f>
        <v/>
      </c>
      <c r="AK6" s="322">
        <f>IF($D6="","",IFERROR(COUNTIF(INDIRECT("'"&amp;$D6&amp;"'!$U$7:$U$500"),"Pass"),0))</f>
        <v/>
      </c>
      <c r="AL6" s="322">
        <f>IF($D6="","",IFERROR(COUNTIF(INDIRECT("'"&amp;$D6&amp;"'!$U$7:$U$500"),"Fail"),0))</f>
        <v/>
      </c>
      <c r="AM6" s="322">
        <f>IF($D6="","",IFERROR(COUNTIF(INDIRECT("'"&amp;$D6&amp;"'!$U$7:$U$500"),"Block"),0))</f>
        <v/>
      </c>
      <c r="AN6" s="322">
        <f>IF($D6="","",IFERROR(COUNTIF(INDIRECT("'"&amp;$D6&amp;"'!$U$7:$U$500"),"N/A"),0))</f>
        <v/>
      </c>
      <c r="AO6" s="322">
        <f>IF($D6="","",IFERROR(COUNTIF(INDIRECT("'"&amp;$D6&amp;"'!$Z$7:$Z$500"),"&lt;&gt;"),0))</f>
        <v/>
      </c>
      <c r="AP6" s="322">
        <f>IF($D6="","",IFERROR(COUNTIF(INDIRECT("'"&amp;$D6&amp;"'!$Z$7:$Z$500"),"Pass"),0))</f>
        <v/>
      </c>
      <c r="AQ6" s="322">
        <f>IF($D6="","",IFERROR(COUNTIF(INDIRECT("'"&amp;$D6&amp;"'!$Z$7:$Z$500"),"Fail"),0))</f>
        <v/>
      </c>
      <c r="AR6" s="322">
        <f>IF($D6="","",IFERROR(COUNTIF(INDIRECT("'"&amp;$D6&amp;"'!$Z$7:$Z$500"),"Block"),0))</f>
        <v/>
      </c>
      <c r="AS6" s="322">
        <f>IF($D6="","",IFERROR(COUNTIF(INDIRECT("'"&amp;$D6&amp;"'!$Z$7:$Z$500"),"N/A"),0))</f>
        <v/>
      </c>
      <c r="AT6" s="322">
        <f>IF($D6="","",IFERROR(COUNTIF(INDIRECT("'"&amp;$D6&amp;"'!$AE$7:$AE$500"),"&lt;&gt;"),0))</f>
        <v/>
      </c>
      <c r="AU6" s="322">
        <f>IF($D6="","",IFERROR(COUNTIF(INDIRECT("'"&amp;$D6&amp;"'!$AE$7:$AE$500"),"Pass"),0))</f>
        <v/>
      </c>
      <c r="AV6" s="322">
        <f>IF($D6="","",IFERROR(COUNTIF(INDIRECT("'"&amp;$D6&amp;"'!$AE$7:$AE$500"),"Fail"),0))</f>
        <v/>
      </c>
      <c r="AW6" s="322">
        <f>IF($D6="","",IFERROR(COUNTIF(INDIRECT("'"&amp;$D6&amp;"'!$AE$7:$AE$500"),"Block"),0))</f>
        <v/>
      </c>
      <c r="AX6" s="322">
        <f>IF($D6="","",IFERROR(COUNTIF(INDIRECT("'"&amp;$D6&amp;"'!$AE$7:$AE$500"),"N/A"),0))</f>
        <v/>
      </c>
      <c r="AY6" s="322">
        <f>IF($D6="","",IFERROR(COUNTIF(INDIRECT("'"&amp;$D6&amp;"'!$AJ$7:$AJ$500"),"&lt;&gt;"),0))</f>
        <v/>
      </c>
      <c r="AZ6" s="322">
        <f>IF($D6="","",IFERROR(COUNTIF(INDIRECT("'"&amp;$D6&amp;"'!$AJ$7:$AJ$500"),"Pass"),0))</f>
        <v/>
      </c>
      <c r="BA6" s="322">
        <f>IF($D6="","",IFERROR(COUNTIF(INDIRECT("'"&amp;$D6&amp;"'!$AJ$7:$AJ$500"),"Fail"),0))</f>
        <v/>
      </c>
      <c r="BB6" s="322">
        <f>IF($D6="","",IFERROR(COUNTIF(INDIRECT("'"&amp;$D6&amp;"'!$AJ$7:$AJ$500"),"Block"),0))</f>
        <v/>
      </c>
      <c r="BC6" s="224">
        <f>IF($D6="","",IFERROR(COUNTIF(INDIRECT("'"&amp;$D6&amp;"'!$AJ$7:$AJ$500"),"N/A"),0))</f>
        <v/>
      </c>
    </row>
    <row r="7" ht="15" customHeight="1" s="225">
      <c r="B7" s="317">
        <f>IF($D7="","",ROW()-3)</f>
        <v/>
      </c>
      <c r="C7" s="318" t="inlineStr">
        <is>
          <t>TC_04</t>
        </is>
      </c>
      <c r="D7" s="318" t="inlineStr">
        <is>
          <t>Đăng tin</t>
        </is>
      </c>
      <c r="E7" s="319" t="inlineStr">
        <is>
          <t>Đăng tin (Wizard NEED + Form OFFER)</t>
        </is>
      </c>
      <c r="F7" s="317">
        <f>IF($D7="","",IFERROR(COUNTIF(INDIRECT("'"&amp;$D7&amp;"'!$C$7:$C$500"),"?*"),0))</f>
        <v/>
      </c>
      <c r="G7" s="317">
        <f>IF($D7="","",IFERROR(COUNTIF(INDIRECT("'"&amp;$D7&amp;"'!$AO$7:$AO$500"),"Pass"),0))</f>
        <v/>
      </c>
      <c r="H7" s="317">
        <f>IF($D7="","",IFERROR(COUNTIF(INDIRECT("'"&amp;$D7&amp;"'!$AO$7:$AO$500"),"Fail"),0))</f>
        <v/>
      </c>
      <c r="I7" s="317">
        <f>IF($D7="","",IFERROR(COUNTIF(INDIRECT("'"&amp;$D7&amp;"'!$AO$7:$AO$500"),"Block"),0))</f>
        <v/>
      </c>
      <c r="J7" s="317">
        <f>IF($D7="","",IFERROR(COUNTIF(INDIRECT("'"&amp;$D7&amp;"'!$AO$7:$AO$500"),"N/A"),0))</f>
        <v/>
      </c>
      <c r="K7" s="317">
        <f>IF($D7="","",MAX(0,$F7-$G7-$H7-$I7-$J7))</f>
        <v/>
      </c>
      <c r="L7" s="317">
        <f>IF($D7="","",$G7+$H7+$I7+$J7)</f>
        <v/>
      </c>
      <c r="M7" s="320">
        <f>IF($D7="","",IFERROR($L7/$F7,0))</f>
        <v/>
      </c>
      <c r="N7" s="320">
        <f>IF($D7="","",IFERROR($G7/$L7,0))</f>
        <v/>
      </c>
      <c r="O7" s="317">
        <f>IF($D7="","",IFERROR(COUNTIF(INDIRECT("'"&amp;$D7&amp;"'!$E$7:$E$500"),"High"),0))</f>
        <v/>
      </c>
      <c r="P7" s="317">
        <f>IF($D7="","",IFERROR(COUNTIF(INDIRECT("'"&amp;$D7&amp;"'!$E$7:$E$500"),"Medium"),0))</f>
        <v/>
      </c>
      <c r="Q7" s="317">
        <f>IF($D7="","",IFERROR(COUNTIF(INDIRECT("'"&amp;$D7&amp;"'!$E$7:$E$500"),"Low"),0))</f>
        <v/>
      </c>
      <c r="R7" s="317">
        <f>IF($D7="","",IFERROR(COUNTIF(INDIRECT("'"&amp;$D7&amp;"'!$D$7:$D$500"),"Functional"),0))</f>
        <v/>
      </c>
      <c r="S7" s="317">
        <f>IF($D7="","",IFERROR(COUNTIF(INDIRECT("'"&amp;$D7&amp;"'!$D$7:$D$500"),"UI"),0))</f>
        <v/>
      </c>
      <c r="T7" s="317">
        <f>IF($D7="","",IFERROR(COUNTIF(INDIRECT("'"&amp;$D7&amp;"'!$D$7:$D$500"),"Integration"),0))</f>
        <v/>
      </c>
      <c r="U7" s="317">
        <f>IF($D7="","",IFERROR(COUNTIF(INDIRECT("'"&amp;$D7&amp;"'!$D$7:$D$500"),"Database Test Case"),0))</f>
        <v/>
      </c>
      <c r="V7" s="317">
        <f>IF($D7="","",IFERROR(COUNTIF(INDIRECT("'"&amp;$D7&amp;"'!$J$7:$J$500"),"AI"),0))</f>
        <v/>
      </c>
      <c r="W7" s="317">
        <f>IF($D7="","",IFERROR(COUNTIF(INDIRECT("'"&amp;$D7&amp;"'!$J$7:$J$500"),"QC"),0))</f>
        <v/>
      </c>
      <c r="X7" s="317">
        <f>IF($D7="","",IFERROR(COUNTIF(INDIRECT("'"&amp;$D7&amp;"'!$L$7:$L$500"),"Yes"),0))</f>
        <v/>
      </c>
      <c r="Y7" s="317">
        <f>IF($D7="","",IFERROR(COUNTIF(INDIRECT("'"&amp;$D7&amp;"'!$AM$7:$AM$500"),"Yes"),0))</f>
        <v/>
      </c>
      <c r="Z7" s="317">
        <f>IF($D7="","",IFERROR(COUNTIF(INDIRECT("'"&amp;$D7&amp;"'!$AN$7:$AN$500"),"Pass"),0))</f>
        <v/>
      </c>
      <c r="AA7" s="317">
        <f>IF($D7="","",IFERROR(COUNTIF(INDIRECT("'"&amp;$D7&amp;"'!$K$7:$K$500"),"Reviewed"),0))</f>
        <v/>
      </c>
      <c r="AB7" s="321">
        <f>IF($D7="","",IFERROR(SUMPRODUCT((INDIRECT("'"&amp;$D7&amp;"'!$E$7:$E$500")="High")*(INDIRECT("'"&amp;$D7&amp;"'!$AO$7:$AO$500")&lt;&gt;"")),0))</f>
        <v/>
      </c>
      <c r="AC7" s="321">
        <f>IF($D7="","",IFERROR(SUMPRODUCT((INDIRECT("'"&amp;$D7&amp;"'!$E$7:$E$500")="Medium")*(INDIRECT("'"&amp;$D7&amp;"'!$AO$7:$AO$500")&lt;&gt;"")),0))</f>
        <v/>
      </c>
      <c r="AD7" s="321">
        <f>IF($D7="","",IFERROR(SUMPRODUCT((INDIRECT("'"&amp;$D7&amp;"'!$E$7:$E$500")="Low")*(INDIRECT("'"&amp;$D7&amp;"'!$AO$7:$AO$500")&lt;&gt;"")),0))</f>
        <v/>
      </c>
      <c r="AE7" s="322">
        <f>IF($D7="","",IFERROR(COUNTIF(INDIRECT("'"&amp;$D7&amp;"'!$P$7:$P$500"),"&lt;&gt;"),0))</f>
        <v/>
      </c>
      <c r="AF7" s="322">
        <f>IF($D7="","",IFERROR(COUNTIF(INDIRECT("'"&amp;$D7&amp;"'!$P$7:$P$500"),"Pass"),0))</f>
        <v/>
      </c>
      <c r="AG7" s="322">
        <f>IF($D7="","",IFERROR(COUNTIF(INDIRECT("'"&amp;$D7&amp;"'!$P$7:$P$500"),"Fail"),0))</f>
        <v/>
      </c>
      <c r="AH7" s="322">
        <f>IF($D7="","",IFERROR(COUNTIF(INDIRECT("'"&amp;$D7&amp;"'!$P$7:$P$500"),"Block"),0))</f>
        <v/>
      </c>
      <c r="AI7" s="322">
        <f>IF($D7="","",IFERROR(COUNTIF(INDIRECT("'"&amp;$D7&amp;"'!$P$7:$P$500"),"N/A"),0))</f>
        <v/>
      </c>
      <c r="AJ7" s="322">
        <f>IF($D7="","",IFERROR(COUNTIF(INDIRECT("'"&amp;$D7&amp;"'!$U$7:$U$500"),"&lt;&gt;"),0))</f>
        <v/>
      </c>
      <c r="AK7" s="322">
        <f>IF($D7="","",IFERROR(COUNTIF(INDIRECT("'"&amp;$D7&amp;"'!$U$7:$U$500"),"Pass"),0))</f>
        <v/>
      </c>
      <c r="AL7" s="322">
        <f>IF($D7="","",IFERROR(COUNTIF(INDIRECT("'"&amp;$D7&amp;"'!$U$7:$U$500"),"Fail"),0))</f>
        <v/>
      </c>
      <c r="AM7" s="322">
        <f>IF($D7="","",IFERROR(COUNTIF(INDIRECT("'"&amp;$D7&amp;"'!$U$7:$U$500"),"Block"),0))</f>
        <v/>
      </c>
      <c r="AN7" s="322">
        <f>IF($D7="","",IFERROR(COUNTIF(INDIRECT("'"&amp;$D7&amp;"'!$U$7:$U$500"),"N/A"),0))</f>
        <v/>
      </c>
      <c r="AO7" s="322">
        <f>IF($D7="","",IFERROR(COUNTIF(INDIRECT("'"&amp;$D7&amp;"'!$Z$7:$Z$500"),"&lt;&gt;"),0))</f>
        <v/>
      </c>
      <c r="AP7" s="322">
        <f>IF($D7="","",IFERROR(COUNTIF(INDIRECT("'"&amp;$D7&amp;"'!$Z$7:$Z$500"),"Pass"),0))</f>
        <v/>
      </c>
      <c r="AQ7" s="322">
        <f>IF($D7="","",IFERROR(COUNTIF(INDIRECT("'"&amp;$D7&amp;"'!$Z$7:$Z$500"),"Fail"),0))</f>
        <v/>
      </c>
      <c r="AR7" s="322">
        <f>IF($D7="","",IFERROR(COUNTIF(INDIRECT("'"&amp;$D7&amp;"'!$Z$7:$Z$500"),"Block"),0))</f>
        <v/>
      </c>
      <c r="AS7" s="322">
        <f>IF($D7="","",IFERROR(COUNTIF(INDIRECT("'"&amp;$D7&amp;"'!$Z$7:$Z$500"),"N/A"),0))</f>
        <v/>
      </c>
      <c r="AT7" s="322">
        <f>IF($D7="","",IFERROR(COUNTIF(INDIRECT("'"&amp;$D7&amp;"'!$AE$7:$AE$500"),"&lt;&gt;"),0))</f>
        <v/>
      </c>
      <c r="AU7" s="322">
        <f>IF($D7="","",IFERROR(COUNTIF(INDIRECT("'"&amp;$D7&amp;"'!$AE$7:$AE$500"),"Pass"),0))</f>
        <v/>
      </c>
      <c r="AV7" s="322">
        <f>IF($D7="","",IFERROR(COUNTIF(INDIRECT("'"&amp;$D7&amp;"'!$AE$7:$AE$500"),"Fail"),0))</f>
        <v/>
      </c>
      <c r="AW7" s="322">
        <f>IF($D7="","",IFERROR(COUNTIF(INDIRECT("'"&amp;$D7&amp;"'!$AE$7:$AE$500"),"Block"),0))</f>
        <v/>
      </c>
      <c r="AX7" s="322">
        <f>IF($D7="","",IFERROR(COUNTIF(INDIRECT("'"&amp;$D7&amp;"'!$AE$7:$AE$500"),"N/A"),0))</f>
        <v/>
      </c>
      <c r="AY7" s="322">
        <f>IF($D7="","",IFERROR(COUNTIF(INDIRECT("'"&amp;$D7&amp;"'!$AJ$7:$AJ$500"),"&lt;&gt;"),0))</f>
        <v/>
      </c>
      <c r="AZ7" s="322">
        <f>IF($D7="","",IFERROR(COUNTIF(INDIRECT("'"&amp;$D7&amp;"'!$AJ$7:$AJ$500"),"Pass"),0))</f>
        <v/>
      </c>
      <c r="BA7" s="322">
        <f>IF($D7="","",IFERROR(COUNTIF(INDIRECT("'"&amp;$D7&amp;"'!$AJ$7:$AJ$500"),"Fail"),0))</f>
        <v/>
      </c>
      <c r="BB7" s="322">
        <f>IF($D7="","",IFERROR(COUNTIF(INDIRECT("'"&amp;$D7&amp;"'!$AJ$7:$AJ$500"),"Block"),0))</f>
        <v/>
      </c>
      <c r="BC7" s="224">
        <f>IF($D7="","",IFERROR(COUNTIF(INDIRECT("'"&amp;$D7&amp;"'!$AJ$7:$AJ$500"),"N/A"),0))</f>
        <v/>
      </c>
    </row>
    <row r="8" ht="15" customHeight="1" s="225">
      <c r="B8" s="317">
        <f>IF($D8="","",ROW()-3)</f>
        <v/>
      </c>
      <c r="C8" s="318" t="inlineStr">
        <is>
          <t>TC_05</t>
        </is>
      </c>
      <c r="D8" s="318" t="inlineStr">
        <is>
          <t>Trang chủ</t>
        </is>
      </c>
      <c r="E8" s="319" t="inlineStr">
        <is>
          <t>Trang chủ</t>
        </is>
      </c>
      <c r="F8" s="317">
        <f>IF($D8="","",IFERROR(COUNTIF(INDIRECT("'"&amp;$D8&amp;"'!$C$7:$C$500"),"?*"),0))</f>
        <v/>
      </c>
      <c r="G8" s="317">
        <f>IF($D8="","",IFERROR(COUNTIF(INDIRECT("'"&amp;$D8&amp;"'!$AO$7:$AO$500"),"Pass"),0))</f>
        <v/>
      </c>
      <c r="H8" s="317">
        <f>IF($D8="","",IFERROR(COUNTIF(INDIRECT("'"&amp;$D8&amp;"'!$AO$7:$AO$500"),"Fail"),0))</f>
        <v/>
      </c>
      <c r="I8" s="317">
        <f>IF($D8="","",IFERROR(COUNTIF(INDIRECT("'"&amp;$D8&amp;"'!$AO$7:$AO$500"),"Block"),0))</f>
        <v/>
      </c>
      <c r="J8" s="317">
        <f>IF($D8="","",IFERROR(COUNTIF(INDIRECT("'"&amp;$D8&amp;"'!$AO$7:$AO$500"),"N/A"),0))</f>
        <v/>
      </c>
      <c r="K8" s="317">
        <f>IF($D8="","",MAX(0,$F8-$G8-$H8-$I8-$J8))</f>
        <v/>
      </c>
      <c r="L8" s="317">
        <f>IF($D8="","",$G8+$H8+$I8+$J8)</f>
        <v/>
      </c>
      <c r="M8" s="320">
        <f>IF($D8="","",IFERROR($L8/$F8,0))</f>
        <v/>
      </c>
      <c r="N8" s="320">
        <f>IF($D8="","",IFERROR($G8/$L8,0))</f>
        <v/>
      </c>
      <c r="O8" s="317">
        <f>IF($D8="","",IFERROR(COUNTIF(INDIRECT("'"&amp;$D8&amp;"'!$E$7:$E$500"),"High"),0))</f>
        <v/>
      </c>
      <c r="P8" s="317">
        <f>IF($D8="","",IFERROR(COUNTIF(INDIRECT("'"&amp;$D8&amp;"'!$E$7:$E$500"),"Medium"),0))</f>
        <v/>
      </c>
      <c r="Q8" s="317">
        <f>IF($D8="","",IFERROR(COUNTIF(INDIRECT("'"&amp;$D8&amp;"'!$E$7:$E$500"),"Low"),0))</f>
        <v/>
      </c>
      <c r="R8" s="317">
        <f>IF($D8="","",IFERROR(COUNTIF(INDIRECT("'"&amp;$D8&amp;"'!$D$7:$D$500"),"Functional"),0))</f>
        <v/>
      </c>
      <c r="S8" s="317">
        <f>IF($D8="","",IFERROR(COUNTIF(INDIRECT("'"&amp;$D8&amp;"'!$D$7:$D$500"),"UI"),0))</f>
        <v/>
      </c>
      <c r="T8" s="317">
        <f>IF($D8="","",IFERROR(COUNTIF(INDIRECT("'"&amp;$D8&amp;"'!$D$7:$D$500"),"Integration"),0))</f>
        <v/>
      </c>
      <c r="U8" s="317">
        <f>IF($D8="","",IFERROR(COUNTIF(INDIRECT("'"&amp;$D8&amp;"'!$D$7:$D$500"),"Database Test Case"),0))</f>
        <v/>
      </c>
      <c r="V8" s="317">
        <f>IF($D8="","",IFERROR(COUNTIF(INDIRECT("'"&amp;$D8&amp;"'!$J$7:$J$500"),"AI"),0))</f>
        <v/>
      </c>
      <c r="W8" s="317">
        <f>IF($D8="","",IFERROR(COUNTIF(INDIRECT("'"&amp;$D8&amp;"'!$J$7:$J$500"),"QC"),0))</f>
        <v/>
      </c>
      <c r="X8" s="317">
        <f>IF($D8="","",IFERROR(COUNTIF(INDIRECT("'"&amp;$D8&amp;"'!$L$7:$L$500"),"Yes"),0))</f>
        <v/>
      </c>
      <c r="Y8" s="317">
        <f>IF($D8="","",IFERROR(COUNTIF(INDIRECT("'"&amp;$D8&amp;"'!$AM$7:$AM$500"),"Yes"),0))</f>
        <v/>
      </c>
      <c r="Z8" s="317">
        <f>IF($D8="","",IFERROR(COUNTIF(INDIRECT("'"&amp;$D8&amp;"'!$AN$7:$AN$500"),"Pass"),0))</f>
        <v/>
      </c>
      <c r="AA8" s="317">
        <f>IF($D8="","",IFERROR(COUNTIF(INDIRECT("'"&amp;$D8&amp;"'!$K$7:$K$500"),"Reviewed"),0))</f>
        <v/>
      </c>
      <c r="AB8" s="321">
        <f>IF($D8="","",IFERROR(SUMPRODUCT((INDIRECT("'"&amp;$D8&amp;"'!$E$7:$E$500")="High")*(INDIRECT("'"&amp;$D8&amp;"'!$AO$7:$AO$500")&lt;&gt;"")),0))</f>
        <v/>
      </c>
      <c r="AC8" s="321">
        <f>IF($D8="","",IFERROR(SUMPRODUCT((INDIRECT("'"&amp;$D8&amp;"'!$E$7:$E$500")="Medium")*(INDIRECT("'"&amp;$D8&amp;"'!$AO$7:$AO$500")&lt;&gt;"")),0))</f>
        <v/>
      </c>
      <c r="AD8" s="321">
        <f>IF($D8="","",IFERROR(SUMPRODUCT((INDIRECT("'"&amp;$D8&amp;"'!$E$7:$E$500")="Low")*(INDIRECT("'"&amp;$D8&amp;"'!$AO$7:$AO$500")&lt;&gt;"")),0))</f>
        <v/>
      </c>
      <c r="AE8" s="322">
        <f>IF($D8="","",IFERROR(COUNTIF(INDIRECT("'"&amp;$D8&amp;"'!$P$7:$P$500"),"&lt;&gt;"),0))</f>
        <v/>
      </c>
      <c r="AF8" s="322">
        <f>IF($D8="","",IFERROR(COUNTIF(INDIRECT("'"&amp;$D8&amp;"'!$P$7:$P$500"),"Pass"),0))</f>
        <v/>
      </c>
      <c r="AG8" s="322">
        <f>IF($D8="","",IFERROR(COUNTIF(INDIRECT("'"&amp;$D8&amp;"'!$P$7:$P$500"),"Fail"),0))</f>
        <v/>
      </c>
      <c r="AH8" s="322">
        <f>IF($D8="","",IFERROR(COUNTIF(INDIRECT("'"&amp;$D8&amp;"'!$P$7:$P$500"),"Block"),0))</f>
        <v/>
      </c>
      <c r="AI8" s="322">
        <f>IF($D8="","",IFERROR(COUNTIF(INDIRECT("'"&amp;$D8&amp;"'!$P$7:$P$500"),"N/A"),0))</f>
        <v/>
      </c>
      <c r="AJ8" s="322">
        <f>IF($D8="","",IFERROR(COUNTIF(INDIRECT("'"&amp;$D8&amp;"'!$U$7:$U$500"),"&lt;&gt;"),0))</f>
        <v/>
      </c>
      <c r="AK8" s="322">
        <f>IF($D8="","",IFERROR(COUNTIF(INDIRECT("'"&amp;$D8&amp;"'!$U$7:$U$500"),"Pass"),0))</f>
        <v/>
      </c>
      <c r="AL8" s="322">
        <f>IF($D8="","",IFERROR(COUNTIF(INDIRECT("'"&amp;$D8&amp;"'!$U$7:$U$500"),"Fail"),0))</f>
        <v/>
      </c>
      <c r="AM8" s="322">
        <f>IF($D8="","",IFERROR(COUNTIF(INDIRECT("'"&amp;$D8&amp;"'!$U$7:$U$500"),"Block"),0))</f>
        <v/>
      </c>
      <c r="AN8" s="322">
        <f>IF($D8="","",IFERROR(COUNTIF(INDIRECT("'"&amp;$D8&amp;"'!$U$7:$U$500"),"N/A"),0))</f>
        <v/>
      </c>
      <c r="AO8" s="322">
        <f>IF($D8="","",IFERROR(COUNTIF(INDIRECT("'"&amp;$D8&amp;"'!$Z$7:$Z$500"),"&lt;&gt;"),0))</f>
        <v/>
      </c>
      <c r="AP8" s="322">
        <f>IF($D8="","",IFERROR(COUNTIF(INDIRECT("'"&amp;$D8&amp;"'!$Z$7:$Z$500"),"Pass"),0))</f>
        <v/>
      </c>
      <c r="AQ8" s="322">
        <f>IF($D8="","",IFERROR(COUNTIF(INDIRECT("'"&amp;$D8&amp;"'!$Z$7:$Z$500"),"Fail"),0))</f>
        <v/>
      </c>
      <c r="AR8" s="322">
        <f>IF($D8="","",IFERROR(COUNTIF(INDIRECT("'"&amp;$D8&amp;"'!$Z$7:$Z$500"),"Block"),0))</f>
        <v/>
      </c>
      <c r="AS8" s="322">
        <f>IF($D8="","",IFERROR(COUNTIF(INDIRECT("'"&amp;$D8&amp;"'!$Z$7:$Z$500"),"N/A"),0))</f>
        <v/>
      </c>
      <c r="AT8" s="322">
        <f>IF($D8="","",IFERROR(COUNTIF(INDIRECT("'"&amp;$D8&amp;"'!$AE$7:$AE$500"),"&lt;&gt;"),0))</f>
        <v/>
      </c>
      <c r="AU8" s="322">
        <f>IF($D8="","",IFERROR(COUNTIF(INDIRECT("'"&amp;$D8&amp;"'!$AE$7:$AE$500"),"Pass"),0))</f>
        <v/>
      </c>
      <c r="AV8" s="322">
        <f>IF($D8="","",IFERROR(COUNTIF(INDIRECT("'"&amp;$D8&amp;"'!$AE$7:$AE$500"),"Fail"),0))</f>
        <v/>
      </c>
      <c r="AW8" s="322">
        <f>IF($D8="","",IFERROR(COUNTIF(INDIRECT("'"&amp;$D8&amp;"'!$AE$7:$AE$500"),"Block"),0))</f>
        <v/>
      </c>
      <c r="AX8" s="322">
        <f>IF($D8="","",IFERROR(COUNTIF(INDIRECT("'"&amp;$D8&amp;"'!$AE$7:$AE$500"),"N/A"),0))</f>
        <v/>
      </c>
      <c r="AY8" s="322">
        <f>IF($D8="","",IFERROR(COUNTIF(INDIRECT("'"&amp;$D8&amp;"'!$AJ$7:$AJ$500"),"&lt;&gt;"),0))</f>
        <v/>
      </c>
      <c r="AZ8" s="322">
        <f>IF($D8="","",IFERROR(COUNTIF(INDIRECT("'"&amp;$D8&amp;"'!$AJ$7:$AJ$500"),"Pass"),0))</f>
        <v/>
      </c>
      <c r="BA8" s="322">
        <f>IF($D8="","",IFERROR(COUNTIF(INDIRECT("'"&amp;$D8&amp;"'!$AJ$7:$AJ$500"),"Fail"),0))</f>
        <v/>
      </c>
      <c r="BB8" s="322">
        <f>IF($D8="","",IFERROR(COUNTIF(INDIRECT("'"&amp;$D8&amp;"'!$AJ$7:$AJ$500"),"Block"),0))</f>
        <v/>
      </c>
      <c r="BC8" s="224">
        <f>IF($D8="","",IFERROR(COUNTIF(INDIRECT("'"&amp;$D8&amp;"'!$AJ$7:$AJ$500"),"N/A"),0))</f>
        <v/>
      </c>
    </row>
    <row r="9" ht="15" customHeight="1" s="225">
      <c r="B9" s="317">
        <f>IF($D9="","",ROW()-3)</f>
        <v/>
      </c>
      <c r="C9" s="318" t="inlineStr">
        <is>
          <t>TC_06</t>
        </is>
      </c>
      <c r="D9" s="318" t="inlineStr">
        <is>
          <t>Bảng tin &amp; Chi tiết tin</t>
        </is>
      </c>
      <c r="E9" s="319" t="inlineStr">
        <is>
          <t>Bảng tin &amp; Chi tiết tin</t>
        </is>
      </c>
      <c r="F9" s="317">
        <f>IF($D9="","",IFERROR(COUNTIF(INDIRECT("'"&amp;$D9&amp;"'!$C$7:$C$500"),"?*"),0))</f>
        <v/>
      </c>
      <c r="G9" s="317">
        <f>IF($D9="","",IFERROR(COUNTIF(INDIRECT("'"&amp;$D9&amp;"'!$AO$7:$AO$500"),"Pass"),0))</f>
        <v/>
      </c>
      <c r="H9" s="317">
        <f>IF($D9="","",IFERROR(COUNTIF(INDIRECT("'"&amp;$D9&amp;"'!$AO$7:$AO$500"),"Fail"),0))</f>
        <v/>
      </c>
      <c r="I9" s="317">
        <f>IF($D9="","",IFERROR(COUNTIF(INDIRECT("'"&amp;$D9&amp;"'!$AO$7:$AO$500"),"Block"),0))</f>
        <v/>
      </c>
      <c r="J9" s="317">
        <f>IF($D9="","",IFERROR(COUNTIF(INDIRECT("'"&amp;$D9&amp;"'!$AO$7:$AO$500"),"N/A"),0))</f>
        <v/>
      </c>
      <c r="K9" s="317">
        <f>IF($D9="","",MAX(0,$F9-$G9-$H9-$I9-$J9))</f>
        <v/>
      </c>
      <c r="L9" s="317">
        <f>IF($D9="","",$G9+$H9+$I9+$J9)</f>
        <v/>
      </c>
      <c r="M9" s="320">
        <f>IF($D9="","",IFERROR($L9/$F9,0))</f>
        <v/>
      </c>
      <c r="N9" s="320">
        <f>IF($D9="","",IFERROR($G9/$L9,0))</f>
        <v/>
      </c>
      <c r="O9" s="317">
        <f>IF($D9="","",IFERROR(COUNTIF(INDIRECT("'"&amp;$D9&amp;"'!$E$7:$E$500"),"High"),0))</f>
        <v/>
      </c>
      <c r="P9" s="317">
        <f>IF($D9="","",IFERROR(COUNTIF(INDIRECT("'"&amp;$D9&amp;"'!$E$7:$E$500"),"Medium"),0))</f>
        <v/>
      </c>
      <c r="Q9" s="317">
        <f>IF($D9="","",IFERROR(COUNTIF(INDIRECT("'"&amp;$D9&amp;"'!$E$7:$E$500"),"Low"),0))</f>
        <v/>
      </c>
      <c r="R9" s="317">
        <f>IF($D9="","",IFERROR(COUNTIF(INDIRECT("'"&amp;$D9&amp;"'!$D$7:$D$500"),"Functional"),0))</f>
        <v/>
      </c>
      <c r="S9" s="317">
        <f>IF($D9="","",IFERROR(COUNTIF(INDIRECT("'"&amp;$D9&amp;"'!$D$7:$D$500"),"UI"),0))</f>
        <v/>
      </c>
      <c r="T9" s="317">
        <f>IF($D9="","",IFERROR(COUNTIF(INDIRECT("'"&amp;$D9&amp;"'!$D$7:$D$500"),"Integration"),0))</f>
        <v/>
      </c>
      <c r="U9" s="317">
        <f>IF($D9="","",IFERROR(COUNTIF(INDIRECT("'"&amp;$D9&amp;"'!$D$7:$D$500"),"Database Test Case"),0))</f>
        <v/>
      </c>
      <c r="V9" s="317">
        <f>IF($D9="","",IFERROR(COUNTIF(INDIRECT("'"&amp;$D9&amp;"'!$J$7:$J$500"),"AI"),0))</f>
        <v/>
      </c>
      <c r="W9" s="317">
        <f>IF($D9="","",IFERROR(COUNTIF(INDIRECT("'"&amp;$D9&amp;"'!$J$7:$J$500"),"QC"),0))</f>
        <v/>
      </c>
      <c r="X9" s="317">
        <f>IF($D9="","",IFERROR(COUNTIF(INDIRECT("'"&amp;$D9&amp;"'!$L$7:$L$500"),"Yes"),0))</f>
        <v/>
      </c>
      <c r="Y9" s="317">
        <f>IF($D9="","",IFERROR(COUNTIF(INDIRECT("'"&amp;$D9&amp;"'!$AM$7:$AM$500"),"Yes"),0))</f>
        <v/>
      </c>
      <c r="Z9" s="317">
        <f>IF($D9="","",IFERROR(COUNTIF(INDIRECT("'"&amp;$D9&amp;"'!$AN$7:$AN$500"),"Pass"),0))</f>
        <v/>
      </c>
      <c r="AA9" s="317">
        <f>IF($D9="","",IFERROR(COUNTIF(INDIRECT("'"&amp;$D9&amp;"'!$K$7:$K$500"),"Reviewed"),0))</f>
        <v/>
      </c>
      <c r="AB9" s="321">
        <f>IF($D9="","",IFERROR(SUMPRODUCT((INDIRECT("'"&amp;$D9&amp;"'!$E$7:$E$500")="High")*(INDIRECT("'"&amp;$D9&amp;"'!$AO$7:$AO$500")&lt;&gt;"")),0))</f>
        <v/>
      </c>
      <c r="AC9" s="321">
        <f>IF($D9="","",IFERROR(SUMPRODUCT((INDIRECT("'"&amp;$D9&amp;"'!$E$7:$E$500")="Medium")*(INDIRECT("'"&amp;$D9&amp;"'!$AO$7:$AO$500")&lt;&gt;"")),0))</f>
        <v/>
      </c>
      <c r="AD9" s="321">
        <f>IF($D9="","",IFERROR(SUMPRODUCT((INDIRECT("'"&amp;$D9&amp;"'!$E$7:$E$500")="Low")*(INDIRECT("'"&amp;$D9&amp;"'!$AO$7:$AO$500")&lt;&gt;"")),0))</f>
        <v/>
      </c>
      <c r="AE9" s="322">
        <f>IF($D9="","",IFERROR(COUNTIF(INDIRECT("'"&amp;$D9&amp;"'!$P$7:$P$500"),"&lt;&gt;"),0))</f>
        <v/>
      </c>
      <c r="AF9" s="322">
        <f>IF($D9="","",IFERROR(COUNTIF(INDIRECT("'"&amp;$D9&amp;"'!$P$7:$P$500"),"Pass"),0))</f>
        <v/>
      </c>
      <c r="AG9" s="322">
        <f>IF($D9="","",IFERROR(COUNTIF(INDIRECT("'"&amp;$D9&amp;"'!$P$7:$P$500"),"Fail"),0))</f>
        <v/>
      </c>
      <c r="AH9" s="322">
        <f>IF($D9="","",IFERROR(COUNTIF(INDIRECT("'"&amp;$D9&amp;"'!$P$7:$P$500"),"Block"),0))</f>
        <v/>
      </c>
      <c r="AI9" s="322">
        <f>IF($D9="","",IFERROR(COUNTIF(INDIRECT("'"&amp;$D9&amp;"'!$P$7:$P$500"),"N/A"),0))</f>
        <v/>
      </c>
      <c r="AJ9" s="322">
        <f>IF($D9="","",IFERROR(COUNTIF(INDIRECT("'"&amp;$D9&amp;"'!$U$7:$U$500"),"&lt;&gt;"),0))</f>
        <v/>
      </c>
      <c r="AK9" s="322">
        <f>IF($D9="","",IFERROR(COUNTIF(INDIRECT("'"&amp;$D9&amp;"'!$U$7:$U$500"),"Pass"),0))</f>
        <v/>
      </c>
      <c r="AL9" s="322">
        <f>IF($D9="","",IFERROR(COUNTIF(INDIRECT("'"&amp;$D9&amp;"'!$U$7:$U$500"),"Fail"),0))</f>
        <v/>
      </c>
      <c r="AM9" s="322">
        <f>IF($D9="","",IFERROR(COUNTIF(INDIRECT("'"&amp;$D9&amp;"'!$U$7:$U$500"),"Block"),0))</f>
        <v/>
      </c>
      <c r="AN9" s="322">
        <f>IF($D9="","",IFERROR(COUNTIF(INDIRECT("'"&amp;$D9&amp;"'!$U$7:$U$500"),"N/A"),0))</f>
        <v/>
      </c>
      <c r="AO9" s="322">
        <f>IF($D9="","",IFERROR(COUNTIF(INDIRECT("'"&amp;$D9&amp;"'!$Z$7:$Z$500"),"&lt;&gt;"),0))</f>
        <v/>
      </c>
      <c r="AP9" s="322">
        <f>IF($D9="","",IFERROR(COUNTIF(INDIRECT("'"&amp;$D9&amp;"'!$Z$7:$Z$500"),"Pass"),0))</f>
        <v/>
      </c>
      <c r="AQ9" s="322">
        <f>IF($D9="","",IFERROR(COUNTIF(INDIRECT("'"&amp;$D9&amp;"'!$Z$7:$Z$500"),"Fail"),0))</f>
        <v/>
      </c>
      <c r="AR9" s="322">
        <f>IF($D9="","",IFERROR(COUNTIF(INDIRECT("'"&amp;$D9&amp;"'!$Z$7:$Z$500"),"Block"),0))</f>
        <v/>
      </c>
      <c r="AS9" s="322">
        <f>IF($D9="","",IFERROR(COUNTIF(INDIRECT("'"&amp;$D9&amp;"'!$Z$7:$Z$500"),"N/A"),0))</f>
        <v/>
      </c>
      <c r="AT9" s="322">
        <f>IF($D9="","",IFERROR(COUNTIF(INDIRECT("'"&amp;$D9&amp;"'!$AE$7:$AE$500"),"&lt;&gt;"),0))</f>
        <v/>
      </c>
      <c r="AU9" s="322">
        <f>IF($D9="","",IFERROR(COUNTIF(INDIRECT("'"&amp;$D9&amp;"'!$AE$7:$AE$500"),"Pass"),0))</f>
        <v/>
      </c>
      <c r="AV9" s="322">
        <f>IF($D9="","",IFERROR(COUNTIF(INDIRECT("'"&amp;$D9&amp;"'!$AE$7:$AE$500"),"Fail"),0))</f>
        <v/>
      </c>
      <c r="AW9" s="322">
        <f>IF($D9="","",IFERROR(COUNTIF(INDIRECT("'"&amp;$D9&amp;"'!$AE$7:$AE$500"),"Block"),0))</f>
        <v/>
      </c>
      <c r="AX9" s="322">
        <f>IF($D9="","",IFERROR(COUNTIF(INDIRECT("'"&amp;$D9&amp;"'!$AE$7:$AE$500"),"N/A"),0))</f>
        <v/>
      </c>
      <c r="AY9" s="322">
        <f>IF($D9="","",IFERROR(COUNTIF(INDIRECT("'"&amp;$D9&amp;"'!$AJ$7:$AJ$500"),"&lt;&gt;"),0))</f>
        <v/>
      </c>
      <c r="AZ9" s="322">
        <f>IF($D9="","",IFERROR(COUNTIF(INDIRECT("'"&amp;$D9&amp;"'!$AJ$7:$AJ$500"),"Pass"),0))</f>
        <v/>
      </c>
      <c r="BA9" s="322">
        <f>IF($D9="","",IFERROR(COUNTIF(INDIRECT("'"&amp;$D9&amp;"'!$AJ$7:$AJ$500"),"Fail"),0))</f>
        <v/>
      </c>
      <c r="BB9" s="322">
        <f>IF($D9="","",IFERROR(COUNTIF(INDIRECT("'"&amp;$D9&amp;"'!$AJ$7:$AJ$500"),"Block"),0))</f>
        <v/>
      </c>
      <c r="BC9" s="224">
        <f>IF($D9="","",IFERROR(COUNTIF(INDIRECT("'"&amp;$D9&amp;"'!$AJ$7:$AJ$500"),"N/A"),0))</f>
        <v/>
      </c>
    </row>
    <row r="10" ht="15" customHeight="1" s="225">
      <c r="B10" s="317">
        <f>IF($D10="","",ROW()-3)</f>
        <v/>
      </c>
      <c r="C10" s="318" t="inlineStr">
        <is>
          <t>TC_07</t>
        </is>
      </c>
      <c r="D10" s="318" t="inlineStr">
        <is>
          <t>Theo dõi đơn</t>
        </is>
      </c>
      <c r="E10" s="319" t="inlineStr">
        <is>
          <t>Theo dõi đơn (3 vai trò)</t>
        </is>
      </c>
      <c r="F10" s="317">
        <f>IF($D10="","",IFERROR(COUNTIF(INDIRECT("'"&amp;$D10&amp;"'!$C$7:$C$500"),"?*"),0))</f>
        <v/>
      </c>
      <c r="G10" s="317">
        <f>IF($D10="","",IFERROR(COUNTIF(INDIRECT("'"&amp;$D10&amp;"'!$AO$7:$AO$500"),"Pass"),0))</f>
        <v/>
      </c>
      <c r="H10" s="317">
        <f>IF($D10="","",IFERROR(COUNTIF(INDIRECT("'"&amp;$D10&amp;"'!$AO$7:$AO$500"),"Fail"),0))</f>
        <v/>
      </c>
      <c r="I10" s="317">
        <f>IF($D10="","",IFERROR(COUNTIF(INDIRECT("'"&amp;$D10&amp;"'!$AO$7:$AO$500"),"Block"),0))</f>
        <v/>
      </c>
      <c r="J10" s="317">
        <f>IF($D10="","",IFERROR(COUNTIF(INDIRECT("'"&amp;$D10&amp;"'!$AO$7:$AO$500"),"N/A"),0))</f>
        <v/>
      </c>
      <c r="K10" s="317">
        <f>IF($D10="","",MAX(0,$F10-$G10-$H10-$I10-$J10))</f>
        <v/>
      </c>
      <c r="L10" s="317">
        <f>IF($D10="","",$G10+$H10+$I10+$J10)</f>
        <v/>
      </c>
      <c r="M10" s="320">
        <f>IF($D10="","",IFERROR($L10/$F10,0))</f>
        <v/>
      </c>
      <c r="N10" s="320">
        <f>IF($D10="","",IFERROR($G10/$L10,0))</f>
        <v/>
      </c>
      <c r="O10" s="317">
        <f>IF($D10="","",IFERROR(COUNTIF(INDIRECT("'"&amp;$D10&amp;"'!$E$7:$E$500"),"High"),0))</f>
        <v/>
      </c>
      <c r="P10" s="317">
        <f>IF($D10="","",IFERROR(COUNTIF(INDIRECT("'"&amp;$D10&amp;"'!$E$7:$E$500"),"Medium"),0))</f>
        <v/>
      </c>
      <c r="Q10" s="317">
        <f>IF($D10="","",IFERROR(COUNTIF(INDIRECT("'"&amp;$D10&amp;"'!$E$7:$E$500"),"Low"),0))</f>
        <v/>
      </c>
      <c r="R10" s="317">
        <f>IF($D10="","",IFERROR(COUNTIF(INDIRECT("'"&amp;$D10&amp;"'!$D$7:$D$500"),"Functional"),0))</f>
        <v/>
      </c>
      <c r="S10" s="317">
        <f>IF($D10="","",IFERROR(COUNTIF(INDIRECT("'"&amp;$D10&amp;"'!$D$7:$D$500"),"UI"),0))</f>
        <v/>
      </c>
      <c r="T10" s="317">
        <f>IF($D10="","",IFERROR(COUNTIF(INDIRECT("'"&amp;$D10&amp;"'!$D$7:$D$500"),"Integration"),0))</f>
        <v/>
      </c>
      <c r="U10" s="317">
        <f>IF($D10="","",IFERROR(COUNTIF(INDIRECT("'"&amp;$D10&amp;"'!$D$7:$D$500"),"Database Test Case"),0))</f>
        <v/>
      </c>
      <c r="V10" s="317">
        <f>IF($D10="","",IFERROR(COUNTIF(INDIRECT("'"&amp;$D10&amp;"'!$J$7:$J$500"),"AI"),0))</f>
        <v/>
      </c>
      <c r="W10" s="317">
        <f>IF($D10="","",IFERROR(COUNTIF(INDIRECT("'"&amp;$D10&amp;"'!$J$7:$J$500"),"QC"),0))</f>
        <v/>
      </c>
      <c r="X10" s="317">
        <f>IF($D10="","",IFERROR(COUNTIF(INDIRECT("'"&amp;$D10&amp;"'!$L$7:$L$500"),"Yes"),0))</f>
        <v/>
      </c>
      <c r="Y10" s="317">
        <f>IF($D10="","",IFERROR(COUNTIF(INDIRECT("'"&amp;$D10&amp;"'!$AM$7:$AM$500"),"Yes"),0))</f>
        <v/>
      </c>
      <c r="Z10" s="317">
        <f>IF($D10="","",IFERROR(COUNTIF(INDIRECT("'"&amp;$D10&amp;"'!$AN$7:$AN$500"),"Pass"),0))</f>
        <v/>
      </c>
      <c r="AA10" s="317">
        <f>IF($D10="","",IFERROR(COUNTIF(INDIRECT("'"&amp;$D10&amp;"'!$K$7:$K$500"),"Reviewed"),0))</f>
        <v/>
      </c>
      <c r="AB10" s="321">
        <f>IF($D10="","",IFERROR(SUMPRODUCT((INDIRECT("'"&amp;$D10&amp;"'!$E$7:$E$500")="High")*(INDIRECT("'"&amp;$D10&amp;"'!$AO$7:$AO$500")&lt;&gt;"")),0))</f>
        <v/>
      </c>
      <c r="AC10" s="321">
        <f>IF($D10="","",IFERROR(SUMPRODUCT((INDIRECT("'"&amp;$D10&amp;"'!$E$7:$E$500")="Medium")*(INDIRECT("'"&amp;$D10&amp;"'!$AO$7:$AO$500")&lt;&gt;"")),0))</f>
        <v/>
      </c>
      <c r="AD10" s="321">
        <f>IF($D10="","",IFERROR(SUMPRODUCT((INDIRECT("'"&amp;$D10&amp;"'!$E$7:$E$500")="Low")*(INDIRECT("'"&amp;$D10&amp;"'!$AO$7:$AO$500")&lt;&gt;"")),0))</f>
        <v/>
      </c>
      <c r="AE10" s="322">
        <f>IF($D10="","",IFERROR(COUNTIF(INDIRECT("'"&amp;$D10&amp;"'!$P$7:$P$500"),"&lt;&gt;"),0))</f>
        <v/>
      </c>
      <c r="AF10" s="322">
        <f>IF($D10="","",IFERROR(COUNTIF(INDIRECT("'"&amp;$D10&amp;"'!$P$7:$P$500"),"Pass"),0))</f>
        <v/>
      </c>
      <c r="AG10" s="322">
        <f>IF($D10="","",IFERROR(COUNTIF(INDIRECT("'"&amp;$D10&amp;"'!$P$7:$P$500"),"Fail"),0))</f>
        <v/>
      </c>
      <c r="AH10" s="322">
        <f>IF($D10="","",IFERROR(COUNTIF(INDIRECT("'"&amp;$D10&amp;"'!$P$7:$P$500"),"Block"),0))</f>
        <v/>
      </c>
      <c r="AI10" s="322">
        <f>IF($D10="","",IFERROR(COUNTIF(INDIRECT("'"&amp;$D10&amp;"'!$P$7:$P$500"),"N/A"),0))</f>
        <v/>
      </c>
      <c r="AJ10" s="322">
        <f>IF($D10="","",IFERROR(COUNTIF(INDIRECT("'"&amp;$D10&amp;"'!$U$7:$U$500"),"&lt;&gt;"),0))</f>
        <v/>
      </c>
      <c r="AK10" s="322">
        <f>IF($D10="","",IFERROR(COUNTIF(INDIRECT("'"&amp;$D10&amp;"'!$U$7:$U$500"),"Pass"),0))</f>
        <v/>
      </c>
      <c r="AL10" s="322">
        <f>IF($D10="","",IFERROR(COUNTIF(INDIRECT("'"&amp;$D10&amp;"'!$U$7:$U$500"),"Fail"),0))</f>
        <v/>
      </c>
      <c r="AM10" s="322">
        <f>IF($D10="","",IFERROR(COUNTIF(INDIRECT("'"&amp;$D10&amp;"'!$U$7:$U$500"),"Block"),0))</f>
        <v/>
      </c>
      <c r="AN10" s="322">
        <f>IF($D10="","",IFERROR(COUNTIF(INDIRECT("'"&amp;$D10&amp;"'!$U$7:$U$500"),"N/A"),0))</f>
        <v/>
      </c>
      <c r="AO10" s="322">
        <f>IF($D10="","",IFERROR(COUNTIF(INDIRECT("'"&amp;$D10&amp;"'!$Z$7:$Z$500"),"&lt;&gt;"),0))</f>
        <v/>
      </c>
      <c r="AP10" s="322">
        <f>IF($D10="","",IFERROR(COUNTIF(INDIRECT("'"&amp;$D10&amp;"'!$Z$7:$Z$500"),"Pass"),0))</f>
        <v/>
      </c>
      <c r="AQ10" s="322">
        <f>IF($D10="","",IFERROR(COUNTIF(INDIRECT("'"&amp;$D10&amp;"'!$Z$7:$Z$500"),"Fail"),0))</f>
        <v/>
      </c>
      <c r="AR10" s="322">
        <f>IF($D10="","",IFERROR(COUNTIF(INDIRECT("'"&amp;$D10&amp;"'!$Z$7:$Z$500"),"Block"),0))</f>
        <v/>
      </c>
      <c r="AS10" s="322">
        <f>IF($D10="","",IFERROR(COUNTIF(INDIRECT("'"&amp;$D10&amp;"'!$Z$7:$Z$500"),"N/A"),0))</f>
        <v/>
      </c>
      <c r="AT10" s="322">
        <f>IF($D10="","",IFERROR(COUNTIF(INDIRECT("'"&amp;$D10&amp;"'!$AE$7:$AE$500"),"&lt;&gt;"),0))</f>
        <v/>
      </c>
      <c r="AU10" s="322">
        <f>IF($D10="","",IFERROR(COUNTIF(INDIRECT("'"&amp;$D10&amp;"'!$AE$7:$AE$500"),"Pass"),0))</f>
        <v/>
      </c>
      <c r="AV10" s="322">
        <f>IF($D10="","",IFERROR(COUNTIF(INDIRECT("'"&amp;$D10&amp;"'!$AE$7:$AE$500"),"Fail"),0))</f>
        <v/>
      </c>
      <c r="AW10" s="322">
        <f>IF($D10="","",IFERROR(COUNTIF(INDIRECT("'"&amp;$D10&amp;"'!$AE$7:$AE$500"),"Block"),0))</f>
        <v/>
      </c>
      <c r="AX10" s="322">
        <f>IF($D10="","",IFERROR(COUNTIF(INDIRECT("'"&amp;$D10&amp;"'!$AE$7:$AE$500"),"N/A"),0))</f>
        <v/>
      </c>
      <c r="AY10" s="322">
        <f>IF($D10="","",IFERROR(COUNTIF(INDIRECT("'"&amp;$D10&amp;"'!$AJ$7:$AJ$500"),"&lt;&gt;"),0))</f>
        <v/>
      </c>
      <c r="AZ10" s="322">
        <f>IF($D10="","",IFERROR(COUNTIF(INDIRECT("'"&amp;$D10&amp;"'!$AJ$7:$AJ$500"),"Pass"),0))</f>
        <v/>
      </c>
      <c r="BA10" s="322">
        <f>IF($D10="","",IFERROR(COUNTIF(INDIRECT("'"&amp;$D10&amp;"'!$AJ$7:$AJ$500"),"Fail"),0))</f>
        <v/>
      </c>
      <c r="BB10" s="322">
        <f>IF($D10="","",IFERROR(COUNTIF(INDIRECT("'"&amp;$D10&amp;"'!$AJ$7:$AJ$500"),"Block"),0))</f>
        <v/>
      </c>
      <c r="BC10" s="224">
        <f>IF($D10="","",IFERROR(COUNTIF(INDIRECT("'"&amp;$D10&amp;"'!$AJ$7:$AJ$500"),"N/A"),0))</f>
        <v/>
      </c>
    </row>
    <row r="11" ht="15" customHeight="1" s="225">
      <c r="B11" s="317">
        <f>IF($D11="","",ROW()-3)</f>
        <v/>
      </c>
      <c r="C11" s="318" t="inlineStr">
        <is>
          <t>TC_08</t>
        </is>
      </c>
      <c r="D11" s="318" t="inlineStr">
        <is>
          <t>Huỷ đơn</t>
        </is>
      </c>
      <c r="E11" s="319" t="inlineStr">
        <is>
          <t>Huỷ đơn</t>
        </is>
      </c>
      <c r="F11" s="317">
        <f>IF($D11="","",IFERROR(COUNTIF(INDIRECT("'"&amp;$D11&amp;"'!$C$7:$C$500"),"?*"),0))</f>
        <v/>
      </c>
      <c r="G11" s="317">
        <f>IF($D11="","",IFERROR(COUNTIF(INDIRECT("'"&amp;$D11&amp;"'!$AO$7:$AO$500"),"Pass"),0))</f>
        <v/>
      </c>
      <c r="H11" s="317">
        <f>IF($D11="","",IFERROR(COUNTIF(INDIRECT("'"&amp;$D11&amp;"'!$AO$7:$AO$500"),"Fail"),0))</f>
        <v/>
      </c>
      <c r="I11" s="317">
        <f>IF($D11="","",IFERROR(COUNTIF(INDIRECT("'"&amp;$D11&amp;"'!$AO$7:$AO$500"),"Block"),0))</f>
        <v/>
      </c>
      <c r="J11" s="317">
        <f>IF($D11="","",IFERROR(COUNTIF(INDIRECT("'"&amp;$D11&amp;"'!$AO$7:$AO$500"),"N/A"),0))</f>
        <v/>
      </c>
      <c r="K11" s="317">
        <f>IF($D11="","",MAX(0,$F11-$G11-$H11-$I11-$J11))</f>
        <v/>
      </c>
      <c r="L11" s="317">
        <f>IF($D11="","",$G11+$H11+$I11+$J11)</f>
        <v/>
      </c>
      <c r="M11" s="320">
        <f>IF($D11="","",IFERROR($L11/$F11,0))</f>
        <v/>
      </c>
      <c r="N11" s="320">
        <f>IF($D11="","",IFERROR($G11/$L11,0))</f>
        <v/>
      </c>
      <c r="O11" s="317">
        <f>IF($D11="","",IFERROR(COUNTIF(INDIRECT("'"&amp;$D11&amp;"'!$E$7:$E$500"),"High"),0))</f>
        <v/>
      </c>
      <c r="P11" s="317">
        <f>IF($D11="","",IFERROR(COUNTIF(INDIRECT("'"&amp;$D11&amp;"'!$E$7:$E$500"),"Medium"),0))</f>
        <v/>
      </c>
      <c r="Q11" s="317">
        <f>IF($D11="","",IFERROR(COUNTIF(INDIRECT("'"&amp;$D11&amp;"'!$E$7:$E$500"),"Low"),0))</f>
        <v/>
      </c>
      <c r="R11" s="317">
        <f>IF($D11="","",IFERROR(COUNTIF(INDIRECT("'"&amp;$D11&amp;"'!$D$7:$D$500"),"Functional"),0))</f>
        <v/>
      </c>
      <c r="S11" s="317">
        <f>IF($D11="","",IFERROR(COUNTIF(INDIRECT("'"&amp;$D11&amp;"'!$D$7:$D$500"),"UI"),0))</f>
        <v/>
      </c>
      <c r="T11" s="317">
        <f>IF($D11="","",IFERROR(COUNTIF(INDIRECT("'"&amp;$D11&amp;"'!$D$7:$D$500"),"Integration"),0))</f>
        <v/>
      </c>
      <c r="U11" s="317">
        <f>IF($D11="","",IFERROR(COUNTIF(INDIRECT("'"&amp;$D11&amp;"'!$D$7:$D$500"),"Database Test Case"),0))</f>
        <v/>
      </c>
      <c r="V11" s="317">
        <f>IF($D11="","",IFERROR(COUNTIF(INDIRECT("'"&amp;$D11&amp;"'!$J$7:$J$500"),"AI"),0))</f>
        <v/>
      </c>
      <c r="W11" s="317">
        <f>IF($D11="","",IFERROR(COUNTIF(INDIRECT("'"&amp;$D11&amp;"'!$J$7:$J$500"),"QC"),0))</f>
        <v/>
      </c>
      <c r="X11" s="317">
        <f>IF($D11="","",IFERROR(COUNTIF(INDIRECT("'"&amp;$D11&amp;"'!$L$7:$L$500"),"Yes"),0))</f>
        <v/>
      </c>
      <c r="Y11" s="317">
        <f>IF($D11="","",IFERROR(COUNTIF(INDIRECT("'"&amp;$D11&amp;"'!$AM$7:$AM$500"),"Yes"),0))</f>
        <v/>
      </c>
      <c r="Z11" s="317">
        <f>IF($D11="","",IFERROR(COUNTIF(INDIRECT("'"&amp;$D11&amp;"'!$AN$7:$AN$500"),"Pass"),0))</f>
        <v/>
      </c>
      <c r="AA11" s="317">
        <f>IF($D11="","",IFERROR(COUNTIF(INDIRECT("'"&amp;$D11&amp;"'!$K$7:$K$500"),"Reviewed"),0))</f>
        <v/>
      </c>
      <c r="AB11" s="321">
        <f>IF($D11="","",IFERROR(SUMPRODUCT((INDIRECT("'"&amp;$D11&amp;"'!$E$7:$E$500")="High")*(INDIRECT("'"&amp;$D11&amp;"'!$AO$7:$AO$500")&lt;&gt;"")),0))</f>
        <v/>
      </c>
      <c r="AC11" s="321">
        <f>IF($D11="","",IFERROR(SUMPRODUCT((INDIRECT("'"&amp;$D11&amp;"'!$E$7:$E$500")="Medium")*(INDIRECT("'"&amp;$D11&amp;"'!$AO$7:$AO$500")&lt;&gt;"")),0))</f>
        <v/>
      </c>
      <c r="AD11" s="321">
        <f>IF($D11="","",IFERROR(SUMPRODUCT((INDIRECT("'"&amp;$D11&amp;"'!$E$7:$E$500")="Low")*(INDIRECT("'"&amp;$D11&amp;"'!$AO$7:$AO$500")&lt;&gt;"")),0))</f>
        <v/>
      </c>
      <c r="AE11" s="322">
        <f>IF($D11="","",IFERROR(COUNTIF(INDIRECT("'"&amp;$D11&amp;"'!$P$7:$P$500"),"&lt;&gt;"),0))</f>
        <v/>
      </c>
      <c r="AF11" s="322">
        <f>IF($D11="","",IFERROR(COUNTIF(INDIRECT("'"&amp;$D11&amp;"'!$P$7:$P$500"),"Pass"),0))</f>
        <v/>
      </c>
      <c r="AG11" s="322">
        <f>IF($D11="","",IFERROR(COUNTIF(INDIRECT("'"&amp;$D11&amp;"'!$P$7:$P$500"),"Fail"),0))</f>
        <v/>
      </c>
      <c r="AH11" s="322">
        <f>IF($D11="","",IFERROR(COUNTIF(INDIRECT("'"&amp;$D11&amp;"'!$P$7:$P$500"),"Block"),0))</f>
        <v/>
      </c>
      <c r="AI11" s="322">
        <f>IF($D11="","",IFERROR(COUNTIF(INDIRECT("'"&amp;$D11&amp;"'!$P$7:$P$500"),"N/A"),0))</f>
        <v/>
      </c>
      <c r="AJ11" s="322">
        <f>IF($D11="","",IFERROR(COUNTIF(INDIRECT("'"&amp;$D11&amp;"'!$U$7:$U$500"),"&lt;&gt;"),0))</f>
        <v/>
      </c>
      <c r="AK11" s="322">
        <f>IF($D11="","",IFERROR(COUNTIF(INDIRECT("'"&amp;$D11&amp;"'!$U$7:$U$500"),"Pass"),0))</f>
        <v/>
      </c>
      <c r="AL11" s="322">
        <f>IF($D11="","",IFERROR(COUNTIF(INDIRECT("'"&amp;$D11&amp;"'!$U$7:$U$500"),"Fail"),0))</f>
        <v/>
      </c>
      <c r="AM11" s="322">
        <f>IF($D11="","",IFERROR(COUNTIF(INDIRECT("'"&amp;$D11&amp;"'!$U$7:$U$500"),"Block"),0))</f>
        <v/>
      </c>
      <c r="AN11" s="322">
        <f>IF($D11="","",IFERROR(COUNTIF(INDIRECT("'"&amp;$D11&amp;"'!$U$7:$U$500"),"N/A"),0))</f>
        <v/>
      </c>
      <c r="AO11" s="322">
        <f>IF($D11="","",IFERROR(COUNTIF(INDIRECT("'"&amp;$D11&amp;"'!$Z$7:$Z$500"),"&lt;&gt;"),0))</f>
        <v/>
      </c>
      <c r="AP11" s="322">
        <f>IF($D11="","",IFERROR(COUNTIF(INDIRECT("'"&amp;$D11&amp;"'!$Z$7:$Z$500"),"Pass"),0))</f>
        <v/>
      </c>
      <c r="AQ11" s="322">
        <f>IF($D11="","",IFERROR(COUNTIF(INDIRECT("'"&amp;$D11&amp;"'!$Z$7:$Z$500"),"Fail"),0))</f>
        <v/>
      </c>
      <c r="AR11" s="322">
        <f>IF($D11="","",IFERROR(COUNTIF(INDIRECT("'"&amp;$D11&amp;"'!$Z$7:$Z$500"),"Block"),0))</f>
        <v/>
      </c>
      <c r="AS11" s="322">
        <f>IF($D11="","",IFERROR(COUNTIF(INDIRECT("'"&amp;$D11&amp;"'!$Z$7:$Z$500"),"N/A"),0))</f>
        <v/>
      </c>
      <c r="AT11" s="322">
        <f>IF($D11="","",IFERROR(COUNTIF(INDIRECT("'"&amp;$D11&amp;"'!$AE$7:$AE$500"),"&lt;&gt;"),0))</f>
        <v/>
      </c>
      <c r="AU11" s="322">
        <f>IF($D11="","",IFERROR(COUNTIF(INDIRECT("'"&amp;$D11&amp;"'!$AE$7:$AE$500"),"Pass"),0))</f>
        <v/>
      </c>
      <c r="AV11" s="322">
        <f>IF($D11="","",IFERROR(COUNTIF(INDIRECT("'"&amp;$D11&amp;"'!$AE$7:$AE$500"),"Fail"),0))</f>
        <v/>
      </c>
      <c r="AW11" s="322">
        <f>IF($D11="","",IFERROR(COUNTIF(INDIRECT("'"&amp;$D11&amp;"'!$AE$7:$AE$500"),"Block"),0))</f>
        <v/>
      </c>
      <c r="AX11" s="322">
        <f>IF($D11="","",IFERROR(COUNTIF(INDIRECT("'"&amp;$D11&amp;"'!$AE$7:$AE$500"),"N/A"),0))</f>
        <v/>
      </c>
      <c r="AY11" s="322">
        <f>IF($D11="","",IFERROR(COUNTIF(INDIRECT("'"&amp;$D11&amp;"'!$AJ$7:$AJ$500"),"&lt;&gt;"),0))</f>
        <v/>
      </c>
      <c r="AZ11" s="322">
        <f>IF($D11="","",IFERROR(COUNTIF(INDIRECT("'"&amp;$D11&amp;"'!$AJ$7:$AJ$500"),"Pass"),0))</f>
        <v/>
      </c>
      <c r="BA11" s="322">
        <f>IF($D11="","",IFERROR(COUNTIF(INDIRECT("'"&amp;$D11&amp;"'!$AJ$7:$AJ$500"),"Fail"),0))</f>
        <v/>
      </c>
      <c r="BB11" s="322">
        <f>IF($D11="","",IFERROR(COUNTIF(INDIRECT("'"&amp;$D11&amp;"'!$AJ$7:$AJ$500"),"Block"),0))</f>
        <v/>
      </c>
      <c r="BC11" s="224">
        <f>IF($D11="","",IFERROR(COUNTIF(INDIRECT("'"&amp;$D11&amp;"'!$AJ$7:$AJ$500"),"N/A"),0))</f>
        <v/>
      </c>
    </row>
    <row r="12" ht="15" customHeight="1" s="225">
      <c r="B12" s="317">
        <f>IF($D12="","",ROW()-3)</f>
        <v/>
      </c>
      <c r="C12" s="318" t="inlineStr">
        <is>
          <t>TC_09</t>
        </is>
      </c>
      <c r="D12" s="318" t="inlineStr">
        <is>
          <t>Tặng quà</t>
        </is>
      </c>
      <c r="E12" s="319" t="inlineStr">
        <is>
          <t>Tặng quà</t>
        </is>
      </c>
      <c r="F12" s="317">
        <f>IF($D12="","",IFERROR(COUNTIF(INDIRECT("'"&amp;$D12&amp;"'!$C$7:$C$500"),"?*"),0))</f>
        <v/>
      </c>
      <c r="G12" s="317">
        <f>IF($D12="","",IFERROR(COUNTIF(INDIRECT("'"&amp;$D12&amp;"'!$AO$7:$AO$500"),"Pass"),0))</f>
        <v/>
      </c>
      <c r="H12" s="317">
        <f>IF($D12="","",IFERROR(COUNTIF(INDIRECT("'"&amp;$D12&amp;"'!$AO$7:$AO$500"),"Fail"),0))</f>
        <v/>
      </c>
      <c r="I12" s="317">
        <f>IF($D12="","",IFERROR(COUNTIF(INDIRECT("'"&amp;$D12&amp;"'!$AO$7:$AO$500"),"Block"),0))</f>
        <v/>
      </c>
      <c r="J12" s="317">
        <f>IF($D12="","",IFERROR(COUNTIF(INDIRECT("'"&amp;$D12&amp;"'!$AO$7:$AO$500"),"N/A"),0))</f>
        <v/>
      </c>
      <c r="K12" s="317">
        <f>IF($D12="","",MAX(0,$F12-$G12-$H12-$I12-$J12))</f>
        <v/>
      </c>
      <c r="L12" s="317">
        <f>IF($D12="","",$G12+$H12+$I12+$J12)</f>
        <v/>
      </c>
      <c r="M12" s="320">
        <f>IF($D12="","",IFERROR($L12/$F12,0))</f>
        <v/>
      </c>
      <c r="N12" s="320">
        <f>IF($D12="","",IFERROR($G12/$L12,0))</f>
        <v/>
      </c>
      <c r="O12" s="317">
        <f>IF($D12="","",IFERROR(COUNTIF(INDIRECT("'"&amp;$D12&amp;"'!$E$7:$E$500"),"High"),0))</f>
        <v/>
      </c>
      <c r="P12" s="317">
        <f>IF($D12="","",IFERROR(COUNTIF(INDIRECT("'"&amp;$D12&amp;"'!$E$7:$E$500"),"Medium"),0))</f>
        <v/>
      </c>
      <c r="Q12" s="317">
        <f>IF($D12="","",IFERROR(COUNTIF(INDIRECT("'"&amp;$D12&amp;"'!$E$7:$E$500"),"Low"),0))</f>
        <v/>
      </c>
      <c r="R12" s="317">
        <f>IF($D12="","",IFERROR(COUNTIF(INDIRECT("'"&amp;$D12&amp;"'!$D$7:$D$500"),"Functional"),0))</f>
        <v/>
      </c>
      <c r="S12" s="317">
        <f>IF($D12="","",IFERROR(COUNTIF(INDIRECT("'"&amp;$D12&amp;"'!$D$7:$D$500"),"UI"),0))</f>
        <v/>
      </c>
      <c r="T12" s="317">
        <f>IF($D12="","",IFERROR(COUNTIF(INDIRECT("'"&amp;$D12&amp;"'!$D$7:$D$500"),"Integration"),0))</f>
        <v/>
      </c>
      <c r="U12" s="317">
        <f>IF($D12="","",IFERROR(COUNTIF(INDIRECT("'"&amp;$D12&amp;"'!$D$7:$D$500"),"Database Test Case"),0))</f>
        <v/>
      </c>
      <c r="V12" s="317">
        <f>IF($D12="","",IFERROR(COUNTIF(INDIRECT("'"&amp;$D12&amp;"'!$J$7:$J$500"),"AI"),0))</f>
        <v/>
      </c>
      <c r="W12" s="317">
        <f>IF($D12="","",IFERROR(COUNTIF(INDIRECT("'"&amp;$D12&amp;"'!$J$7:$J$500"),"QC"),0))</f>
        <v/>
      </c>
      <c r="X12" s="317">
        <f>IF($D12="","",IFERROR(COUNTIF(INDIRECT("'"&amp;$D12&amp;"'!$L$7:$L$500"),"Yes"),0))</f>
        <v/>
      </c>
      <c r="Y12" s="317">
        <f>IF($D12="","",IFERROR(COUNTIF(INDIRECT("'"&amp;$D12&amp;"'!$AM$7:$AM$500"),"Yes"),0))</f>
        <v/>
      </c>
      <c r="Z12" s="317">
        <f>IF($D12="","",IFERROR(COUNTIF(INDIRECT("'"&amp;$D12&amp;"'!$AN$7:$AN$500"),"Pass"),0))</f>
        <v/>
      </c>
      <c r="AA12" s="317">
        <f>IF($D12="","",IFERROR(COUNTIF(INDIRECT("'"&amp;$D12&amp;"'!$K$7:$K$500"),"Reviewed"),0))</f>
        <v/>
      </c>
      <c r="AB12" s="321">
        <f>IF($D12="","",IFERROR(SUMPRODUCT((INDIRECT("'"&amp;$D12&amp;"'!$E$7:$E$500")="High")*(INDIRECT("'"&amp;$D12&amp;"'!$AO$7:$AO$500")&lt;&gt;"")),0))</f>
        <v/>
      </c>
      <c r="AC12" s="321">
        <f>IF($D12="","",IFERROR(SUMPRODUCT((INDIRECT("'"&amp;$D12&amp;"'!$E$7:$E$500")="Medium")*(INDIRECT("'"&amp;$D12&amp;"'!$AO$7:$AO$500")&lt;&gt;"")),0))</f>
        <v/>
      </c>
      <c r="AD12" s="321">
        <f>IF($D12="","",IFERROR(SUMPRODUCT((INDIRECT("'"&amp;$D12&amp;"'!$E$7:$E$500")="Low")*(INDIRECT("'"&amp;$D12&amp;"'!$AO$7:$AO$500")&lt;&gt;"")),0))</f>
        <v/>
      </c>
      <c r="AE12" s="322">
        <f>IF($D12="","",IFERROR(COUNTIF(INDIRECT("'"&amp;$D12&amp;"'!$P$7:$P$500"),"&lt;&gt;"),0))</f>
        <v/>
      </c>
      <c r="AF12" s="322">
        <f>IF($D12="","",IFERROR(COUNTIF(INDIRECT("'"&amp;$D12&amp;"'!$P$7:$P$500"),"Pass"),0))</f>
        <v/>
      </c>
      <c r="AG12" s="322">
        <f>IF($D12="","",IFERROR(COUNTIF(INDIRECT("'"&amp;$D12&amp;"'!$P$7:$P$500"),"Fail"),0))</f>
        <v/>
      </c>
      <c r="AH12" s="322">
        <f>IF($D12="","",IFERROR(COUNTIF(INDIRECT("'"&amp;$D12&amp;"'!$P$7:$P$500"),"Block"),0))</f>
        <v/>
      </c>
      <c r="AI12" s="322">
        <f>IF($D12="","",IFERROR(COUNTIF(INDIRECT("'"&amp;$D12&amp;"'!$P$7:$P$500"),"N/A"),0))</f>
        <v/>
      </c>
      <c r="AJ12" s="322">
        <f>IF($D12="","",IFERROR(COUNTIF(INDIRECT("'"&amp;$D12&amp;"'!$U$7:$U$500"),"&lt;&gt;"),0))</f>
        <v/>
      </c>
      <c r="AK12" s="322">
        <f>IF($D12="","",IFERROR(COUNTIF(INDIRECT("'"&amp;$D12&amp;"'!$U$7:$U$500"),"Pass"),0))</f>
        <v/>
      </c>
      <c r="AL12" s="322">
        <f>IF($D12="","",IFERROR(COUNTIF(INDIRECT("'"&amp;$D12&amp;"'!$U$7:$U$500"),"Fail"),0))</f>
        <v/>
      </c>
      <c r="AM12" s="322">
        <f>IF($D12="","",IFERROR(COUNTIF(INDIRECT("'"&amp;$D12&amp;"'!$U$7:$U$500"),"Block"),0))</f>
        <v/>
      </c>
      <c r="AN12" s="322">
        <f>IF($D12="","",IFERROR(COUNTIF(INDIRECT("'"&amp;$D12&amp;"'!$U$7:$U$500"),"N/A"),0))</f>
        <v/>
      </c>
      <c r="AO12" s="322">
        <f>IF($D12="","",IFERROR(COUNTIF(INDIRECT("'"&amp;$D12&amp;"'!$Z$7:$Z$500"),"&lt;&gt;"),0))</f>
        <v/>
      </c>
      <c r="AP12" s="322">
        <f>IF($D12="","",IFERROR(COUNTIF(INDIRECT("'"&amp;$D12&amp;"'!$Z$7:$Z$500"),"Pass"),0))</f>
        <v/>
      </c>
      <c r="AQ12" s="322">
        <f>IF($D12="","",IFERROR(COUNTIF(INDIRECT("'"&amp;$D12&amp;"'!$Z$7:$Z$500"),"Fail"),0))</f>
        <v/>
      </c>
      <c r="AR12" s="322">
        <f>IF($D12="","",IFERROR(COUNTIF(INDIRECT("'"&amp;$D12&amp;"'!$Z$7:$Z$500"),"Block"),0))</f>
        <v/>
      </c>
      <c r="AS12" s="322">
        <f>IF($D12="","",IFERROR(COUNTIF(INDIRECT("'"&amp;$D12&amp;"'!$Z$7:$Z$500"),"N/A"),0))</f>
        <v/>
      </c>
      <c r="AT12" s="322">
        <f>IF($D12="","",IFERROR(COUNTIF(INDIRECT("'"&amp;$D12&amp;"'!$AE$7:$AE$500"),"&lt;&gt;"),0))</f>
        <v/>
      </c>
      <c r="AU12" s="322">
        <f>IF($D12="","",IFERROR(COUNTIF(INDIRECT("'"&amp;$D12&amp;"'!$AE$7:$AE$500"),"Pass"),0))</f>
        <v/>
      </c>
      <c r="AV12" s="322">
        <f>IF($D12="","",IFERROR(COUNTIF(INDIRECT("'"&amp;$D12&amp;"'!$AE$7:$AE$500"),"Fail"),0))</f>
        <v/>
      </c>
      <c r="AW12" s="322">
        <f>IF($D12="","",IFERROR(COUNTIF(INDIRECT("'"&amp;$D12&amp;"'!$AE$7:$AE$500"),"Block"),0))</f>
        <v/>
      </c>
      <c r="AX12" s="322">
        <f>IF($D12="","",IFERROR(COUNTIF(INDIRECT("'"&amp;$D12&amp;"'!$AE$7:$AE$500"),"N/A"),0))</f>
        <v/>
      </c>
      <c r="AY12" s="322">
        <f>IF($D12="","",IFERROR(COUNTIF(INDIRECT("'"&amp;$D12&amp;"'!$AJ$7:$AJ$500"),"&lt;&gt;"),0))</f>
        <v/>
      </c>
      <c r="AZ12" s="322">
        <f>IF($D12="","",IFERROR(COUNTIF(INDIRECT("'"&amp;$D12&amp;"'!$AJ$7:$AJ$500"),"Pass"),0))</f>
        <v/>
      </c>
      <c r="BA12" s="322">
        <f>IF($D12="","",IFERROR(COUNTIF(INDIRECT("'"&amp;$D12&amp;"'!$AJ$7:$AJ$500"),"Fail"),0))</f>
        <v/>
      </c>
      <c r="BB12" s="322">
        <f>IF($D12="","",IFERROR(COUNTIF(INDIRECT("'"&amp;$D12&amp;"'!$AJ$7:$AJ$500"),"Block"),0))</f>
        <v/>
      </c>
      <c r="BC12" s="224">
        <f>IF($D12="","",IFERROR(COUNTIF(INDIRECT("'"&amp;$D12&amp;"'!$AJ$7:$AJ$500"),"N/A"),0))</f>
        <v/>
      </c>
    </row>
    <row r="13" ht="15" customHeight="1" s="225">
      <c r="B13" s="317">
        <f>IF($D13="","",ROW()-3)</f>
        <v/>
      </c>
      <c r="C13" s="318" t="n"/>
      <c r="D13" s="318" t="n"/>
      <c r="E13" s="319" t="n"/>
      <c r="F13" s="317">
        <f>IF($D13="","",IFERROR(COUNTIF(INDIRECT("'"&amp;$D13&amp;"'!$C$7:$C$500"),"?*"),0))</f>
        <v/>
      </c>
      <c r="G13" s="317">
        <f>IF($D13="","",IFERROR(COUNTIF(INDIRECT("'"&amp;$D13&amp;"'!$AO$7:$AO$500"),"Pass"),0))</f>
        <v/>
      </c>
      <c r="H13" s="317">
        <f>IF($D13="","",IFERROR(COUNTIF(INDIRECT("'"&amp;$D13&amp;"'!$AO$7:$AO$500"),"Fail"),0))</f>
        <v/>
      </c>
      <c r="I13" s="317">
        <f>IF($D13="","",IFERROR(COUNTIF(INDIRECT("'"&amp;$D13&amp;"'!$AO$7:$AO$500"),"Block"),0))</f>
        <v/>
      </c>
      <c r="J13" s="317">
        <f>IF($D13="","",IFERROR(COUNTIF(INDIRECT("'"&amp;$D13&amp;"'!$AO$7:$AO$500"),"N/A"),0))</f>
        <v/>
      </c>
      <c r="K13" s="317">
        <f>IF($D13="","",MAX(0,$F13-$G13-$H13-$I13-$J13))</f>
        <v/>
      </c>
      <c r="L13" s="317">
        <f>IF($D13="","",$G13+$H13+$I13+$J13)</f>
        <v/>
      </c>
      <c r="M13" s="320">
        <f>IF($D13="","",IFERROR($L13/$F13,0))</f>
        <v/>
      </c>
      <c r="N13" s="320">
        <f>IF($D13="","",IFERROR($G13/$L13,0))</f>
        <v/>
      </c>
      <c r="O13" s="317">
        <f>IF($D13="","",IFERROR(COUNTIF(INDIRECT("'"&amp;$D13&amp;"'!$E$7:$E$500"),"High"),0))</f>
        <v/>
      </c>
      <c r="P13" s="317">
        <f>IF($D13="","",IFERROR(COUNTIF(INDIRECT("'"&amp;$D13&amp;"'!$E$7:$E$500"),"Medium"),0))</f>
        <v/>
      </c>
      <c r="Q13" s="317">
        <f>IF($D13="","",IFERROR(COUNTIF(INDIRECT("'"&amp;$D13&amp;"'!$E$7:$E$500"),"Low"),0))</f>
        <v/>
      </c>
      <c r="R13" s="317">
        <f>IF($D13="","",IFERROR(COUNTIF(INDIRECT("'"&amp;$D13&amp;"'!$D$7:$D$500"),"Functional"),0))</f>
        <v/>
      </c>
      <c r="S13" s="317">
        <f>IF($D13="","",IFERROR(COUNTIF(INDIRECT("'"&amp;$D13&amp;"'!$D$7:$D$500"),"UI"),0))</f>
        <v/>
      </c>
      <c r="T13" s="317">
        <f>IF($D13="","",IFERROR(COUNTIF(INDIRECT("'"&amp;$D13&amp;"'!$D$7:$D$500"),"Integration"),0))</f>
        <v/>
      </c>
      <c r="U13" s="317">
        <f>IF($D13="","",IFERROR(COUNTIF(INDIRECT("'"&amp;$D13&amp;"'!$D$7:$D$500"),"Database Test Case"),0))</f>
        <v/>
      </c>
      <c r="V13" s="317">
        <f>IF($D13="","",IFERROR(COUNTIF(INDIRECT("'"&amp;$D13&amp;"'!$J$7:$J$500"),"AI"),0))</f>
        <v/>
      </c>
      <c r="W13" s="317">
        <f>IF($D13="","",IFERROR(COUNTIF(INDIRECT("'"&amp;$D13&amp;"'!$J$7:$J$500"),"QC"),0))</f>
        <v/>
      </c>
      <c r="X13" s="317">
        <f>IF($D13="","",IFERROR(COUNTIF(INDIRECT("'"&amp;$D13&amp;"'!$L$7:$L$500"),"Yes"),0))</f>
        <v/>
      </c>
      <c r="Y13" s="317">
        <f>IF($D13="","",IFERROR(COUNTIF(INDIRECT("'"&amp;$D13&amp;"'!$AM$7:$AM$500"),"Yes"),0))</f>
        <v/>
      </c>
      <c r="Z13" s="317">
        <f>IF($D13="","",IFERROR(COUNTIF(INDIRECT("'"&amp;$D13&amp;"'!$AN$7:$AN$500"),"Pass"),0))</f>
        <v/>
      </c>
      <c r="AA13" s="317">
        <f>IF($D13="","",IFERROR(COUNTIF(INDIRECT("'"&amp;$D13&amp;"'!$K$7:$K$500"),"Reviewed"),0))</f>
        <v/>
      </c>
      <c r="AB13" s="321">
        <f>IF($D13="","",IFERROR(SUMPRODUCT((INDIRECT("'"&amp;$D13&amp;"'!$E$7:$E$500")="High")*(INDIRECT("'"&amp;$D13&amp;"'!$AO$7:$AO$500")&lt;&gt;"")),0))</f>
        <v/>
      </c>
      <c r="AC13" s="321">
        <f>IF($D13="","",IFERROR(SUMPRODUCT((INDIRECT("'"&amp;$D13&amp;"'!$E$7:$E$500")="Medium")*(INDIRECT("'"&amp;$D13&amp;"'!$AO$7:$AO$500")&lt;&gt;"")),0))</f>
        <v/>
      </c>
      <c r="AD13" s="321">
        <f>IF($D13="","",IFERROR(SUMPRODUCT((INDIRECT("'"&amp;$D13&amp;"'!$E$7:$E$500")="Low")*(INDIRECT("'"&amp;$D13&amp;"'!$AO$7:$AO$500")&lt;&gt;"")),0))</f>
        <v/>
      </c>
      <c r="AE13" s="322">
        <f>IF($D13="","",IFERROR(COUNTIF(INDIRECT("'"&amp;$D13&amp;"'!$P$7:$P$500"),"&lt;&gt;"),0))</f>
        <v/>
      </c>
      <c r="AF13" s="322">
        <f>IF($D13="","",IFERROR(COUNTIF(INDIRECT("'"&amp;$D13&amp;"'!$P$7:$P$500"),"Pass"),0))</f>
        <v/>
      </c>
      <c r="AG13" s="322">
        <f>IF($D13="","",IFERROR(COUNTIF(INDIRECT("'"&amp;$D13&amp;"'!$P$7:$P$500"),"Fail"),0))</f>
        <v/>
      </c>
      <c r="AH13" s="322">
        <f>IF($D13="","",IFERROR(COUNTIF(INDIRECT("'"&amp;$D13&amp;"'!$P$7:$P$500"),"Block"),0))</f>
        <v/>
      </c>
      <c r="AI13" s="322">
        <f>IF($D13="","",IFERROR(COUNTIF(INDIRECT("'"&amp;$D13&amp;"'!$P$7:$P$500"),"N/A"),0))</f>
        <v/>
      </c>
      <c r="AJ13" s="322">
        <f>IF($D13="","",IFERROR(COUNTIF(INDIRECT("'"&amp;$D13&amp;"'!$U$7:$U$500"),"&lt;&gt;"),0))</f>
        <v/>
      </c>
      <c r="AK13" s="322">
        <f>IF($D13="","",IFERROR(COUNTIF(INDIRECT("'"&amp;$D13&amp;"'!$U$7:$U$500"),"Pass"),0))</f>
        <v/>
      </c>
      <c r="AL13" s="322">
        <f>IF($D13="","",IFERROR(COUNTIF(INDIRECT("'"&amp;$D13&amp;"'!$U$7:$U$500"),"Fail"),0))</f>
        <v/>
      </c>
      <c r="AM13" s="322">
        <f>IF($D13="","",IFERROR(COUNTIF(INDIRECT("'"&amp;$D13&amp;"'!$U$7:$U$500"),"Block"),0))</f>
        <v/>
      </c>
      <c r="AN13" s="322">
        <f>IF($D13="","",IFERROR(COUNTIF(INDIRECT("'"&amp;$D13&amp;"'!$U$7:$U$500"),"N/A"),0))</f>
        <v/>
      </c>
      <c r="AO13" s="322">
        <f>IF($D13="","",IFERROR(COUNTIF(INDIRECT("'"&amp;$D13&amp;"'!$Z$7:$Z$500"),"&lt;&gt;"),0))</f>
        <v/>
      </c>
      <c r="AP13" s="322">
        <f>IF($D13="","",IFERROR(COUNTIF(INDIRECT("'"&amp;$D13&amp;"'!$Z$7:$Z$500"),"Pass"),0))</f>
        <v/>
      </c>
      <c r="AQ13" s="322">
        <f>IF($D13="","",IFERROR(COUNTIF(INDIRECT("'"&amp;$D13&amp;"'!$Z$7:$Z$500"),"Fail"),0))</f>
        <v/>
      </c>
      <c r="AR13" s="322">
        <f>IF($D13="","",IFERROR(COUNTIF(INDIRECT("'"&amp;$D13&amp;"'!$Z$7:$Z$500"),"Block"),0))</f>
        <v/>
      </c>
      <c r="AS13" s="322">
        <f>IF($D13="","",IFERROR(COUNTIF(INDIRECT("'"&amp;$D13&amp;"'!$Z$7:$Z$500"),"N/A"),0))</f>
        <v/>
      </c>
      <c r="AT13" s="322">
        <f>IF($D13="","",IFERROR(COUNTIF(INDIRECT("'"&amp;$D13&amp;"'!$AE$7:$AE$500"),"&lt;&gt;"),0))</f>
        <v/>
      </c>
      <c r="AU13" s="322">
        <f>IF($D13="","",IFERROR(COUNTIF(INDIRECT("'"&amp;$D13&amp;"'!$AE$7:$AE$500"),"Pass"),0))</f>
        <v/>
      </c>
      <c r="AV13" s="322">
        <f>IF($D13="","",IFERROR(COUNTIF(INDIRECT("'"&amp;$D13&amp;"'!$AE$7:$AE$500"),"Fail"),0))</f>
        <v/>
      </c>
      <c r="AW13" s="322">
        <f>IF($D13="","",IFERROR(COUNTIF(INDIRECT("'"&amp;$D13&amp;"'!$AE$7:$AE$500"),"Block"),0))</f>
        <v/>
      </c>
      <c r="AX13" s="322">
        <f>IF($D13="","",IFERROR(COUNTIF(INDIRECT("'"&amp;$D13&amp;"'!$AE$7:$AE$500"),"N/A"),0))</f>
        <v/>
      </c>
      <c r="AY13" s="322">
        <f>IF($D13="","",IFERROR(COUNTIF(INDIRECT("'"&amp;$D13&amp;"'!$AJ$7:$AJ$500"),"&lt;&gt;"),0))</f>
        <v/>
      </c>
      <c r="AZ13" s="322">
        <f>IF($D13="","",IFERROR(COUNTIF(INDIRECT("'"&amp;$D13&amp;"'!$AJ$7:$AJ$500"),"Pass"),0))</f>
        <v/>
      </c>
      <c r="BA13" s="322">
        <f>IF($D13="","",IFERROR(COUNTIF(INDIRECT("'"&amp;$D13&amp;"'!$AJ$7:$AJ$500"),"Fail"),0))</f>
        <v/>
      </c>
      <c r="BB13" s="322">
        <f>IF($D13="","",IFERROR(COUNTIF(INDIRECT("'"&amp;$D13&amp;"'!$AJ$7:$AJ$500"),"Block"),0))</f>
        <v/>
      </c>
      <c r="BC13" s="224">
        <f>IF($D13="","",IFERROR(COUNTIF(INDIRECT("'"&amp;$D13&amp;"'!$AJ$7:$AJ$500"),"N/A"),0))</f>
        <v/>
      </c>
    </row>
    <row r="14" ht="15" customHeight="1" s="225">
      <c r="B14" s="317">
        <f>IF($D14="","",ROW()-3)</f>
        <v/>
      </c>
      <c r="C14" s="318" t="n"/>
      <c r="D14" s="318" t="n"/>
      <c r="E14" s="319" t="n"/>
      <c r="F14" s="317">
        <f>IF($D14="","",IFERROR(COUNTIF(INDIRECT("'"&amp;$D14&amp;"'!$C$7:$C$500"),"?*"),0))</f>
        <v/>
      </c>
      <c r="G14" s="317">
        <f>IF($D14="","",IFERROR(COUNTIF(INDIRECT("'"&amp;$D14&amp;"'!$AO$7:$AO$500"),"Pass"),0))</f>
        <v/>
      </c>
      <c r="H14" s="317">
        <f>IF($D14="","",IFERROR(COUNTIF(INDIRECT("'"&amp;$D14&amp;"'!$AO$7:$AO$500"),"Fail"),0))</f>
        <v/>
      </c>
      <c r="I14" s="317">
        <f>IF($D14="","",IFERROR(COUNTIF(INDIRECT("'"&amp;$D14&amp;"'!$AO$7:$AO$500"),"Block"),0))</f>
        <v/>
      </c>
      <c r="J14" s="317">
        <f>IF($D14="","",IFERROR(COUNTIF(INDIRECT("'"&amp;$D14&amp;"'!$AO$7:$AO$500"),"N/A"),0))</f>
        <v/>
      </c>
      <c r="K14" s="317">
        <f>IF($D14="","",MAX(0,$F14-$G14-$H14-$I14-$J14))</f>
        <v/>
      </c>
      <c r="L14" s="317">
        <f>IF($D14="","",$G14+$H14+$I14+$J14)</f>
        <v/>
      </c>
      <c r="M14" s="320">
        <f>IF($D14="","",IFERROR($L14/$F14,0))</f>
        <v/>
      </c>
      <c r="N14" s="320">
        <f>IF($D14="","",IFERROR($G14/$L14,0))</f>
        <v/>
      </c>
      <c r="O14" s="317">
        <f>IF($D14="","",IFERROR(COUNTIF(INDIRECT("'"&amp;$D14&amp;"'!$E$7:$E$500"),"High"),0))</f>
        <v/>
      </c>
      <c r="P14" s="317">
        <f>IF($D14="","",IFERROR(COUNTIF(INDIRECT("'"&amp;$D14&amp;"'!$E$7:$E$500"),"Medium"),0))</f>
        <v/>
      </c>
      <c r="Q14" s="317">
        <f>IF($D14="","",IFERROR(COUNTIF(INDIRECT("'"&amp;$D14&amp;"'!$E$7:$E$500"),"Low"),0))</f>
        <v/>
      </c>
      <c r="R14" s="317">
        <f>IF($D14="","",IFERROR(COUNTIF(INDIRECT("'"&amp;$D14&amp;"'!$D$7:$D$500"),"Functional"),0))</f>
        <v/>
      </c>
      <c r="S14" s="317">
        <f>IF($D14="","",IFERROR(COUNTIF(INDIRECT("'"&amp;$D14&amp;"'!$D$7:$D$500"),"UI"),0))</f>
        <v/>
      </c>
      <c r="T14" s="317">
        <f>IF($D14="","",IFERROR(COUNTIF(INDIRECT("'"&amp;$D14&amp;"'!$D$7:$D$500"),"Integration"),0))</f>
        <v/>
      </c>
      <c r="U14" s="317">
        <f>IF($D14="","",IFERROR(COUNTIF(INDIRECT("'"&amp;$D14&amp;"'!$D$7:$D$500"),"Database Test Case"),0))</f>
        <v/>
      </c>
      <c r="V14" s="317">
        <f>IF($D14="","",IFERROR(COUNTIF(INDIRECT("'"&amp;$D14&amp;"'!$J$7:$J$500"),"AI"),0))</f>
        <v/>
      </c>
      <c r="W14" s="317">
        <f>IF($D14="","",IFERROR(COUNTIF(INDIRECT("'"&amp;$D14&amp;"'!$J$7:$J$500"),"QC"),0))</f>
        <v/>
      </c>
      <c r="X14" s="317">
        <f>IF($D14="","",IFERROR(COUNTIF(INDIRECT("'"&amp;$D14&amp;"'!$L$7:$L$500"),"Yes"),0))</f>
        <v/>
      </c>
      <c r="Y14" s="317">
        <f>IF($D14="","",IFERROR(COUNTIF(INDIRECT("'"&amp;$D14&amp;"'!$AM$7:$AM$500"),"Yes"),0))</f>
        <v/>
      </c>
      <c r="Z14" s="317">
        <f>IF($D14="","",IFERROR(COUNTIF(INDIRECT("'"&amp;$D14&amp;"'!$AN$7:$AN$500"),"Pass"),0))</f>
        <v/>
      </c>
      <c r="AA14" s="317">
        <f>IF($D14="","",IFERROR(COUNTIF(INDIRECT("'"&amp;$D14&amp;"'!$K$7:$K$500"),"Reviewed"),0))</f>
        <v/>
      </c>
      <c r="AB14" s="321">
        <f>IF($D14="","",IFERROR(SUMPRODUCT((INDIRECT("'"&amp;$D14&amp;"'!$E$7:$E$500")="High")*(INDIRECT("'"&amp;$D14&amp;"'!$AO$7:$AO$500")&lt;&gt;"")),0))</f>
        <v/>
      </c>
      <c r="AC14" s="321">
        <f>IF($D14="","",IFERROR(SUMPRODUCT((INDIRECT("'"&amp;$D14&amp;"'!$E$7:$E$500")="Medium")*(INDIRECT("'"&amp;$D14&amp;"'!$AO$7:$AO$500")&lt;&gt;"")),0))</f>
        <v/>
      </c>
      <c r="AD14" s="321">
        <f>IF($D14="","",IFERROR(SUMPRODUCT((INDIRECT("'"&amp;$D14&amp;"'!$E$7:$E$500")="Low")*(INDIRECT("'"&amp;$D14&amp;"'!$AO$7:$AO$500")&lt;&gt;"")),0))</f>
        <v/>
      </c>
      <c r="AE14" s="322">
        <f>IF($D14="","",IFERROR(COUNTIF(INDIRECT("'"&amp;$D14&amp;"'!$P$7:$P$500"),"&lt;&gt;"),0))</f>
        <v/>
      </c>
      <c r="AF14" s="322">
        <f>IF($D14="","",IFERROR(COUNTIF(INDIRECT("'"&amp;$D14&amp;"'!$P$7:$P$500"),"Pass"),0))</f>
        <v/>
      </c>
      <c r="AG14" s="322">
        <f>IF($D14="","",IFERROR(COUNTIF(INDIRECT("'"&amp;$D14&amp;"'!$P$7:$P$500"),"Fail"),0))</f>
        <v/>
      </c>
      <c r="AH14" s="322">
        <f>IF($D14="","",IFERROR(COUNTIF(INDIRECT("'"&amp;$D14&amp;"'!$P$7:$P$500"),"Block"),0))</f>
        <v/>
      </c>
      <c r="AI14" s="322">
        <f>IF($D14="","",IFERROR(COUNTIF(INDIRECT("'"&amp;$D14&amp;"'!$P$7:$P$500"),"N/A"),0))</f>
        <v/>
      </c>
      <c r="AJ14" s="322">
        <f>IF($D14="","",IFERROR(COUNTIF(INDIRECT("'"&amp;$D14&amp;"'!$U$7:$U$500"),"&lt;&gt;"),0))</f>
        <v/>
      </c>
      <c r="AK14" s="322">
        <f>IF($D14="","",IFERROR(COUNTIF(INDIRECT("'"&amp;$D14&amp;"'!$U$7:$U$500"),"Pass"),0))</f>
        <v/>
      </c>
      <c r="AL14" s="322">
        <f>IF($D14="","",IFERROR(COUNTIF(INDIRECT("'"&amp;$D14&amp;"'!$U$7:$U$500"),"Fail"),0))</f>
        <v/>
      </c>
      <c r="AM14" s="322">
        <f>IF($D14="","",IFERROR(COUNTIF(INDIRECT("'"&amp;$D14&amp;"'!$U$7:$U$500"),"Block"),0))</f>
        <v/>
      </c>
      <c r="AN14" s="322">
        <f>IF($D14="","",IFERROR(COUNTIF(INDIRECT("'"&amp;$D14&amp;"'!$U$7:$U$500"),"N/A"),0))</f>
        <v/>
      </c>
      <c r="AO14" s="322">
        <f>IF($D14="","",IFERROR(COUNTIF(INDIRECT("'"&amp;$D14&amp;"'!$Z$7:$Z$500"),"&lt;&gt;"),0))</f>
        <v/>
      </c>
      <c r="AP14" s="322">
        <f>IF($D14="","",IFERROR(COUNTIF(INDIRECT("'"&amp;$D14&amp;"'!$Z$7:$Z$500"),"Pass"),0))</f>
        <v/>
      </c>
      <c r="AQ14" s="322">
        <f>IF($D14="","",IFERROR(COUNTIF(INDIRECT("'"&amp;$D14&amp;"'!$Z$7:$Z$500"),"Fail"),0))</f>
        <v/>
      </c>
      <c r="AR14" s="322">
        <f>IF($D14="","",IFERROR(COUNTIF(INDIRECT("'"&amp;$D14&amp;"'!$Z$7:$Z$500"),"Block"),0))</f>
        <v/>
      </c>
      <c r="AS14" s="322">
        <f>IF($D14="","",IFERROR(COUNTIF(INDIRECT("'"&amp;$D14&amp;"'!$Z$7:$Z$500"),"N/A"),0))</f>
        <v/>
      </c>
      <c r="AT14" s="322">
        <f>IF($D14="","",IFERROR(COUNTIF(INDIRECT("'"&amp;$D14&amp;"'!$AE$7:$AE$500"),"&lt;&gt;"),0))</f>
        <v/>
      </c>
      <c r="AU14" s="322">
        <f>IF($D14="","",IFERROR(COUNTIF(INDIRECT("'"&amp;$D14&amp;"'!$AE$7:$AE$500"),"Pass"),0))</f>
        <v/>
      </c>
      <c r="AV14" s="322">
        <f>IF($D14="","",IFERROR(COUNTIF(INDIRECT("'"&amp;$D14&amp;"'!$AE$7:$AE$500"),"Fail"),0))</f>
        <v/>
      </c>
      <c r="AW14" s="322">
        <f>IF($D14="","",IFERROR(COUNTIF(INDIRECT("'"&amp;$D14&amp;"'!$AE$7:$AE$500"),"Block"),0))</f>
        <v/>
      </c>
      <c r="AX14" s="322">
        <f>IF($D14="","",IFERROR(COUNTIF(INDIRECT("'"&amp;$D14&amp;"'!$AE$7:$AE$500"),"N/A"),0))</f>
        <v/>
      </c>
      <c r="AY14" s="322">
        <f>IF($D14="","",IFERROR(COUNTIF(INDIRECT("'"&amp;$D14&amp;"'!$AJ$7:$AJ$500"),"&lt;&gt;"),0))</f>
        <v/>
      </c>
      <c r="AZ14" s="322">
        <f>IF($D14="","",IFERROR(COUNTIF(INDIRECT("'"&amp;$D14&amp;"'!$AJ$7:$AJ$500"),"Pass"),0))</f>
        <v/>
      </c>
      <c r="BA14" s="322">
        <f>IF($D14="","",IFERROR(COUNTIF(INDIRECT("'"&amp;$D14&amp;"'!$AJ$7:$AJ$500"),"Fail"),0))</f>
        <v/>
      </c>
      <c r="BB14" s="322">
        <f>IF($D14="","",IFERROR(COUNTIF(INDIRECT("'"&amp;$D14&amp;"'!$AJ$7:$AJ$500"),"Block"),0))</f>
        <v/>
      </c>
      <c r="BC14" s="224">
        <f>IF($D14="","",IFERROR(COUNTIF(INDIRECT("'"&amp;$D14&amp;"'!$AJ$7:$AJ$500"),"N/A"),0))</f>
        <v/>
      </c>
    </row>
    <row r="15" ht="15" customHeight="1" s="225">
      <c r="B15" s="317">
        <f>IF($D15="","",ROW()-3)</f>
        <v/>
      </c>
      <c r="C15" s="318" t="n"/>
      <c r="D15" s="318" t="n"/>
      <c r="E15" s="319" t="n"/>
      <c r="F15" s="317">
        <f>IF($D15="","",IFERROR(COUNTIF(INDIRECT("'"&amp;$D15&amp;"'!$C$7:$C$500"),"?*"),0))</f>
        <v/>
      </c>
      <c r="G15" s="317">
        <f>IF($D15="","",IFERROR(COUNTIF(INDIRECT("'"&amp;$D15&amp;"'!$AO$7:$AO$500"),"Pass"),0))</f>
        <v/>
      </c>
      <c r="H15" s="317">
        <f>IF($D15="","",IFERROR(COUNTIF(INDIRECT("'"&amp;$D15&amp;"'!$AO$7:$AO$500"),"Fail"),0))</f>
        <v/>
      </c>
      <c r="I15" s="317">
        <f>IF($D15="","",IFERROR(COUNTIF(INDIRECT("'"&amp;$D15&amp;"'!$AO$7:$AO$500"),"Block"),0))</f>
        <v/>
      </c>
      <c r="J15" s="317">
        <f>IF($D15="","",IFERROR(COUNTIF(INDIRECT("'"&amp;$D15&amp;"'!$AO$7:$AO$500"),"N/A"),0))</f>
        <v/>
      </c>
      <c r="K15" s="317">
        <f>IF($D15="","",MAX(0,$F15-$G15-$H15-$I15-$J15))</f>
        <v/>
      </c>
      <c r="L15" s="317">
        <f>IF($D15="","",$G15+$H15+$I15+$J15)</f>
        <v/>
      </c>
      <c r="M15" s="320">
        <f>IF($D15="","",IFERROR($L15/$F15,0))</f>
        <v/>
      </c>
      <c r="N15" s="320">
        <f>IF($D15="","",IFERROR($G15/$L15,0))</f>
        <v/>
      </c>
      <c r="O15" s="317">
        <f>IF($D15="","",IFERROR(COUNTIF(INDIRECT("'"&amp;$D15&amp;"'!$E$7:$E$500"),"High"),0))</f>
        <v/>
      </c>
      <c r="P15" s="317">
        <f>IF($D15="","",IFERROR(COUNTIF(INDIRECT("'"&amp;$D15&amp;"'!$E$7:$E$500"),"Medium"),0))</f>
        <v/>
      </c>
      <c r="Q15" s="317">
        <f>IF($D15="","",IFERROR(COUNTIF(INDIRECT("'"&amp;$D15&amp;"'!$E$7:$E$500"),"Low"),0))</f>
        <v/>
      </c>
      <c r="R15" s="317">
        <f>IF($D15="","",IFERROR(COUNTIF(INDIRECT("'"&amp;$D15&amp;"'!$D$7:$D$500"),"Functional"),0))</f>
        <v/>
      </c>
      <c r="S15" s="317">
        <f>IF($D15="","",IFERROR(COUNTIF(INDIRECT("'"&amp;$D15&amp;"'!$D$7:$D$500"),"UI"),0))</f>
        <v/>
      </c>
      <c r="T15" s="317">
        <f>IF($D15="","",IFERROR(COUNTIF(INDIRECT("'"&amp;$D15&amp;"'!$D$7:$D$500"),"Integration"),0))</f>
        <v/>
      </c>
      <c r="U15" s="317">
        <f>IF($D15="","",IFERROR(COUNTIF(INDIRECT("'"&amp;$D15&amp;"'!$D$7:$D$500"),"Database Test Case"),0))</f>
        <v/>
      </c>
      <c r="V15" s="317">
        <f>IF($D15="","",IFERROR(COUNTIF(INDIRECT("'"&amp;$D15&amp;"'!$J$7:$J$500"),"AI"),0))</f>
        <v/>
      </c>
      <c r="W15" s="317">
        <f>IF($D15="","",IFERROR(COUNTIF(INDIRECT("'"&amp;$D15&amp;"'!$J$7:$J$500"),"QC"),0))</f>
        <v/>
      </c>
      <c r="X15" s="317">
        <f>IF($D15="","",IFERROR(COUNTIF(INDIRECT("'"&amp;$D15&amp;"'!$L$7:$L$500"),"Yes"),0))</f>
        <v/>
      </c>
      <c r="Y15" s="317">
        <f>IF($D15="","",IFERROR(COUNTIF(INDIRECT("'"&amp;$D15&amp;"'!$AM$7:$AM$500"),"Yes"),0))</f>
        <v/>
      </c>
      <c r="Z15" s="317">
        <f>IF($D15="","",IFERROR(COUNTIF(INDIRECT("'"&amp;$D15&amp;"'!$AN$7:$AN$500"),"Pass"),0))</f>
        <v/>
      </c>
      <c r="AA15" s="317">
        <f>IF($D15="","",IFERROR(COUNTIF(INDIRECT("'"&amp;$D15&amp;"'!$K$7:$K$500"),"Reviewed"),0))</f>
        <v/>
      </c>
      <c r="AB15" s="321">
        <f>IF($D15="","",IFERROR(SUMPRODUCT((INDIRECT("'"&amp;$D15&amp;"'!$E$7:$E$500")="High")*(INDIRECT("'"&amp;$D15&amp;"'!$AO$7:$AO$500")&lt;&gt;"")),0))</f>
        <v/>
      </c>
      <c r="AC15" s="321">
        <f>IF($D15="","",IFERROR(SUMPRODUCT((INDIRECT("'"&amp;$D15&amp;"'!$E$7:$E$500")="Medium")*(INDIRECT("'"&amp;$D15&amp;"'!$AO$7:$AO$500")&lt;&gt;"")),0))</f>
        <v/>
      </c>
      <c r="AD15" s="321">
        <f>IF($D15="","",IFERROR(SUMPRODUCT((INDIRECT("'"&amp;$D15&amp;"'!$E$7:$E$500")="Low")*(INDIRECT("'"&amp;$D15&amp;"'!$AO$7:$AO$500")&lt;&gt;"")),0))</f>
        <v/>
      </c>
      <c r="AE15" s="322">
        <f>IF($D15="","",IFERROR(COUNTIF(INDIRECT("'"&amp;$D15&amp;"'!$P$7:$P$500"),"&lt;&gt;"),0))</f>
        <v/>
      </c>
      <c r="AF15" s="322">
        <f>IF($D15="","",IFERROR(COUNTIF(INDIRECT("'"&amp;$D15&amp;"'!$P$7:$P$500"),"Pass"),0))</f>
        <v/>
      </c>
      <c r="AG15" s="322">
        <f>IF($D15="","",IFERROR(COUNTIF(INDIRECT("'"&amp;$D15&amp;"'!$P$7:$P$500"),"Fail"),0))</f>
        <v/>
      </c>
      <c r="AH15" s="322">
        <f>IF($D15="","",IFERROR(COUNTIF(INDIRECT("'"&amp;$D15&amp;"'!$P$7:$P$500"),"Block"),0))</f>
        <v/>
      </c>
      <c r="AI15" s="322">
        <f>IF($D15="","",IFERROR(COUNTIF(INDIRECT("'"&amp;$D15&amp;"'!$P$7:$P$500"),"N/A"),0))</f>
        <v/>
      </c>
      <c r="AJ15" s="322">
        <f>IF($D15="","",IFERROR(COUNTIF(INDIRECT("'"&amp;$D15&amp;"'!$U$7:$U$500"),"&lt;&gt;"),0))</f>
        <v/>
      </c>
      <c r="AK15" s="322">
        <f>IF($D15="","",IFERROR(COUNTIF(INDIRECT("'"&amp;$D15&amp;"'!$U$7:$U$500"),"Pass"),0))</f>
        <v/>
      </c>
      <c r="AL15" s="322">
        <f>IF($D15="","",IFERROR(COUNTIF(INDIRECT("'"&amp;$D15&amp;"'!$U$7:$U$500"),"Fail"),0))</f>
        <v/>
      </c>
      <c r="AM15" s="322">
        <f>IF($D15="","",IFERROR(COUNTIF(INDIRECT("'"&amp;$D15&amp;"'!$U$7:$U$500"),"Block"),0))</f>
        <v/>
      </c>
      <c r="AN15" s="322">
        <f>IF($D15="","",IFERROR(COUNTIF(INDIRECT("'"&amp;$D15&amp;"'!$U$7:$U$500"),"N/A"),0))</f>
        <v/>
      </c>
      <c r="AO15" s="322">
        <f>IF($D15="","",IFERROR(COUNTIF(INDIRECT("'"&amp;$D15&amp;"'!$Z$7:$Z$500"),"&lt;&gt;"),0))</f>
        <v/>
      </c>
      <c r="AP15" s="322">
        <f>IF($D15="","",IFERROR(COUNTIF(INDIRECT("'"&amp;$D15&amp;"'!$Z$7:$Z$500"),"Pass"),0))</f>
        <v/>
      </c>
      <c r="AQ15" s="322">
        <f>IF($D15="","",IFERROR(COUNTIF(INDIRECT("'"&amp;$D15&amp;"'!$Z$7:$Z$500"),"Fail"),0))</f>
        <v/>
      </c>
      <c r="AR15" s="322">
        <f>IF($D15="","",IFERROR(COUNTIF(INDIRECT("'"&amp;$D15&amp;"'!$Z$7:$Z$500"),"Block"),0))</f>
        <v/>
      </c>
      <c r="AS15" s="322">
        <f>IF($D15="","",IFERROR(COUNTIF(INDIRECT("'"&amp;$D15&amp;"'!$Z$7:$Z$500"),"N/A"),0))</f>
        <v/>
      </c>
      <c r="AT15" s="322">
        <f>IF($D15="","",IFERROR(COUNTIF(INDIRECT("'"&amp;$D15&amp;"'!$AE$7:$AE$500"),"&lt;&gt;"),0))</f>
        <v/>
      </c>
      <c r="AU15" s="322">
        <f>IF($D15="","",IFERROR(COUNTIF(INDIRECT("'"&amp;$D15&amp;"'!$AE$7:$AE$500"),"Pass"),0))</f>
        <v/>
      </c>
      <c r="AV15" s="322">
        <f>IF($D15="","",IFERROR(COUNTIF(INDIRECT("'"&amp;$D15&amp;"'!$AE$7:$AE$500"),"Fail"),0))</f>
        <v/>
      </c>
      <c r="AW15" s="322">
        <f>IF($D15="","",IFERROR(COUNTIF(INDIRECT("'"&amp;$D15&amp;"'!$AE$7:$AE$500"),"Block"),0))</f>
        <v/>
      </c>
      <c r="AX15" s="322">
        <f>IF($D15="","",IFERROR(COUNTIF(INDIRECT("'"&amp;$D15&amp;"'!$AE$7:$AE$500"),"N/A"),0))</f>
        <v/>
      </c>
      <c r="AY15" s="322">
        <f>IF($D15="","",IFERROR(COUNTIF(INDIRECT("'"&amp;$D15&amp;"'!$AJ$7:$AJ$500"),"&lt;&gt;"),0))</f>
        <v/>
      </c>
      <c r="AZ15" s="322">
        <f>IF($D15="","",IFERROR(COUNTIF(INDIRECT("'"&amp;$D15&amp;"'!$AJ$7:$AJ$500"),"Pass"),0))</f>
        <v/>
      </c>
      <c r="BA15" s="322">
        <f>IF($D15="","",IFERROR(COUNTIF(INDIRECT("'"&amp;$D15&amp;"'!$AJ$7:$AJ$500"),"Fail"),0))</f>
        <v/>
      </c>
      <c r="BB15" s="322">
        <f>IF($D15="","",IFERROR(COUNTIF(INDIRECT("'"&amp;$D15&amp;"'!$AJ$7:$AJ$500"),"Block"),0))</f>
        <v/>
      </c>
      <c r="BC15" s="224">
        <f>IF($D15="","",IFERROR(COUNTIF(INDIRECT("'"&amp;$D15&amp;"'!$AJ$7:$AJ$500"),"N/A"),0))</f>
        <v/>
      </c>
    </row>
    <row r="16" ht="15" customHeight="1" s="225">
      <c r="B16" s="317">
        <f>IF($D16="","",ROW()-3)</f>
        <v/>
      </c>
      <c r="C16" s="318" t="n"/>
      <c r="D16" s="318" t="n"/>
      <c r="E16" s="319" t="n"/>
      <c r="F16" s="317">
        <f>IF($D16="","",IFERROR(COUNTIF(INDIRECT("'"&amp;$D16&amp;"'!$C$7:$C$500"),"?*"),0))</f>
        <v/>
      </c>
      <c r="G16" s="317">
        <f>IF($D16="","",IFERROR(COUNTIF(INDIRECT("'"&amp;$D16&amp;"'!$AO$7:$AO$500"),"Pass"),0))</f>
        <v/>
      </c>
      <c r="H16" s="317">
        <f>IF($D16="","",IFERROR(COUNTIF(INDIRECT("'"&amp;$D16&amp;"'!$AO$7:$AO$500"),"Fail"),0))</f>
        <v/>
      </c>
      <c r="I16" s="317">
        <f>IF($D16="","",IFERROR(COUNTIF(INDIRECT("'"&amp;$D16&amp;"'!$AO$7:$AO$500"),"Block"),0))</f>
        <v/>
      </c>
      <c r="J16" s="317">
        <f>IF($D16="","",IFERROR(COUNTIF(INDIRECT("'"&amp;$D16&amp;"'!$AO$7:$AO$500"),"N/A"),0))</f>
        <v/>
      </c>
      <c r="K16" s="317">
        <f>IF($D16="","",MAX(0,$F16-$G16-$H16-$I16-$J16))</f>
        <v/>
      </c>
      <c r="L16" s="317">
        <f>IF($D16="","",$G16+$H16+$I16+$J16)</f>
        <v/>
      </c>
      <c r="M16" s="320">
        <f>IF($D16="","",IFERROR($L16/$F16,0))</f>
        <v/>
      </c>
      <c r="N16" s="320">
        <f>IF($D16="","",IFERROR($G16/$L16,0))</f>
        <v/>
      </c>
      <c r="O16" s="317">
        <f>IF($D16="","",IFERROR(COUNTIF(INDIRECT("'"&amp;$D16&amp;"'!$E$7:$E$500"),"High"),0))</f>
        <v/>
      </c>
      <c r="P16" s="317">
        <f>IF($D16="","",IFERROR(COUNTIF(INDIRECT("'"&amp;$D16&amp;"'!$E$7:$E$500"),"Medium"),0))</f>
        <v/>
      </c>
      <c r="Q16" s="317">
        <f>IF($D16="","",IFERROR(COUNTIF(INDIRECT("'"&amp;$D16&amp;"'!$E$7:$E$500"),"Low"),0))</f>
        <v/>
      </c>
      <c r="R16" s="317">
        <f>IF($D16="","",IFERROR(COUNTIF(INDIRECT("'"&amp;$D16&amp;"'!$D$7:$D$500"),"Functional"),0))</f>
        <v/>
      </c>
      <c r="S16" s="317">
        <f>IF($D16="","",IFERROR(COUNTIF(INDIRECT("'"&amp;$D16&amp;"'!$D$7:$D$500"),"UI"),0))</f>
        <v/>
      </c>
      <c r="T16" s="317">
        <f>IF($D16="","",IFERROR(COUNTIF(INDIRECT("'"&amp;$D16&amp;"'!$D$7:$D$500"),"Integration"),0))</f>
        <v/>
      </c>
      <c r="U16" s="317">
        <f>IF($D16="","",IFERROR(COUNTIF(INDIRECT("'"&amp;$D16&amp;"'!$D$7:$D$500"),"Database Test Case"),0))</f>
        <v/>
      </c>
      <c r="V16" s="317">
        <f>IF($D16="","",IFERROR(COUNTIF(INDIRECT("'"&amp;$D16&amp;"'!$J$7:$J$500"),"AI"),0))</f>
        <v/>
      </c>
      <c r="W16" s="317">
        <f>IF($D16="","",IFERROR(COUNTIF(INDIRECT("'"&amp;$D16&amp;"'!$J$7:$J$500"),"QC"),0))</f>
        <v/>
      </c>
      <c r="X16" s="317">
        <f>IF($D16="","",IFERROR(COUNTIF(INDIRECT("'"&amp;$D16&amp;"'!$L$7:$L$500"),"Yes"),0))</f>
        <v/>
      </c>
      <c r="Y16" s="317">
        <f>IF($D16="","",IFERROR(COUNTIF(INDIRECT("'"&amp;$D16&amp;"'!$AM$7:$AM$500"),"Yes"),0))</f>
        <v/>
      </c>
      <c r="Z16" s="317">
        <f>IF($D16="","",IFERROR(COUNTIF(INDIRECT("'"&amp;$D16&amp;"'!$AN$7:$AN$500"),"Pass"),0))</f>
        <v/>
      </c>
      <c r="AA16" s="317">
        <f>IF($D16="","",IFERROR(COUNTIF(INDIRECT("'"&amp;$D16&amp;"'!$K$7:$K$500"),"Reviewed"),0))</f>
        <v/>
      </c>
      <c r="AB16" s="321">
        <f>IF($D16="","",IFERROR(SUMPRODUCT((INDIRECT("'"&amp;$D16&amp;"'!$E$7:$E$500")="High")*(INDIRECT("'"&amp;$D16&amp;"'!$AO$7:$AO$500")&lt;&gt;"")),0))</f>
        <v/>
      </c>
      <c r="AC16" s="321">
        <f>IF($D16="","",IFERROR(SUMPRODUCT((INDIRECT("'"&amp;$D16&amp;"'!$E$7:$E$500")="Medium")*(INDIRECT("'"&amp;$D16&amp;"'!$AO$7:$AO$500")&lt;&gt;"")),0))</f>
        <v/>
      </c>
      <c r="AD16" s="321">
        <f>IF($D16="","",IFERROR(SUMPRODUCT((INDIRECT("'"&amp;$D16&amp;"'!$E$7:$E$500")="Low")*(INDIRECT("'"&amp;$D16&amp;"'!$AO$7:$AO$500")&lt;&gt;"")),0))</f>
        <v/>
      </c>
      <c r="AE16" s="322">
        <f>IF($D16="","",IFERROR(COUNTIF(INDIRECT("'"&amp;$D16&amp;"'!$P$7:$P$500"),"&lt;&gt;"),0))</f>
        <v/>
      </c>
      <c r="AF16" s="322">
        <f>IF($D16="","",IFERROR(COUNTIF(INDIRECT("'"&amp;$D16&amp;"'!$P$7:$P$500"),"Pass"),0))</f>
        <v/>
      </c>
      <c r="AG16" s="322">
        <f>IF($D16="","",IFERROR(COUNTIF(INDIRECT("'"&amp;$D16&amp;"'!$P$7:$P$500"),"Fail"),0))</f>
        <v/>
      </c>
      <c r="AH16" s="322">
        <f>IF($D16="","",IFERROR(COUNTIF(INDIRECT("'"&amp;$D16&amp;"'!$P$7:$P$500"),"Block"),0))</f>
        <v/>
      </c>
      <c r="AI16" s="322">
        <f>IF($D16="","",IFERROR(COUNTIF(INDIRECT("'"&amp;$D16&amp;"'!$P$7:$P$500"),"N/A"),0))</f>
        <v/>
      </c>
      <c r="AJ16" s="322">
        <f>IF($D16="","",IFERROR(COUNTIF(INDIRECT("'"&amp;$D16&amp;"'!$U$7:$U$500"),"&lt;&gt;"),0))</f>
        <v/>
      </c>
      <c r="AK16" s="322">
        <f>IF($D16="","",IFERROR(COUNTIF(INDIRECT("'"&amp;$D16&amp;"'!$U$7:$U$500"),"Pass"),0))</f>
        <v/>
      </c>
      <c r="AL16" s="322">
        <f>IF($D16="","",IFERROR(COUNTIF(INDIRECT("'"&amp;$D16&amp;"'!$U$7:$U$500"),"Fail"),0))</f>
        <v/>
      </c>
      <c r="AM16" s="322">
        <f>IF($D16="","",IFERROR(COUNTIF(INDIRECT("'"&amp;$D16&amp;"'!$U$7:$U$500"),"Block"),0))</f>
        <v/>
      </c>
      <c r="AN16" s="322">
        <f>IF($D16="","",IFERROR(COUNTIF(INDIRECT("'"&amp;$D16&amp;"'!$U$7:$U$500"),"N/A"),0))</f>
        <v/>
      </c>
      <c r="AO16" s="322">
        <f>IF($D16="","",IFERROR(COUNTIF(INDIRECT("'"&amp;$D16&amp;"'!$Z$7:$Z$500"),"&lt;&gt;"),0))</f>
        <v/>
      </c>
      <c r="AP16" s="322">
        <f>IF($D16="","",IFERROR(COUNTIF(INDIRECT("'"&amp;$D16&amp;"'!$Z$7:$Z$500"),"Pass"),0))</f>
        <v/>
      </c>
      <c r="AQ16" s="322">
        <f>IF($D16="","",IFERROR(COUNTIF(INDIRECT("'"&amp;$D16&amp;"'!$Z$7:$Z$500"),"Fail"),0))</f>
        <v/>
      </c>
      <c r="AR16" s="322">
        <f>IF($D16="","",IFERROR(COUNTIF(INDIRECT("'"&amp;$D16&amp;"'!$Z$7:$Z$500"),"Block"),0))</f>
        <v/>
      </c>
      <c r="AS16" s="322">
        <f>IF($D16="","",IFERROR(COUNTIF(INDIRECT("'"&amp;$D16&amp;"'!$Z$7:$Z$500"),"N/A"),0))</f>
        <v/>
      </c>
      <c r="AT16" s="322">
        <f>IF($D16="","",IFERROR(COUNTIF(INDIRECT("'"&amp;$D16&amp;"'!$AE$7:$AE$500"),"&lt;&gt;"),0))</f>
        <v/>
      </c>
      <c r="AU16" s="322">
        <f>IF($D16="","",IFERROR(COUNTIF(INDIRECT("'"&amp;$D16&amp;"'!$AE$7:$AE$500"),"Pass"),0))</f>
        <v/>
      </c>
      <c r="AV16" s="322">
        <f>IF($D16="","",IFERROR(COUNTIF(INDIRECT("'"&amp;$D16&amp;"'!$AE$7:$AE$500"),"Fail"),0))</f>
        <v/>
      </c>
      <c r="AW16" s="322">
        <f>IF($D16="","",IFERROR(COUNTIF(INDIRECT("'"&amp;$D16&amp;"'!$AE$7:$AE$500"),"Block"),0))</f>
        <v/>
      </c>
      <c r="AX16" s="322">
        <f>IF($D16="","",IFERROR(COUNTIF(INDIRECT("'"&amp;$D16&amp;"'!$AE$7:$AE$500"),"N/A"),0))</f>
        <v/>
      </c>
      <c r="AY16" s="322">
        <f>IF($D16="","",IFERROR(COUNTIF(INDIRECT("'"&amp;$D16&amp;"'!$AJ$7:$AJ$500"),"&lt;&gt;"),0))</f>
        <v/>
      </c>
      <c r="AZ16" s="322">
        <f>IF($D16="","",IFERROR(COUNTIF(INDIRECT("'"&amp;$D16&amp;"'!$AJ$7:$AJ$500"),"Pass"),0))</f>
        <v/>
      </c>
      <c r="BA16" s="322">
        <f>IF($D16="","",IFERROR(COUNTIF(INDIRECT("'"&amp;$D16&amp;"'!$AJ$7:$AJ$500"),"Fail"),0))</f>
        <v/>
      </c>
      <c r="BB16" s="322">
        <f>IF($D16="","",IFERROR(COUNTIF(INDIRECT("'"&amp;$D16&amp;"'!$AJ$7:$AJ$500"),"Block"),0))</f>
        <v/>
      </c>
      <c r="BC16" s="224">
        <f>IF($D16="","",IFERROR(COUNTIF(INDIRECT("'"&amp;$D16&amp;"'!$AJ$7:$AJ$500"),"N/A"),0))</f>
        <v/>
      </c>
    </row>
    <row r="17" ht="15" customHeight="1" s="225">
      <c r="B17" s="317">
        <f>IF($D17="","",ROW()-3)</f>
        <v/>
      </c>
      <c r="C17" s="318" t="n"/>
      <c r="D17" s="318" t="n"/>
      <c r="E17" s="319" t="n"/>
      <c r="F17" s="317">
        <f>IF($D17="","",IFERROR(COUNTIF(INDIRECT("'"&amp;$D17&amp;"'!$C$7:$C$500"),"?*"),0))</f>
        <v/>
      </c>
      <c r="G17" s="317">
        <f>IF($D17="","",IFERROR(COUNTIF(INDIRECT("'"&amp;$D17&amp;"'!$AO$7:$AO$500"),"Pass"),0))</f>
        <v/>
      </c>
      <c r="H17" s="317">
        <f>IF($D17="","",IFERROR(COUNTIF(INDIRECT("'"&amp;$D17&amp;"'!$AO$7:$AO$500"),"Fail"),0))</f>
        <v/>
      </c>
      <c r="I17" s="317">
        <f>IF($D17="","",IFERROR(COUNTIF(INDIRECT("'"&amp;$D17&amp;"'!$AO$7:$AO$500"),"Block"),0))</f>
        <v/>
      </c>
      <c r="J17" s="317">
        <f>IF($D17="","",IFERROR(COUNTIF(INDIRECT("'"&amp;$D17&amp;"'!$AO$7:$AO$500"),"N/A"),0))</f>
        <v/>
      </c>
      <c r="K17" s="317">
        <f>IF($D17="","",MAX(0,$F17-$G17-$H17-$I17-$J17))</f>
        <v/>
      </c>
      <c r="L17" s="317">
        <f>IF($D17="","",$G17+$H17+$I17+$J17)</f>
        <v/>
      </c>
      <c r="M17" s="320">
        <f>IF($D17="","",IFERROR($L17/$F17,0))</f>
        <v/>
      </c>
      <c r="N17" s="320">
        <f>IF($D17="","",IFERROR($G17/$L17,0))</f>
        <v/>
      </c>
      <c r="O17" s="317">
        <f>IF($D17="","",IFERROR(COUNTIF(INDIRECT("'"&amp;$D17&amp;"'!$E$7:$E$500"),"High"),0))</f>
        <v/>
      </c>
      <c r="P17" s="317">
        <f>IF($D17="","",IFERROR(COUNTIF(INDIRECT("'"&amp;$D17&amp;"'!$E$7:$E$500"),"Medium"),0))</f>
        <v/>
      </c>
      <c r="Q17" s="317">
        <f>IF($D17="","",IFERROR(COUNTIF(INDIRECT("'"&amp;$D17&amp;"'!$E$7:$E$500"),"Low"),0))</f>
        <v/>
      </c>
      <c r="R17" s="317">
        <f>IF($D17="","",IFERROR(COUNTIF(INDIRECT("'"&amp;$D17&amp;"'!$D$7:$D$500"),"Functional"),0))</f>
        <v/>
      </c>
      <c r="S17" s="317">
        <f>IF($D17="","",IFERROR(COUNTIF(INDIRECT("'"&amp;$D17&amp;"'!$D$7:$D$500"),"UI"),0))</f>
        <v/>
      </c>
      <c r="T17" s="317">
        <f>IF($D17="","",IFERROR(COUNTIF(INDIRECT("'"&amp;$D17&amp;"'!$D$7:$D$500"),"Integration"),0))</f>
        <v/>
      </c>
      <c r="U17" s="317">
        <f>IF($D17="","",IFERROR(COUNTIF(INDIRECT("'"&amp;$D17&amp;"'!$D$7:$D$500"),"Database Test Case"),0))</f>
        <v/>
      </c>
      <c r="V17" s="317">
        <f>IF($D17="","",IFERROR(COUNTIF(INDIRECT("'"&amp;$D17&amp;"'!$J$7:$J$500"),"AI"),0))</f>
        <v/>
      </c>
      <c r="W17" s="317">
        <f>IF($D17="","",IFERROR(COUNTIF(INDIRECT("'"&amp;$D17&amp;"'!$J$7:$J$500"),"QC"),0))</f>
        <v/>
      </c>
      <c r="X17" s="317">
        <f>IF($D17="","",IFERROR(COUNTIF(INDIRECT("'"&amp;$D17&amp;"'!$L$7:$L$500"),"Yes"),0))</f>
        <v/>
      </c>
      <c r="Y17" s="317">
        <f>IF($D17="","",IFERROR(COUNTIF(INDIRECT("'"&amp;$D17&amp;"'!$AM$7:$AM$500"),"Yes"),0))</f>
        <v/>
      </c>
      <c r="Z17" s="317">
        <f>IF($D17="","",IFERROR(COUNTIF(INDIRECT("'"&amp;$D17&amp;"'!$AN$7:$AN$500"),"Pass"),0))</f>
        <v/>
      </c>
      <c r="AA17" s="317">
        <f>IF($D17="","",IFERROR(COUNTIF(INDIRECT("'"&amp;$D17&amp;"'!$K$7:$K$500"),"Reviewed"),0))</f>
        <v/>
      </c>
      <c r="AB17" s="321">
        <f>IF($D17="","",IFERROR(SUMPRODUCT((INDIRECT("'"&amp;$D17&amp;"'!$E$7:$E$500")="High")*(INDIRECT("'"&amp;$D17&amp;"'!$AO$7:$AO$500")&lt;&gt;"")),0))</f>
        <v/>
      </c>
      <c r="AC17" s="321">
        <f>IF($D17="","",IFERROR(SUMPRODUCT((INDIRECT("'"&amp;$D17&amp;"'!$E$7:$E$500")="Medium")*(INDIRECT("'"&amp;$D17&amp;"'!$AO$7:$AO$500")&lt;&gt;"")),0))</f>
        <v/>
      </c>
      <c r="AD17" s="321">
        <f>IF($D17="","",IFERROR(SUMPRODUCT((INDIRECT("'"&amp;$D17&amp;"'!$E$7:$E$500")="Low")*(INDIRECT("'"&amp;$D17&amp;"'!$AO$7:$AO$500")&lt;&gt;"")),0))</f>
        <v/>
      </c>
      <c r="AE17" s="322">
        <f>IF($D17="","",IFERROR(COUNTIF(INDIRECT("'"&amp;$D17&amp;"'!$P$7:$P$500"),"&lt;&gt;"),0))</f>
        <v/>
      </c>
      <c r="AF17" s="322">
        <f>IF($D17="","",IFERROR(COUNTIF(INDIRECT("'"&amp;$D17&amp;"'!$P$7:$P$500"),"Pass"),0))</f>
        <v/>
      </c>
      <c r="AG17" s="322">
        <f>IF($D17="","",IFERROR(COUNTIF(INDIRECT("'"&amp;$D17&amp;"'!$P$7:$P$500"),"Fail"),0))</f>
        <v/>
      </c>
      <c r="AH17" s="322">
        <f>IF($D17="","",IFERROR(COUNTIF(INDIRECT("'"&amp;$D17&amp;"'!$P$7:$P$500"),"Block"),0))</f>
        <v/>
      </c>
      <c r="AI17" s="322">
        <f>IF($D17="","",IFERROR(COUNTIF(INDIRECT("'"&amp;$D17&amp;"'!$P$7:$P$500"),"N/A"),0))</f>
        <v/>
      </c>
      <c r="AJ17" s="322">
        <f>IF($D17="","",IFERROR(COUNTIF(INDIRECT("'"&amp;$D17&amp;"'!$U$7:$U$500"),"&lt;&gt;"),0))</f>
        <v/>
      </c>
      <c r="AK17" s="322">
        <f>IF($D17="","",IFERROR(COUNTIF(INDIRECT("'"&amp;$D17&amp;"'!$U$7:$U$500"),"Pass"),0))</f>
        <v/>
      </c>
      <c r="AL17" s="322">
        <f>IF($D17="","",IFERROR(COUNTIF(INDIRECT("'"&amp;$D17&amp;"'!$U$7:$U$500"),"Fail"),0))</f>
        <v/>
      </c>
      <c r="AM17" s="322">
        <f>IF($D17="","",IFERROR(COUNTIF(INDIRECT("'"&amp;$D17&amp;"'!$U$7:$U$500"),"Block"),0))</f>
        <v/>
      </c>
      <c r="AN17" s="322">
        <f>IF($D17="","",IFERROR(COUNTIF(INDIRECT("'"&amp;$D17&amp;"'!$U$7:$U$500"),"N/A"),0))</f>
        <v/>
      </c>
      <c r="AO17" s="322">
        <f>IF($D17="","",IFERROR(COUNTIF(INDIRECT("'"&amp;$D17&amp;"'!$Z$7:$Z$500"),"&lt;&gt;"),0))</f>
        <v/>
      </c>
      <c r="AP17" s="322">
        <f>IF($D17="","",IFERROR(COUNTIF(INDIRECT("'"&amp;$D17&amp;"'!$Z$7:$Z$500"),"Pass"),0))</f>
        <v/>
      </c>
      <c r="AQ17" s="322">
        <f>IF($D17="","",IFERROR(COUNTIF(INDIRECT("'"&amp;$D17&amp;"'!$Z$7:$Z$500"),"Fail"),0))</f>
        <v/>
      </c>
      <c r="AR17" s="322">
        <f>IF($D17="","",IFERROR(COUNTIF(INDIRECT("'"&amp;$D17&amp;"'!$Z$7:$Z$500"),"Block"),0))</f>
        <v/>
      </c>
      <c r="AS17" s="322">
        <f>IF($D17="","",IFERROR(COUNTIF(INDIRECT("'"&amp;$D17&amp;"'!$Z$7:$Z$500"),"N/A"),0))</f>
        <v/>
      </c>
      <c r="AT17" s="322">
        <f>IF($D17="","",IFERROR(COUNTIF(INDIRECT("'"&amp;$D17&amp;"'!$AE$7:$AE$500"),"&lt;&gt;"),0))</f>
        <v/>
      </c>
      <c r="AU17" s="322">
        <f>IF($D17="","",IFERROR(COUNTIF(INDIRECT("'"&amp;$D17&amp;"'!$AE$7:$AE$500"),"Pass"),0))</f>
        <v/>
      </c>
      <c r="AV17" s="322">
        <f>IF($D17="","",IFERROR(COUNTIF(INDIRECT("'"&amp;$D17&amp;"'!$AE$7:$AE$500"),"Fail"),0))</f>
        <v/>
      </c>
      <c r="AW17" s="322">
        <f>IF($D17="","",IFERROR(COUNTIF(INDIRECT("'"&amp;$D17&amp;"'!$AE$7:$AE$500"),"Block"),0))</f>
        <v/>
      </c>
      <c r="AX17" s="322">
        <f>IF($D17="","",IFERROR(COUNTIF(INDIRECT("'"&amp;$D17&amp;"'!$AE$7:$AE$500"),"N/A"),0))</f>
        <v/>
      </c>
      <c r="AY17" s="322">
        <f>IF($D17="","",IFERROR(COUNTIF(INDIRECT("'"&amp;$D17&amp;"'!$AJ$7:$AJ$500"),"&lt;&gt;"),0))</f>
        <v/>
      </c>
      <c r="AZ17" s="322">
        <f>IF($D17="","",IFERROR(COUNTIF(INDIRECT("'"&amp;$D17&amp;"'!$AJ$7:$AJ$500"),"Pass"),0))</f>
        <v/>
      </c>
      <c r="BA17" s="322">
        <f>IF($D17="","",IFERROR(COUNTIF(INDIRECT("'"&amp;$D17&amp;"'!$AJ$7:$AJ$500"),"Fail"),0))</f>
        <v/>
      </c>
      <c r="BB17" s="322">
        <f>IF($D17="","",IFERROR(COUNTIF(INDIRECT("'"&amp;$D17&amp;"'!$AJ$7:$AJ$500"),"Block"),0))</f>
        <v/>
      </c>
      <c r="BC17" s="224">
        <f>IF($D17="","",IFERROR(COUNTIF(INDIRECT("'"&amp;$D17&amp;"'!$AJ$7:$AJ$500"),"N/A"),0))</f>
        <v/>
      </c>
    </row>
    <row r="18" ht="15" customHeight="1" s="225">
      <c r="B18" s="317">
        <f>IF($D18="","",ROW()-3)</f>
        <v/>
      </c>
      <c r="C18" s="318" t="n"/>
      <c r="D18" s="318" t="n"/>
      <c r="E18" s="319" t="n"/>
      <c r="F18" s="317">
        <f>IF($D18="","",IFERROR(COUNTIF(INDIRECT("'"&amp;$D18&amp;"'!$C$7:$C$500"),"?*"),0))</f>
        <v/>
      </c>
      <c r="G18" s="317">
        <f>IF($D18="","",IFERROR(COUNTIF(INDIRECT("'"&amp;$D18&amp;"'!$AO$7:$AO$500"),"Pass"),0))</f>
        <v/>
      </c>
      <c r="H18" s="317">
        <f>IF($D18="","",IFERROR(COUNTIF(INDIRECT("'"&amp;$D18&amp;"'!$AO$7:$AO$500"),"Fail"),0))</f>
        <v/>
      </c>
      <c r="I18" s="317">
        <f>IF($D18="","",IFERROR(COUNTIF(INDIRECT("'"&amp;$D18&amp;"'!$AO$7:$AO$500"),"Block"),0))</f>
        <v/>
      </c>
      <c r="J18" s="317">
        <f>IF($D18="","",IFERROR(COUNTIF(INDIRECT("'"&amp;$D18&amp;"'!$AO$7:$AO$500"),"N/A"),0))</f>
        <v/>
      </c>
      <c r="K18" s="317">
        <f>IF($D18="","",MAX(0,$F18-$G18-$H18-$I18-$J18))</f>
        <v/>
      </c>
      <c r="L18" s="317">
        <f>IF($D18="","",$G18+$H18+$I18+$J18)</f>
        <v/>
      </c>
      <c r="M18" s="320">
        <f>IF($D18="","",IFERROR($L18/$F18,0))</f>
        <v/>
      </c>
      <c r="N18" s="320">
        <f>IF($D18="","",IFERROR($G18/$L18,0))</f>
        <v/>
      </c>
      <c r="O18" s="317">
        <f>IF($D18="","",IFERROR(COUNTIF(INDIRECT("'"&amp;$D18&amp;"'!$E$7:$E$500"),"High"),0))</f>
        <v/>
      </c>
      <c r="P18" s="317">
        <f>IF($D18="","",IFERROR(COUNTIF(INDIRECT("'"&amp;$D18&amp;"'!$E$7:$E$500"),"Medium"),0))</f>
        <v/>
      </c>
      <c r="Q18" s="317">
        <f>IF($D18="","",IFERROR(COUNTIF(INDIRECT("'"&amp;$D18&amp;"'!$E$7:$E$500"),"Low"),0))</f>
        <v/>
      </c>
      <c r="R18" s="317">
        <f>IF($D18="","",IFERROR(COUNTIF(INDIRECT("'"&amp;$D18&amp;"'!$D$7:$D$500"),"Functional"),0))</f>
        <v/>
      </c>
      <c r="S18" s="317">
        <f>IF($D18="","",IFERROR(COUNTIF(INDIRECT("'"&amp;$D18&amp;"'!$D$7:$D$500"),"UI"),0))</f>
        <v/>
      </c>
      <c r="T18" s="317">
        <f>IF($D18="","",IFERROR(COUNTIF(INDIRECT("'"&amp;$D18&amp;"'!$D$7:$D$500"),"Integration"),0))</f>
        <v/>
      </c>
      <c r="U18" s="317">
        <f>IF($D18="","",IFERROR(COUNTIF(INDIRECT("'"&amp;$D18&amp;"'!$D$7:$D$500"),"Database Test Case"),0))</f>
        <v/>
      </c>
      <c r="V18" s="317">
        <f>IF($D18="","",IFERROR(COUNTIF(INDIRECT("'"&amp;$D18&amp;"'!$J$7:$J$500"),"AI"),0))</f>
        <v/>
      </c>
      <c r="W18" s="317">
        <f>IF($D18="","",IFERROR(COUNTIF(INDIRECT("'"&amp;$D18&amp;"'!$J$7:$J$500"),"QC"),0))</f>
        <v/>
      </c>
      <c r="X18" s="317">
        <f>IF($D18="","",IFERROR(COUNTIF(INDIRECT("'"&amp;$D18&amp;"'!$L$7:$L$500"),"Yes"),0))</f>
        <v/>
      </c>
      <c r="Y18" s="317">
        <f>IF($D18="","",IFERROR(COUNTIF(INDIRECT("'"&amp;$D18&amp;"'!$AM$7:$AM$500"),"Yes"),0))</f>
        <v/>
      </c>
      <c r="Z18" s="317">
        <f>IF($D18="","",IFERROR(COUNTIF(INDIRECT("'"&amp;$D18&amp;"'!$AN$7:$AN$500"),"Pass"),0))</f>
        <v/>
      </c>
      <c r="AA18" s="317">
        <f>IF($D18="","",IFERROR(COUNTIF(INDIRECT("'"&amp;$D18&amp;"'!$K$7:$K$500"),"Reviewed"),0))</f>
        <v/>
      </c>
      <c r="AB18" s="321">
        <f>IF($D18="","",IFERROR(SUMPRODUCT((INDIRECT("'"&amp;$D18&amp;"'!$E$7:$E$500")="High")*(INDIRECT("'"&amp;$D18&amp;"'!$AO$7:$AO$500")&lt;&gt;"")),0))</f>
        <v/>
      </c>
      <c r="AC18" s="321">
        <f>IF($D18="","",IFERROR(SUMPRODUCT((INDIRECT("'"&amp;$D18&amp;"'!$E$7:$E$500")="Medium")*(INDIRECT("'"&amp;$D18&amp;"'!$AO$7:$AO$500")&lt;&gt;"")),0))</f>
        <v/>
      </c>
      <c r="AD18" s="321">
        <f>IF($D18="","",IFERROR(SUMPRODUCT((INDIRECT("'"&amp;$D18&amp;"'!$E$7:$E$500")="Low")*(INDIRECT("'"&amp;$D18&amp;"'!$AO$7:$AO$500")&lt;&gt;"")),0))</f>
        <v/>
      </c>
      <c r="AE18" s="322">
        <f>IF($D18="","",IFERROR(COUNTIF(INDIRECT("'"&amp;$D18&amp;"'!$P$7:$P$500"),"&lt;&gt;"),0))</f>
        <v/>
      </c>
      <c r="AF18" s="322">
        <f>IF($D18="","",IFERROR(COUNTIF(INDIRECT("'"&amp;$D18&amp;"'!$P$7:$P$500"),"Pass"),0))</f>
        <v/>
      </c>
      <c r="AG18" s="322">
        <f>IF($D18="","",IFERROR(COUNTIF(INDIRECT("'"&amp;$D18&amp;"'!$P$7:$P$500"),"Fail"),0))</f>
        <v/>
      </c>
      <c r="AH18" s="322">
        <f>IF($D18="","",IFERROR(COUNTIF(INDIRECT("'"&amp;$D18&amp;"'!$P$7:$P$500"),"Block"),0))</f>
        <v/>
      </c>
      <c r="AI18" s="322">
        <f>IF($D18="","",IFERROR(COUNTIF(INDIRECT("'"&amp;$D18&amp;"'!$P$7:$P$500"),"N/A"),0))</f>
        <v/>
      </c>
      <c r="AJ18" s="322">
        <f>IF($D18="","",IFERROR(COUNTIF(INDIRECT("'"&amp;$D18&amp;"'!$U$7:$U$500"),"&lt;&gt;"),0))</f>
        <v/>
      </c>
      <c r="AK18" s="322">
        <f>IF($D18="","",IFERROR(COUNTIF(INDIRECT("'"&amp;$D18&amp;"'!$U$7:$U$500"),"Pass"),0))</f>
        <v/>
      </c>
      <c r="AL18" s="322">
        <f>IF($D18="","",IFERROR(COUNTIF(INDIRECT("'"&amp;$D18&amp;"'!$U$7:$U$500"),"Fail"),0))</f>
        <v/>
      </c>
      <c r="AM18" s="322">
        <f>IF($D18="","",IFERROR(COUNTIF(INDIRECT("'"&amp;$D18&amp;"'!$U$7:$U$500"),"Block"),0))</f>
        <v/>
      </c>
      <c r="AN18" s="322">
        <f>IF($D18="","",IFERROR(COUNTIF(INDIRECT("'"&amp;$D18&amp;"'!$U$7:$U$500"),"N/A"),0))</f>
        <v/>
      </c>
      <c r="AO18" s="322">
        <f>IF($D18="","",IFERROR(COUNTIF(INDIRECT("'"&amp;$D18&amp;"'!$Z$7:$Z$500"),"&lt;&gt;"),0))</f>
        <v/>
      </c>
      <c r="AP18" s="322">
        <f>IF($D18="","",IFERROR(COUNTIF(INDIRECT("'"&amp;$D18&amp;"'!$Z$7:$Z$500"),"Pass"),0))</f>
        <v/>
      </c>
      <c r="AQ18" s="322">
        <f>IF($D18="","",IFERROR(COUNTIF(INDIRECT("'"&amp;$D18&amp;"'!$Z$7:$Z$500"),"Fail"),0))</f>
        <v/>
      </c>
      <c r="AR18" s="322">
        <f>IF($D18="","",IFERROR(COUNTIF(INDIRECT("'"&amp;$D18&amp;"'!$Z$7:$Z$500"),"Block"),0))</f>
        <v/>
      </c>
      <c r="AS18" s="322">
        <f>IF($D18="","",IFERROR(COUNTIF(INDIRECT("'"&amp;$D18&amp;"'!$Z$7:$Z$500"),"N/A"),0))</f>
        <v/>
      </c>
      <c r="AT18" s="322">
        <f>IF($D18="","",IFERROR(COUNTIF(INDIRECT("'"&amp;$D18&amp;"'!$AE$7:$AE$500"),"&lt;&gt;"),0))</f>
        <v/>
      </c>
      <c r="AU18" s="322">
        <f>IF($D18="","",IFERROR(COUNTIF(INDIRECT("'"&amp;$D18&amp;"'!$AE$7:$AE$500"),"Pass"),0))</f>
        <v/>
      </c>
      <c r="AV18" s="322">
        <f>IF($D18="","",IFERROR(COUNTIF(INDIRECT("'"&amp;$D18&amp;"'!$AE$7:$AE$500"),"Fail"),0))</f>
        <v/>
      </c>
      <c r="AW18" s="322">
        <f>IF($D18="","",IFERROR(COUNTIF(INDIRECT("'"&amp;$D18&amp;"'!$AE$7:$AE$500"),"Block"),0))</f>
        <v/>
      </c>
      <c r="AX18" s="322">
        <f>IF($D18="","",IFERROR(COUNTIF(INDIRECT("'"&amp;$D18&amp;"'!$AE$7:$AE$500"),"N/A"),0))</f>
        <v/>
      </c>
      <c r="AY18" s="322">
        <f>IF($D18="","",IFERROR(COUNTIF(INDIRECT("'"&amp;$D18&amp;"'!$AJ$7:$AJ$500"),"&lt;&gt;"),0))</f>
        <v/>
      </c>
      <c r="AZ18" s="322">
        <f>IF($D18="","",IFERROR(COUNTIF(INDIRECT("'"&amp;$D18&amp;"'!$AJ$7:$AJ$500"),"Pass"),0))</f>
        <v/>
      </c>
      <c r="BA18" s="322">
        <f>IF($D18="","",IFERROR(COUNTIF(INDIRECT("'"&amp;$D18&amp;"'!$AJ$7:$AJ$500"),"Fail"),0))</f>
        <v/>
      </c>
      <c r="BB18" s="322">
        <f>IF($D18="","",IFERROR(COUNTIF(INDIRECT("'"&amp;$D18&amp;"'!$AJ$7:$AJ$500"),"Block"),0))</f>
        <v/>
      </c>
      <c r="BC18" s="224">
        <f>IF($D18="","",IFERROR(COUNTIF(INDIRECT("'"&amp;$D18&amp;"'!$AJ$7:$AJ$500"),"N/A"),0))</f>
        <v/>
      </c>
    </row>
    <row r="19" ht="15" customHeight="1" s="225">
      <c r="B19" s="317">
        <f>IF($D19="","",ROW()-3)</f>
        <v/>
      </c>
      <c r="C19" s="318" t="n"/>
      <c r="D19" s="318" t="n"/>
      <c r="E19" s="319" t="n"/>
      <c r="F19" s="317">
        <f>IF($D19="","",IFERROR(COUNTIF(INDIRECT("'"&amp;$D19&amp;"'!$C$7:$C$500"),"?*"),0))</f>
        <v/>
      </c>
      <c r="G19" s="317">
        <f>IF($D19="","",IFERROR(COUNTIF(INDIRECT("'"&amp;$D19&amp;"'!$AO$7:$AO$500"),"Pass"),0))</f>
        <v/>
      </c>
      <c r="H19" s="317">
        <f>IF($D19="","",IFERROR(COUNTIF(INDIRECT("'"&amp;$D19&amp;"'!$AO$7:$AO$500"),"Fail"),0))</f>
        <v/>
      </c>
      <c r="I19" s="317">
        <f>IF($D19="","",IFERROR(COUNTIF(INDIRECT("'"&amp;$D19&amp;"'!$AO$7:$AO$500"),"Block"),0))</f>
        <v/>
      </c>
      <c r="J19" s="317">
        <f>IF($D19="","",IFERROR(COUNTIF(INDIRECT("'"&amp;$D19&amp;"'!$AO$7:$AO$500"),"N/A"),0))</f>
        <v/>
      </c>
      <c r="K19" s="317">
        <f>IF($D19="","",MAX(0,$F19-$G19-$H19-$I19-$J19))</f>
        <v/>
      </c>
      <c r="L19" s="317">
        <f>IF($D19="","",$G19+$H19+$I19+$J19)</f>
        <v/>
      </c>
      <c r="M19" s="320">
        <f>IF($D19="","",IFERROR($L19/$F19,0))</f>
        <v/>
      </c>
      <c r="N19" s="320">
        <f>IF($D19="","",IFERROR($G19/$L19,0))</f>
        <v/>
      </c>
      <c r="O19" s="317">
        <f>IF($D19="","",IFERROR(COUNTIF(INDIRECT("'"&amp;$D19&amp;"'!$E$7:$E$500"),"High"),0))</f>
        <v/>
      </c>
      <c r="P19" s="317">
        <f>IF($D19="","",IFERROR(COUNTIF(INDIRECT("'"&amp;$D19&amp;"'!$E$7:$E$500"),"Medium"),0))</f>
        <v/>
      </c>
      <c r="Q19" s="317">
        <f>IF($D19="","",IFERROR(COUNTIF(INDIRECT("'"&amp;$D19&amp;"'!$E$7:$E$500"),"Low"),0))</f>
        <v/>
      </c>
      <c r="R19" s="317">
        <f>IF($D19="","",IFERROR(COUNTIF(INDIRECT("'"&amp;$D19&amp;"'!$D$7:$D$500"),"Functional"),0))</f>
        <v/>
      </c>
      <c r="S19" s="317">
        <f>IF($D19="","",IFERROR(COUNTIF(INDIRECT("'"&amp;$D19&amp;"'!$D$7:$D$500"),"UI"),0))</f>
        <v/>
      </c>
      <c r="T19" s="317">
        <f>IF($D19="","",IFERROR(COUNTIF(INDIRECT("'"&amp;$D19&amp;"'!$D$7:$D$500"),"Integration"),0))</f>
        <v/>
      </c>
      <c r="U19" s="317">
        <f>IF($D19="","",IFERROR(COUNTIF(INDIRECT("'"&amp;$D19&amp;"'!$D$7:$D$500"),"Database Test Case"),0))</f>
        <v/>
      </c>
      <c r="V19" s="317">
        <f>IF($D19="","",IFERROR(COUNTIF(INDIRECT("'"&amp;$D19&amp;"'!$J$7:$J$500"),"AI"),0))</f>
        <v/>
      </c>
      <c r="W19" s="317">
        <f>IF($D19="","",IFERROR(COUNTIF(INDIRECT("'"&amp;$D19&amp;"'!$J$7:$J$500"),"QC"),0))</f>
        <v/>
      </c>
      <c r="X19" s="317">
        <f>IF($D19="","",IFERROR(COUNTIF(INDIRECT("'"&amp;$D19&amp;"'!$L$7:$L$500"),"Yes"),0))</f>
        <v/>
      </c>
      <c r="Y19" s="317">
        <f>IF($D19="","",IFERROR(COUNTIF(INDIRECT("'"&amp;$D19&amp;"'!$AM$7:$AM$500"),"Yes"),0))</f>
        <v/>
      </c>
      <c r="Z19" s="317">
        <f>IF($D19="","",IFERROR(COUNTIF(INDIRECT("'"&amp;$D19&amp;"'!$AN$7:$AN$500"),"Pass"),0))</f>
        <v/>
      </c>
      <c r="AA19" s="317">
        <f>IF($D19="","",IFERROR(COUNTIF(INDIRECT("'"&amp;$D19&amp;"'!$K$7:$K$500"),"Reviewed"),0))</f>
        <v/>
      </c>
      <c r="AB19" s="321">
        <f>IF($D19="","",IFERROR(SUMPRODUCT((INDIRECT("'"&amp;$D19&amp;"'!$E$7:$E$500")="High")*(INDIRECT("'"&amp;$D19&amp;"'!$AO$7:$AO$500")&lt;&gt;"")),0))</f>
        <v/>
      </c>
      <c r="AC19" s="321">
        <f>IF($D19="","",IFERROR(SUMPRODUCT((INDIRECT("'"&amp;$D19&amp;"'!$E$7:$E$500")="Medium")*(INDIRECT("'"&amp;$D19&amp;"'!$AO$7:$AO$500")&lt;&gt;"")),0))</f>
        <v/>
      </c>
      <c r="AD19" s="321">
        <f>IF($D19="","",IFERROR(SUMPRODUCT((INDIRECT("'"&amp;$D19&amp;"'!$E$7:$E$500")="Low")*(INDIRECT("'"&amp;$D19&amp;"'!$AO$7:$AO$500")&lt;&gt;"")),0))</f>
        <v/>
      </c>
      <c r="AE19" s="322">
        <f>IF($D19="","",IFERROR(COUNTIF(INDIRECT("'"&amp;$D19&amp;"'!$P$7:$P$500"),"&lt;&gt;"),0))</f>
        <v/>
      </c>
      <c r="AF19" s="322">
        <f>IF($D19="","",IFERROR(COUNTIF(INDIRECT("'"&amp;$D19&amp;"'!$P$7:$P$500"),"Pass"),0))</f>
        <v/>
      </c>
      <c r="AG19" s="322">
        <f>IF($D19="","",IFERROR(COUNTIF(INDIRECT("'"&amp;$D19&amp;"'!$P$7:$P$500"),"Fail"),0))</f>
        <v/>
      </c>
      <c r="AH19" s="322">
        <f>IF($D19="","",IFERROR(COUNTIF(INDIRECT("'"&amp;$D19&amp;"'!$P$7:$P$500"),"Block"),0))</f>
        <v/>
      </c>
      <c r="AI19" s="322">
        <f>IF($D19="","",IFERROR(COUNTIF(INDIRECT("'"&amp;$D19&amp;"'!$P$7:$P$500"),"N/A"),0))</f>
        <v/>
      </c>
      <c r="AJ19" s="322">
        <f>IF($D19="","",IFERROR(COUNTIF(INDIRECT("'"&amp;$D19&amp;"'!$U$7:$U$500"),"&lt;&gt;"),0))</f>
        <v/>
      </c>
      <c r="AK19" s="322">
        <f>IF($D19="","",IFERROR(COUNTIF(INDIRECT("'"&amp;$D19&amp;"'!$U$7:$U$500"),"Pass"),0))</f>
        <v/>
      </c>
      <c r="AL19" s="322">
        <f>IF($D19="","",IFERROR(COUNTIF(INDIRECT("'"&amp;$D19&amp;"'!$U$7:$U$500"),"Fail"),0))</f>
        <v/>
      </c>
      <c r="AM19" s="322">
        <f>IF($D19="","",IFERROR(COUNTIF(INDIRECT("'"&amp;$D19&amp;"'!$U$7:$U$500"),"Block"),0))</f>
        <v/>
      </c>
      <c r="AN19" s="322">
        <f>IF($D19="","",IFERROR(COUNTIF(INDIRECT("'"&amp;$D19&amp;"'!$U$7:$U$500"),"N/A"),0))</f>
        <v/>
      </c>
      <c r="AO19" s="322">
        <f>IF($D19="","",IFERROR(COUNTIF(INDIRECT("'"&amp;$D19&amp;"'!$Z$7:$Z$500"),"&lt;&gt;"),0))</f>
        <v/>
      </c>
      <c r="AP19" s="322">
        <f>IF($D19="","",IFERROR(COUNTIF(INDIRECT("'"&amp;$D19&amp;"'!$Z$7:$Z$500"),"Pass"),0))</f>
        <v/>
      </c>
      <c r="AQ19" s="322">
        <f>IF($D19="","",IFERROR(COUNTIF(INDIRECT("'"&amp;$D19&amp;"'!$Z$7:$Z$500"),"Fail"),0))</f>
        <v/>
      </c>
      <c r="AR19" s="322">
        <f>IF($D19="","",IFERROR(COUNTIF(INDIRECT("'"&amp;$D19&amp;"'!$Z$7:$Z$500"),"Block"),0))</f>
        <v/>
      </c>
      <c r="AS19" s="322">
        <f>IF($D19="","",IFERROR(COUNTIF(INDIRECT("'"&amp;$D19&amp;"'!$Z$7:$Z$500"),"N/A"),0))</f>
        <v/>
      </c>
      <c r="AT19" s="322">
        <f>IF($D19="","",IFERROR(COUNTIF(INDIRECT("'"&amp;$D19&amp;"'!$AE$7:$AE$500"),"&lt;&gt;"),0))</f>
        <v/>
      </c>
      <c r="AU19" s="322">
        <f>IF($D19="","",IFERROR(COUNTIF(INDIRECT("'"&amp;$D19&amp;"'!$AE$7:$AE$500"),"Pass"),0))</f>
        <v/>
      </c>
      <c r="AV19" s="322">
        <f>IF($D19="","",IFERROR(COUNTIF(INDIRECT("'"&amp;$D19&amp;"'!$AE$7:$AE$500"),"Fail"),0))</f>
        <v/>
      </c>
      <c r="AW19" s="322">
        <f>IF($D19="","",IFERROR(COUNTIF(INDIRECT("'"&amp;$D19&amp;"'!$AE$7:$AE$500"),"Block"),0))</f>
        <v/>
      </c>
      <c r="AX19" s="322">
        <f>IF($D19="","",IFERROR(COUNTIF(INDIRECT("'"&amp;$D19&amp;"'!$AE$7:$AE$500"),"N/A"),0))</f>
        <v/>
      </c>
      <c r="AY19" s="322">
        <f>IF($D19="","",IFERROR(COUNTIF(INDIRECT("'"&amp;$D19&amp;"'!$AJ$7:$AJ$500"),"&lt;&gt;"),0))</f>
        <v/>
      </c>
      <c r="AZ19" s="322">
        <f>IF($D19="","",IFERROR(COUNTIF(INDIRECT("'"&amp;$D19&amp;"'!$AJ$7:$AJ$500"),"Pass"),0))</f>
        <v/>
      </c>
      <c r="BA19" s="322">
        <f>IF($D19="","",IFERROR(COUNTIF(INDIRECT("'"&amp;$D19&amp;"'!$AJ$7:$AJ$500"),"Fail"),0))</f>
        <v/>
      </c>
      <c r="BB19" s="322">
        <f>IF($D19="","",IFERROR(COUNTIF(INDIRECT("'"&amp;$D19&amp;"'!$AJ$7:$AJ$500"),"Block"),0))</f>
        <v/>
      </c>
      <c r="BC19" s="224">
        <f>IF($D19="","",IFERROR(COUNTIF(INDIRECT("'"&amp;$D19&amp;"'!$AJ$7:$AJ$500"),"N/A"),0))</f>
        <v/>
      </c>
    </row>
    <row r="20" ht="15" customHeight="1" s="225">
      <c r="B20" s="317">
        <f>IF($D20="","",ROW()-3)</f>
        <v/>
      </c>
      <c r="C20" s="318" t="n"/>
      <c r="D20" s="318" t="n"/>
      <c r="E20" s="319" t="n"/>
      <c r="F20" s="317">
        <f>IF($D20="","",IFERROR(COUNTIF(INDIRECT("'"&amp;$D20&amp;"'!$C$7:$C$500"),"?*"),0))</f>
        <v/>
      </c>
      <c r="G20" s="317">
        <f>IF($D20="","",IFERROR(COUNTIF(INDIRECT("'"&amp;$D20&amp;"'!$AO$7:$AO$500"),"Pass"),0))</f>
        <v/>
      </c>
      <c r="H20" s="317">
        <f>IF($D20="","",IFERROR(COUNTIF(INDIRECT("'"&amp;$D20&amp;"'!$AO$7:$AO$500"),"Fail"),0))</f>
        <v/>
      </c>
      <c r="I20" s="317">
        <f>IF($D20="","",IFERROR(COUNTIF(INDIRECT("'"&amp;$D20&amp;"'!$AO$7:$AO$500"),"Block"),0))</f>
        <v/>
      </c>
      <c r="J20" s="317">
        <f>IF($D20="","",IFERROR(COUNTIF(INDIRECT("'"&amp;$D20&amp;"'!$AO$7:$AO$500"),"N/A"),0))</f>
        <v/>
      </c>
      <c r="K20" s="317">
        <f>IF($D20="","",MAX(0,$F20-$G20-$H20-$I20-$J20))</f>
        <v/>
      </c>
      <c r="L20" s="317">
        <f>IF($D20="","",$G20+$H20+$I20+$J20)</f>
        <v/>
      </c>
      <c r="M20" s="320">
        <f>IF($D20="","",IFERROR($L20/$F20,0))</f>
        <v/>
      </c>
      <c r="N20" s="320">
        <f>IF($D20="","",IFERROR($G20/$L20,0))</f>
        <v/>
      </c>
      <c r="O20" s="317">
        <f>IF($D20="","",IFERROR(COUNTIF(INDIRECT("'"&amp;$D20&amp;"'!$E$7:$E$500"),"High"),0))</f>
        <v/>
      </c>
      <c r="P20" s="317">
        <f>IF($D20="","",IFERROR(COUNTIF(INDIRECT("'"&amp;$D20&amp;"'!$E$7:$E$500"),"Medium"),0))</f>
        <v/>
      </c>
      <c r="Q20" s="317">
        <f>IF($D20="","",IFERROR(COUNTIF(INDIRECT("'"&amp;$D20&amp;"'!$E$7:$E$500"),"Low"),0))</f>
        <v/>
      </c>
      <c r="R20" s="317">
        <f>IF($D20="","",IFERROR(COUNTIF(INDIRECT("'"&amp;$D20&amp;"'!$D$7:$D$500"),"Functional"),0))</f>
        <v/>
      </c>
      <c r="S20" s="317">
        <f>IF($D20="","",IFERROR(COUNTIF(INDIRECT("'"&amp;$D20&amp;"'!$D$7:$D$500"),"UI"),0))</f>
        <v/>
      </c>
      <c r="T20" s="317">
        <f>IF($D20="","",IFERROR(COUNTIF(INDIRECT("'"&amp;$D20&amp;"'!$D$7:$D$500"),"Integration"),0))</f>
        <v/>
      </c>
      <c r="U20" s="317">
        <f>IF($D20="","",IFERROR(COUNTIF(INDIRECT("'"&amp;$D20&amp;"'!$D$7:$D$500"),"Database Test Case"),0))</f>
        <v/>
      </c>
      <c r="V20" s="317">
        <f>IF($D20="","",IFERROR(COUNTIF(INDIRECT("'"&amp;$D20&amp;"'!$J$7:$J$500"),"AI"),0))</f>
        <v/>
      </c>
      <c r="W20" s="317">
        <f>IF($D20="","",IFERROR(COUNTIF(INDIRECT("'"&amp;$D20&amp;"'!$J$7:$J$500"),"QC"),0))</f>
        <v/>
      </c>
      <c r="X20" s="317">
        <f>IF($D20="","",IFERROR(COUNTIF(INDIRECT("'"&amp;$D20&amp;"'!$L$7:$L$500"),"Yes"),0))</f>
        <v/>
      </c>
      <c r="Y20" s="317">
        <f>IF($D20="","",IFERROR(COUNTIF(INDIRECT("'"&amp;$D20&amp;"'!$AM$7:$AM$500"),"Yes"),0))</f>
        <v/>
      </c>
      <c r="Z20" s="317">
        <f>IF($D20="","",IFERROR(COUNTIF(INDIRECT("'"&amp;$D20&amp;"'!$AN$7:$AN$500"),"Pass"),0))</f>
        <v/>
      </c>
      <c r="AA20" s="317">
        <f>IF($D20="","",IFERROR(COUNTIF(INDIRECT("'"&amp;$D20&amp;"'!$K$7:$K$500"),"Reviewed"),0))</f>
        <v/>
      </c>
      <c r="AB20" s="321">
        <f>IF($D20="","",IFERROR(SUMPRODUCT((INDIRECT("'"&amp;$D20&amp;"'!$E$7:$E$500")="High")*(INDIRECT("'"&amp;$D20&amp;"'!$AO$7:$AO$500")&lt;&gt;"")),0))</f>
        <v/>
      </c>
      <c r="AC20" s="321">
        <f>IF($D20="","",IFERROR(SUMPRODUCT((INDIRECT("'"&amp;$D20&amp;"'!$E$7:$E$500")="Medium")*(INDIRECT("'"&amp;$D20&amp;"'!$AO$7:$AO$500")&lt;&gt;"")),0))</f>
        <v/>
      </c>
      <c r="AD20" s="321">
        <f>IF($D20="","",IFERROR(SUMPRODUCT((INDIRECT("'"&amp;$D20&amp;"'!$E$7:$E$500")="Low")*(INDIRECT("'"&amp;$D20&amp;"'!$AO$7:$AO$500")&lt;&gt;"")),0))</f>
        <v/>
      </c>
      <c r="AE20" s="322">
        <f>IF($D20="","",IFERROR(COUNTIF(INDIRECT("'"&amp;$D20&amp;"'!$P$7:$P$500"),"&lt;&gt;"),0))</f>
        <v/>
      </c>
      <c r="AF20" s="322">
        <f>IF($D20="","",IFERROR(COUNTIF(INDIRECT("'"&amp;$D20&amp;"'!$P$7:$P$500"),"Pass"),0))</f>
        <v/>
      </c>
      <c r="AG20" s="322">
        <f>IF($D20="","",IFERROR(COUNTIF(INDIRECT("'"&amp;$D20&amp;"'!$P$7:$P$500"),"Fail"),0))</f>
        <v/>
      </c>
      <c r="AH20" s="322">
        <f>IF($D20="","",IFERROR(COUNTIF(INDIRECT("'"&amp;$D20&amp;"'!$P$7:$P$500"),"Block"),0))</f>
        <v/>
      </c>
      <c r="AI20" s="322">
        <f>IF($D20="","",IFERROR(COUNTIF(INDIRECT("'"&amp;$D20&amp;"'!$P$7:$P$500"),"N/A"),0))</f>
        <v/>
      </c>
      <c r="AJ20" s="322">
        <f>IF($D20="","",IFERROR(COUNTIF(INDIRECT("'"&amp;$D20&amp;"'!$U$7:$U$500"),"&lt;&gt;"),0))</f>
        <v/>
      </c>
      <c r="AK20" s="322">
        <f>IF($D20="","",IFERROR(COUNTIF(INDIRECT("'"&amp;$D20&amp;"'!$U$7:$U$500"),"Pass"),0))</f>
        <v/>
      </c>
      <c r="AL20" s="322">
        <f>IF($D20="","",IFERROR(COUNTIF(INDIRECT("'"&amp;$D20&amp;"'!$U$7:$U$500"),"Fail"),0))</f>
        <v/>
      </c>
      <c r="AM20" s="322">
        <f>IF($D20="","",IFERROR(COUNTIF(INDIRECT("'"&amp;$D20&amp;"'!$U$7:$U$500"),"Block"),0))</f>
        <v/>
      </c>
      <c r="AN20" s="322">
        <f>IF($D20="","",IFERROR(COUNTIF(INDIRECT("'"&amp;$D20&amp;"'!$U$7:$U$500"),"N/A"),0))</f>
        <v/>
      </c>
      <c r="AO20" s="322">
        <f>IF($D20="","",IFERROR(COUNTIF(INDIRECT("'"&amp;$D20&amp;"'!$Z$7:$Z$500"),"&lt;&gt;"),0))</f>
        <v/>
      </c>
      <c r="AP20" s="322">
        <f>IF($D20="","",IFERROR(COUNTIF(INDIRECT("'"&amp;$D20&amp;"'!$Z$7:$Z$500"),"Pass"),0))</f>
        <v/>
      </c>
      <c r="AQ20" s="322">
        <f>IF($D20="","",IFERROR(COUNTIF(INDIRECT("'"&amp;$D20&amp;"'!$Z$7:$Z$500"),"Fail"),0))</f>
        <v/>
      </c>
      <c r="AR20" s="322">
        <f>IF($D20="","",IFERROR(COUNTIF(INDIRECT("'"&amp;$D20&amp;"'!$Z$7:$Z$500"),"Block"),0))</f>
        <v/>
      </c>
      <c r="AS20" s="322">
        <f>IF($D20="","",IFERROR(COUNTIF(INDIRECT("'"&amp;$D20&amp;"'!$Z$7:$Z$500"),"N/A"),0))</f>
        <v/>
      </c>
      <c r="AT20" s="322">
        <f>IF($D20="","",IFERROR(COUNTIF(INDIRECT("'"&amp;$D20&amp;"'!$AE$7:$AE$500"),"&lt;&gt;"),0))</f>
        <v/>
      </c>
      <c r="AU20" s="322">
        <f>IF($D20="","",IFERROR(COUNTIF(INDIRECT("'"&amp;$D20&amp;"'!$AE$7:$AE$500"),"Pass"),0))</f>
        <v/>
      </c>
      <c r="AV20" s="322">
        <f>IF($D20="","",IFERROR(COUNTIF(INDIRECT("'"&amp;$D20&amp;"'!$AE$7:$AE$500"),"Fail"),0))</f>
        <v/>
      </c>
      <c r="AW20" s="322">
        <f>IF($D20="","",IFERROR(COUNTIF(INDIRECT("'"&amp;$D20&amp;"'!$AE$7:$AE$500"),"Block"),0))</f>
        <v/>
      </c>
      <c r="AX20" s="322">
        <f>IF($D20="","",IFERROR(COUNTIF(INDIRECT("'"&amp;$D20&amp;"'!$AE$7:$AE$500"),"N/A"),0))</f>
        <v/>
      </c>
      <c r="AY20" s="322">
        <f>IF($D20="","",IFERROR(COUNTIF(INDIRECT("'"&amp;$D20&amp;"'!$AJ$7:$AJ$500"),"&lt;&gt;"),0))</f>
        <v/>
      </c>
      <c r="AZ20" s="322">
        <f>IF($D20="","",IFERROR(COUNTIF(INDIRECT("'"&amp;$D20&amp;"'!$AJ$7:$AJ$500"),"Pass"),0))</f>
        <v/>
      </c>
      <c r="BA20" s="322">
        <f>IF($D20="","",IFERROR(COUNTIF(INDIRECT("'"&amp;$D20&amp;"'!$AJ$7:$AJ$500"),"Fail"),0))</f>
        <v/>
      </c>
      <c r="BB20" s="322">
        <f>IF($D20="","",IFERROR(COUNTIF(INDIRECT("'"&amp;$D20&amp;"'!$AJ$7:$AJ$500"),"Block"),0))</f>
        <v/>
      </c>
      <c r="BC20" s="224">
        <f>IF($D20="","",IFERROR(COUNTIF(INDIRECT("'"&amp;$D20&amp;"'!$AJ$7:$AJ$500"),"N/A"),0))</f>
        <v/>
      </c>
    </row>
    <row r="21" ht="15.75" customHeight="1" s="225">
      <c r="B21" s="317">
        <f>IF($D21="","",ROW()-3)</f>
        <v/>
      </c>
      <c r="C21" s="318" t="n"/>
      <c r="D21" s="318" t="n"/>
      <c r="E21" s="319" t="n"/>
      <c r="F21" s="317">
        <f>IF($D21="","",IFERROR(COUNTIF(INDIRECT("'"&amp;$D21&amp;"'!$C$7:$C$500"),"?*"),0))</f>
        <v/>
      </c>
      <c r="G21" s="317">
        <f>IF($D21="","",IFERROR(COUNTIF(INDIRECT("'"&amp;$D21&amp;"'!$AO$7:$AO$500"),"Pass"),0))</f>
        <v/>
      </c>
      <c r="H21" s="317">
        <f>IF($D21="","",IFERROR(COUNTIF(INDIRECT("'"&amp;$D21&amp;"'!$AO$7:$AO$500"),"Fail"),0))</f>
        <v/>
      </c>
      <c r="I21" s="317">
        <f>IF($D21="","",IFERROR(COUNTIF(INDIRECT("'"&amp;$D21&amp;"'!$AO$7:$AO$500"),"Block"),0))</f>
        <v/>
      </c>
      <c r="J21" s="317">
        <f>IF($D21="","",IFERROR(COUNTIF(INDIRECT("'"&amp;$D21&amp;"'!$AO$7:$AO$500"),"N/A"),0))</f>
        <v/>
      </c>
      <c r="K21" s="317">
        <f>IF($D21="","",MAX(0,$F21-$G21-$H21-$I21-$J21))</f>
        <v/>
      </c>
      <c r="L21" s="317">
        <f>IF($D21="","",$G21+$H21+$I21+$J21)</f>
        <v/>
      </c>
      <c r="M21" s="320">
        <f>IF($D21="","",IFERROR($L21/$F21,0))</f>
        <v/>
      </c>
      <c r="N21" s="320">
        <f>IF($D21="","",IFERROR($G21/$L21,0))</f>
        <v/>
      </c>
      <c r="O21" s="317">
        <f>IF($D21="","",IFERROR(COUNTIF(INDIRECT("'"&amp;$D21&amp;"'!$E$7:$E$500"),"High"),0))</f>
        <v/>
      </c>
      <c r="P21" s="317">
        <f>IF($D21="","",IFERROR(COUNTIF(INDIRECT("'"&amp;$D21&amp;"'!$E$7:$E$500"),"Medium"),0))</f>
        <v/>
      </c>
      <c r="Q21" s="317">
        <f>IF($D21="","",IFERROR(COUNTIF(INDIRECT("'"&amp;$D21&amp;"'!$E$7:$E$500"),"Low"),0))</f>
        <v/>
      </c>
      <c r="R21" s="317">
        <f>IF($D21="","",IFERROR(COUNTIF(INDIRECT("'"&amp;$D21&amp;"'!$D$7:$D$500"),"Functional"),0))</f>
        <v/>
      </c>
      <c r="S21" s="317">
        <f>IF($D21="","",IFERROR(COUNTIF(INDIRECT("'"&amp;$D21&amp;"'!$D$7:$D$500"),"UI"),0))</f>
        <v/>
      </c>
      <c r="T21" s="317">
        <f>IF($D21="","",IFERROR(COUNTIF(INDIRECT("'"&amp;$D21&amp;"'!$D$7:$D$500"),"Integration"),0))</f>
        <v/>
      </c>
      <c r="U21" s="317">
        <f>IF($D21="","",IFERROR(COUNTIF(INDIRECT("'"&amp;$D21&amp;"'!$D$7:$D$500"),"Database Test Case"),0))</f>
        <v/>
      </c>
      <c r="V21" s="317">
        <f>IF($D21="","",IFERROR(COUNTIF(INDIRECT("'"&amp;$D21&amp;"'!$J$7:$J$500"),"AI"),0))</f>
        <v/>
      </c>
      <c r="W21" s="317">
        <f>IF($D21="","",IFERROR(COUNTIF(INDIRECT("'"&amp;$D21&amp;"'!$J$7:$J$500"),"QC"),0))</f>
        <v/>
      </c>
      <c r="X21" s="317">
        <f>IF($D21="","",IFERROR(COUNTIF(INDIRECT("'"&amp;$D21&amp;"'!$L$7:$L$500"),"Yes"),0))</f>
        <v/>
      </c>
      <c r="Y21" s="317">
        <f>IF($D21="","",IFERROR(COUNTIF(INDIRECT("'"&amp;$D21&amp;"'!$AM$7:$AM$500"),"Yes"),0))</f>
        <v/>
      </c>
      <c r="Z21" s="317">
        <f>IF($D21="","",IFERROR(COUNTIF(INDIRECT("'"&amp;$D21&amp;"'!$AN$7:$AN$500"),"Pass"),0))</f>
        <v/>
      </c>
      <c r="AA21" s="317">
        <f>IF($D21="","",IFERROR(COUNTIF(INDIRECT("'"&amp;$D21&amp;"'!$K$7:$K$500"),"Reviewed"),0))</f>
        <v/>
      </c>
      <c r="AB21" s="321">
        <f>IF($D21="","",IFERROR(SUMPRODUCT((INDIRECT("'"&amp;$D21&amp;"'!$E$7:$E$500")="High")*(INDIRECT("'"&amp;$D21&amp;"'!$AO$7:$AO$500")&lt;&gt;"")),0))</f>
        <v/>
      </c>
      <c r="AC21" s="321">
        <f>IF($D21="","",IFERROR(SUMPRODUCT((INDIRECT("'"&amp;$D21&amp;"'!$E$7:$E$500")="Medium")*(INDIRECT("'"&amp;$D21&amp;"'!$AO$7:$AO$500")&lt;&gt;"")),0))</f>
        <v/>
      </c>
      <c r="AD21" s="321">
        <f>IF($D21="","",IFERROR(SUMPRODUCT((INDIRECT("'"&amp;$D21&amp;"'!$E$7:$E$500")="Low")*(INDIRECT("'"&amp;$D21&amp;"'!$AO$7:$AO$500")&lt;&gt;"")),0))</f>
        <v/>
      </c>
      <c r="AE21" s="322">
        <f>IF($D21="","",IFERROR(COUNTIF(INDIRECT("'"&amp;$D21&amp;"'!$P$7:$P$500"),"&lt;&gt;"),0))</f>
        <v/>
      </c>
      <c r="AF21" s="322">
        <f>IF($D21="","",IFERROR(COUNTIF(INDIRECT("'"&amp;$D21&amp;"'!$P$7:$P$500"),"Pass"),0))</f>
        <v/>
      </c>
      <c r="AG21" s="322">
        <f>IF($D21="","",IFERROR(COUNTIF(INDIRECT("'"&amp;$D21&amp;"'!$P$7:$P$500"),"Fail"),0))</f>
        <v/>
      </c>
      <c r="AH21" s="322">
        <f>IF($D21="","",IFERROR(COUNTIF(INDIRECT("'"&amp;$D21&amp;"'!$P$7:$P$500"),"Block"),0))</f>
        <v/>
      </c>
      <c r="AI21" s="322">
        <f>IF($D21="","",IFERROR(COUNTIF(INDIRECT("'"&amp;$D21&amp;"'!$P$7:$P$500"),"N/A"),0))</f>
        <v/>
      </c>
      <c r="AJ21" s="322">
        <f>IF($D21="","",IFERROR(COUNTIF(INDIRECT("'"&amp;$D21&amp;"'!$U$7:$U$500"),"&lt;&gt;"),0))</f>
        <v/>
      </c>
      <c r="AK21" s="322">
        <f>IF($D21="","",IFERROR(COUNTIF(INDIRECT("'"&amp;$D21&amp;"'!$U$7:$U$500"),"Pass"),0))</f>
        <v/>
      </c>
      <c r="AL21" s="322">
        <f>IF($D21="","",IFERROR(COUNTIF(INDIRECT("'"&amp;$D21&amp;"'!$U$7:$U$500"),"Fail"),0))</f>
        <v/>
      </c>
      <c r="AM21" s="322">
        <f>IF($D21="","",IFERROR(COUNTIF(INDIRECT("'"&amp;$D21&amp;"'!$U$7:$U$500"),"Block"),0))</f>
        <v/>
      </c>
      <c r="AN21" s="322">
        <f>IF($D21="","",IFERROR(COUNTIF(INDIRECT("'"&amp;$D21&amp;"'!$U$7:$U$500"),"N/A"),0))</f>
        <v/>
      </c>
      <c r="AO21" s="322">
        <f>IF($D21="","",IFERROR(COUNTIF(INDIRECT("'"&amp;$D21&amp;"'!$Z$7:$Z$500"),"&lt;&gt;"),0))</f>
        <v/>
      </c>
      <c r="AP21" s="322">
        <f>IF($D21="","",IFERROR(COUNTIF(INDIRECT("'"&amp;$D21&amp;"'!$Z$7:$Z$500"),"Pass"),0))</f>
        <v/>
      </c>
      <c r="AQ21" s="322">
        <f>IF($D21="","",IFERROR(COUNTIF(INDIRECT("'"&amp;$D21&amp;"'!$Z$7:$Z$500"),"Fail"),0))</f>
        <v/>
      </c>
      <c r="AR21" s="322">
        <f>IF($D21="","",IFERROR(COUNTIF(INDIRECT("'"&amp;$D21&amp;"'!$Z$7:$Z$500"),"Block"),0))</f>
        <v/>
      </c>
      <c r="AS21" s="322">
        <f>IF($D21="","",IFERROR(COUNTIF(INDIRECT("'"&amp;$D21&amp;"'!$Z$7:$Z$500"),"N/A"),0))</f>
        <v/>
      </c>
      <c r="AT21" s="322">
        <f>IF($D21="","",IFERROR(COUNTIF(INDIRECT("'"&amp;$D21&amp;"'!$AE$7:$AE$500"),"&lt;&gt;"),0))</f>
        <v/>
      </c>
      <c r="AU21" s="322">
        <f>IF($D21="","",IFERROR(COUNTIF(INDIRECT("'"&amp;$D21&amp;"'!$AE$7:$AE$500"),"Pass"),0))</f>
        <v/>
      </c>
      <c r="AV21" s="322">
        <f>IF($D21="","",IFERROR(COUNTIF(INDIRECT("'"&amp;$D21&amp;"'!$AE$7:$AE$500"),"Fail"),0))</f>
        <v/>
      </c>
      <c r="AW21" s="322">
        <f>IF($D21="","",IFERROR(COUNTIF(INDIRECT("'"&amp;$D21&amp;"'!$AE$7:$AE$500"),"Block"),0))</f>
        <v/>
      </c>
      <c r="AX21" s="322">
        <f>IF($D21="","",IFERROR(COUNTIF(INDIRECT("'"&amp;$D21&amp;"'!$AE$7:$AE$500"),"N/A"),0))</f>
        <v/>
      </c>
      <c r="AY21" s="322">
        <f>IF($D21="","",IFERROR(COUNTIF(INDIRECT("'"&amp;$D21&amp;"'!$AJ$7:$AJ$500"),"&lt;&gt;"),0))</f>
        <v/>
      </c>
      <c r="AZ21" s="322">
        <f>IF($D21="","",IFERROR(COUNTIF(INDIRECT("'"&amp;$D21&amp;"'!$AJ$7:$AJ$500"),"Pass"),0))</f>
        <v/>
      </c>
      <c r="BA21" s="322">
        <f>IF($D21="","",IFERROR(COUNTIF(INDIRECT("'"&amp;$D21&amp;"'!$AJ$7:$AJ$500"),"Fail"),0))</f>
        <v/>
      </c>
      <c r="BB21" s="322">
        <f>IF($D21="","",IFERROR(COUNTIF(INDIRECT("'"&amp;$D21&amp;"'!$AJ$7:$AJ$500"),"Block"),0))</f>
        <v/>
      </c>
      <c r="BC21" s="224">
        <f>IF($D21="","",IFERROR(COUNTIF(INDIRECT("'"&amp;$D21&amp;"'!$AJ$7:$AJ$500"),"N/A"),0))</f>
        <v/>
      </c>
    </row>
    <row r="22" ht="15.75" customHeight="1" s="225">
      <c r="B22" s="317">
        <f>IF($D22="","",ROW()-3)</f>
        <v/>
      </c>
      <c r="C22" s="318" t="n"/>
      <c r="D22" s="318" t="n"/>
      <c r="E22" s="319" t="n"/>
      <c r="F22" s="317">
        <f>IF($D22="","",IFERROR(COUNTIF(INDIRECT("'"&amp;$D22&amp;"'!$C$7:$C$500"),"?*"),0))</f>
        <v/>
      </c>
      <c r="G22" s="317">
        <f>IF($D22="","",IFERROR(COUNTIF(INDIRECT("'"&amp;$D22&amp;"'!$AO$7:$AO$500"),"Pass"),0))</f>
        <v/>
      </c>
      <c r="H22" s="317">
        <f>IF($D22="","",IFERROR(COUNTIF(INDIRECT("'"&amp;$D22&amp;"'!$AO$7:$AO$500"),"Fail"),0))</f>
        <v/>
      </c>
      <c r="I22" s="317">
        <f>IF($D22="","",IFERROR(COUNTIF(INDIRECT("'"&amp;$D22&amp;"'!$AO$7:$AO$500"),"Block"),0))</f>
        <v/>
      </c>
      <c r="J22" s="317">
        <f>IF($D22="","",IFERROR(COUNTIF(INDIRECT("'"&amp;$D22&amp;"'!$AO$7:$AO$500"),"N/A"),0))</f>
        <v/>
      </c>
      <c r="K22" s="317">
        <f>IF($D22="","",MAX(0,$F22-$G22-$H22-$I22-$J22))</f>
        <v/>
      </c>
      <c r="L22" s="317">
        <f>IF($D22="","",$G22+$H22+$I22+$J22)</f>
        <v/>
      </c>
      <c r="M22" s="320">
        <f>IF($D22="","",IFERROR($L22/$F22,0))</f>
        <v/>
      </c>
      <c r="N22" s="320">
        <f>IF($D22="","",IFERROR($G22/$L22,0))</f>
        <v/>
      </c>
      <c r="O22" s="317">
        <f>IF($D22="","",IFERROR(COUNTIF(INDIRECT("'"&amp;$D22&amp;"'!$E$7:$E$500"),"High"),0))</f>
        <v/>
      </c>
      <c r="P22" s="317">
        <f>IF($D22="","",IFERROR(COUNTIF(INDIRECT("'"&amp;$D22&amp;"'!$E$7:$E$500"),"Medium"),0))</f>
        <v/>
      </c>
      <c r="Q22" s="317">
        <f>IF($D22="","",IFERROR(COUNTIF(INDIRECT("'"&amp;$D22&amp;"'!$E$7:$E$500"),"Low"),0))</f>
        <v/>
      </c>
      <c r="R22" s="317">
        <f>IF($D22="","",IFERROR(COUNTIF(INDIRECT("'"&amp;$D22&amp;"'!$D$7:$D$500"),"Functional"),0))</f>
        <v/>
      </c>
      <c r="S22" s="317">
        <f>IF($D22="","",IFERROR(COUNTIF(INDIRECT("'"&amp;$D22&amp;"'!$D$7:$D$500"),"UI"),0))</f>
        <v/>
      </c>
      <c r="T22" s="317">
        <f>IF($D22="","",IFERROR(COUNTIF(INDIRECT("'"&amp;$D22&amp;"'!$D$7:$D$500"),"Integration"),0))</f>
        <v/>
      </c>
      <c r="U22" s="317">
        <f>IF($D22="","",IFERROR(COUNTIF(INDIRECT("'"&amp;$D22&amp;"'!$D$7:$D$500"),"Database Test Case"),0))</f>
        <v/>
      </c>
      <c r="V22" s="317">
        <f>IF($D22="","",IFERROR(COUNTIF(INDIRECT("'"&amp;$D22&amp;"'!$J$7:$J$500"),"AI"),0))</f>
        <v/>
      </c>
      <c r="W22" s="317">
        <f>IF($D22="","",IFERROR(COUNTIF(INDIRECT("'"&amp;$D22&amp;"'!$J$7:$J$500"),"QC"),0))</f>
        <v/>
      </c>
      <c r="X22" s="317">
        <f>IF($D22="","",IFERROR(COUNTIF(INDIRECT("'"&amp;$D22&amp;"'!$L$7:$L$500"),"Yes"),0))</f>
        <v/>
      </c>
      <c r="Y22" s="317">
        <f>IF($D22="","",IFERROR(COUNTIF(INDIRECT("'"&amp;$D22&amp;"'!$AM$7:$AM$500"),"Yes"),0))</f>
        <v/>
      </c>
      <c r="Z22" s="317">
        <f>IF($D22="","",IFERROR(COUNTIF(INDIRECT("'"&amp;$D22&amp;"'!$AN$7:$AN$500"),"Pass"),0))</f>
        <v/>
      </c>
      <c r="AA22" s="317">
        <f>IF($D22="","",IFERROR(COUNTIF(INDIRECT("'"&amp;$D22&amp;"'!$K$7:$K$500"),"Reviewed"),0))</f>
        <v/>
      </c>
      <c r="AB22" s="321">
        <f>IF($D22="","",IFERROR(SUMPRODUCT((INDIRECT("'"&amp;$D22&amp;"'!$E$7:$E$500")="High")*(INDIRECT("'"&amp;$D22&amp;"'!$AO$7:$AO$500")&lt;&gt;"")),0))</f>
        <v/>
      </c>
      <c r="AC22" s="321">
        <f>IF($D22="","",IFERROR(SUMPRODUCT((INDIRECT("'"&amp;$D22&amp;"'!$E$7:$E$500")="Medium")*(INDIRECT("'"&amp;$D22&amp;"'!$AO$7:$AO$500")&lt;&gt;"")),0))</f>
        <v/>
      </c>
      <c r="AD22" s="321">
        <f>IF($D22="","",IFERROR(SUMPRODUCT((INDIRECT("'"&amp;$D22&amp;"'!$E$7:$E$500")="Low")*(INDIRECT("'"&amp;$D22&amp;"'!$AO$7:$AO$500")&lt;&gt;"")),0))</f>
        <v/>
      </c>
      <c r="AE22" s="322">
        <f>IF($D22="","",IFERROR(COUNTIF(INDIRECT("'"&amp;$D22&amp;"'!$P$7:$P$500"),"&lt;&gt;"),0))</f>
        <v/>
      </c>
      <c r="AF22" s="322">
        <f>IF($D22="","",IFERROR(COUNTIF(INDIRECT("'"&amp;$D22&amp;"'!$P$7:$P$500"),"Pass"),0))</f>
        <v/>
      </c>
      <c r="AG22" s="322">
        <f>IF($D22="","",IFERROR(COUNTIF(INDIRECT("'"&amp;$D22&amp;"'!$P$7:$P$500"),"Fail"),0))</f>
        <v/>
      </c>
      <c r="AH22" s="322">
        <f>IF($D22="","",IFERROR(COUNTIF(INDIRECT("'"&amp;$D22&amp;"'!$P$7:$P$500"),"Block"),0))</f>
        <v/>
      </c>
      <c r="AI22" s="322">
        <f>IF($D22="","",IFERROR(COUNTIF(INDIRECT("'"&amp;$D22&amp;"'!$P$7:$P$500"),"N/A"),0))</f>
        <v/>
      </c>
      <c r="AJ22" s="322">
        <f>IF($D22="","",IFERROR(COUNTIF(INDIRECT("'"&amp;$D22&amp;"'!$U$7:$U$500"),"&lt;&gt;"),0))</f>
        <v/>
      </c>
      <c r="AK22" s="322">
        <f>IF($D22="","",IFERROR(COUNTIF(INDIRECT("'"&amp;$D22&amp;"'!$U$7:$U$500"),"Pass"),0))</f>
        <v/>
      </c>
      <c r="AL22" s="322">
        <f>IF($D22="","",IFERROR(COUNTIF(INDIRECT("'"&amp;$D22&amp;"'!$U$7:$U$500"),"Fail"),0))</f>
        <v/>
      </c>
      <c r="AM22" s="322">
        <f>IF($D22="","",IFERROR(COUNTIF(INDIRECT("'"&amp;$D22&amp;"'!$U$7:$U$500"),"Block"),0))</f>
        <v/>
      </c>
      <c r="AN22" s="322">
        <f>IF($D22="","",IFERROR(COUNTIF(INDIRECT("'"&amp;$D22&amp;"'!$U$7:$U$500"),"N/A"),0))</f>
        <v/>
      </c>
      <c r="AO22" s="322">
        <f>IF($D22="","",IFERROR(COUNTIF(INDIRECT("'"&amp;$D22&amp;"'!$Z$7:$Z$500"),"&lt;&gt;"),0))</f>
        <v/>
      </c>
      <c r="AP22" s="322">
        <f>IF($D22="","",IFERROR(COUNTIF(INDIRECT("'"&amp;$D22&amp;"'!$Z$7:$Z$500"),"Pass"),0))</f>
        <v/>
      </c>
      <c r="AQ22" s="322">
        <f>IF($D22="","",IFERROR(COUNTIF(INDIRECT("'"&amp;$D22&amp;"'!$Z$7:$Z$500"),"Fail"),0))</f>
        <v/>
      </c>
      <c r="AR22" s="322">
        <f>IF($D22="","",IFERROR(COUNTIF(INDIRECT("'"&amp;$D22&amp;"'!$Z$7:$Z$500"),"Block"),0))</f>
        <v/>
      </c>
      <c r="AS22" s="322">
        <f>IF($D22="","",IFERROR(COUNTIF(INDIRECT("'"&amp;$D22&amp;"'!$Z$7:$Z$500"),"N/A"),0))</f>
        <v/>
      </c>
      <c r="AT22" s="322">
        <f>IF($D22="","",IFERROR(COUNTIF(INDIRECT("'"&amp;$D22&amp;"'!$AE$7:$AE$500"),"&lt;&gt;"),0))</f>
        <v/>
      </c>
      <c r="AU22" s="322">
        <f>IF($D22="","",IFERROR(COUNTIF(INDIRECT("'"&amp;$D22&amp;"'!$AE$7:$AE$500"),"Pass"),0))</f>
        <v/>
      </c>
      <c r="AV22" s="322">
        <f>IF($D22="","",IFERROR(COUNTIF(INDIRECT("'"&amp;$D22&amp;"'!$AE$7:$AE$500"),"Fail"),0))</f>
        <v/>
      </c>
      <c r="AW22" s="322">
        <f>IF($D22="","",IFERROR(COUNTIF(INDIRECT("'"&amp;$D22&amp;"'!$AE$7:$AE$500"),"Block"),0))</f>
        <v/>
      </c>
      <c r="AX22" s="322">
        <f>IF($D22="","",IFERROR(COUNTIF(INDIRECT("'"&amp;$D22&amp;"'!$AE$7:$AE$500"),"N/A"),0))</f>
        <v/>
      </c>
      <c r="AY22" s="322">
        <f>IF($D22="","",IFERROR(COUNTIF(INDIRECT("'"&amp;$D22&amp;"'!$AJ$7:$AJ$500"),"&lt;&gt;"),0))</f>
        <v/>
      </c>
      <c r="AZ22" s="322">
        <f>IF($D22="","",IFERROR(COUNTIF(INDIRECT("'"&amp;$D22&amp;"'!$AJ$7:$AJ$500"),"Pass"),0))</f>
        <v/>
      </c>
      <c r="BA22" s="322">
        <f>IF($D22="","",IFERROR(COUNTIF(INDIRECT("'"&amp;$D22&amp;"'!$AJ$7:$AJ$500"),"Fail"),0))</f>
        <v/>
      </c>
      <c r="BB22" s="322">
        <f>IF($D22="","",IFERROR(COUNTIF(INDIRECT("'"&amp;$D22&amp;"'!$AJ$7:$AJ$500"),"Block"),0))</f>
        <v/>
      </c>
      <c r="BC22" s="224">
        <f>IF($D22="","",IFERROR(COUNTIF(INDIRECT("'"&amp;$D22&amp;"'!$AJ$7:$AJ$500"),"N/A"),0))</f>
        <v/>
      </c>
    </row>
    <row r="23" ht="15.75" customHeight="1" s="225">
      <c r="B23" s="317">
        <f>IF($D23="","",ROW()-3)</f>
        <v/>
      </c>
      <c r="C23" s="318" t="n"/>
      <c r="D23" s="318" t="n"/>
      <c r="E23" s="319" t="n"/>
      <c r="F23" s="317">
        <f>IF($D23="","",IFERROR(COUNTIF(INDIRECT("'"&amp;$D23&amp;"'!$C$7:$C$500"),"?*"),0))</f>
        <v/>
      </c>
      <c r="G23" s="317">
        <f>IF($D23="","",IFERROR(COUNTIF(INDIRECT("'"&amp;$D23&amp;"'!$AO$7:$AO$500"),"Pass"),0))</f>
        <v/>
      </c>
      <c r="H23" s="317">
        <f>IF($D23="","",IFERROR(COUNTIF(INDIRECT("'"&amp;$D23&amp;"'!$AO$7:$AO$500"),"Fail"),0))</f>
        <v/>
      </c>
      <c r="I23" s="317">
        <f>IF($D23="","",IFERROR(COUNTIF(INDIRECT("'"&amp;$D23&amp;"'!$AO$7:$AO$500"),"Block"),0))</f>
        <v/>
      </c>
      <c r="J23" s="317">
        <f>IF($D23="","",IFERROR(COUNTIF(INDIRECT("'"&amp;$D23&amp;"'!$AO$7:$AO$500"),"N/A"),0))</f>
        <v/>
      </c>
      <c r="K23" s="317">
        <f>IF($D23="","",MAX(0,$F23-$G23-$H23-$I23-$J23))</f>
        <v/>
      </c>
      <c r="L23" s="317">
        <f>IF($D23="","",$G23+$H23+$I23+$J23)</f>
        <v/>
      </c>
      <c r="M23" s="320">
        <f>IF($D23="","",IFERROR($L23/$F23,0))</f>
        <v/>
      </c>
      <c r="N23" s="320">
        <f>IF($D23="","",IFERROR($G23/$L23,0))</f>
        <v/>
      </c>
      <c r="O23" s="317">
        <f>IF($D23="","",IFERROR(COUNTIF(INDIRECT("'"&amp;$D23&amp;"'!$E$7:$E$500"),"High"),0))</f>
        <v/>
      </c>
      <c r="P23" s="317">
        <f>IF($D23="","",IFERROR(COUNTIF(INDIRECT("'"&amp;$D23&amp;"'!$E$7:$E$500"),"Medium"),0))</f>
        <v/>
      </c>
      <c r="Q23" s="317">
        <f>IF($D23="","",IFERROR(COUNTIF(INDIRECT("'"&amp;$D23&amp;"'!$E$7:$E$500"),"Low"),0))</f>
        <v/>
      </c>
      <c r="R23" s="317">
        <f>IF($D23="","",IFERROR(COUNTIF(INDIRECT("'"&amp;$D23&amp;"'!$D$7:$D$500"),"Functional"),0))</f>
        <v/>
      </c>
      <c r="S23" s="317">
        <f>IF($D23="","",IFERROR(COUNTIF(INDIRECT("'"&amp;$D23&amp;"'!$D$7:$D$500"),"UI"),0))</f>
        <v/>
      </c>
      <c r="T23" s="317">
        <f>IF($D23="","",IFERROR(COUNTIF(INDIRECT("'"&amp;$D23&amp;"'!$D$7:$D$500"),"Integration"),0))</f>
        <v/>
      </c>
      <c r="U23" s="317">
        <f>IF($D23="","",IFERROR(COUNTIF(INDIRECT("'"&amp;$D23&amp;"'!$D$7:$D$500"),"Database Test Case"),0))</f>
        <v/>
      </c>
      <c r="V23" s="317">
        <f>IF($D23="","",IFERROR(COUNTIF(INDIRECT("'"&amp;$D23&amp;"'!$J$7:$J$500"),"AI"),0))</f>
        <v/>
      </c>
      <c r="W23" s="317">
        <f>IF($D23="","",IFERROR(COUNTIF(INDIRECT("'"&amp;$D23&amp;"'!$J$7:$J$500"),"QC"),0))</f>
        <v/>
      </c>
      <c r="X23" s="317">
        <f>IF($D23="","",IFERROR(COUNTIF(INDIRECT("'"&amp;$D23&amp;"'!$L$7:$L$500"),"Yes"),0))</f>
        <v/>
      </c>
      <c r="Y23" s="317">
        <f>IF($D23="","",IFERROR(COUNTIF(INDIRECT("'"&amp;$D23&amp;"'!$AM$7:$AM$500"),"Yes"),0))</f>
        <v/>
      </c>
      <c r="Z23" s="317">
        <f>IF($D23="","",IFERROR(COUNTIF(INDIRECT("'"&amp;$D23&amp;"'!$AN$7:$AN$500"),"Pass"),0))</f>
        <v/>
      </c>
      <c r="AA23" s="317">
        <f>IF($D23="","",IFERROR(COUNTIF(INDIRECT("'"&amp;$D23&amp;"'!$K$7:$K$500"),"Reviewed"),0))</f>
        <v/>
      </c>
      <c r="AB23" s="321">
        <f>IF($D23="","",IFERROR(SUMPRODUCT((INDIRECT("'"&amp;$D23&amp;"'!$E$7:$E$500")="High")*(INDIRECT("'"&amp;$D23&amp;"'!$AO$7:$AO$500")&lt;&gt;"")),0))</f>
        <v/>
      </c>
      <c r="AC23" s="321">
        <f>IF($D23="","",IFERROR(SUMPRODUCT((INDIRECT("'"&amp;$D23&amp;"'!$E$7:$E$500")="Medium")*(INDIRECT("'"&amp;$D23&amp;"'!$AO$7:$AO$500")&lt;&gt;"")),0))</f>
        <v/>
      </c>
      <c r="AD23" s="321">
        <f>IF($D23="","",IFERROR(SUMPRODUCT((INDIRECT("'"&amp;$D23&amp;"'!$E$7:$E$500")="Low")*(INDIRECT("'"&amp;$D23&amp;"'!$AO$7:$AO$500")&lt;&gt;"")),0))</f>
        <v/>
      </c>
      <c r="AE23" s="322">
        <f>IF($D23="","",IFERROR(COUNTIF(INDIRECT("'"&amp;$D23&amp;"'!$P$7:$P$500"),"&lt;&gt;"),0))</f>
        <v/>
      </c>
      <c r="AF23" s="322">
        <f>IF($D23="","",IFERROR(COUNTIF(INDIRECT("'"&amp;$D23&amp;"'!$P$7:$P$500"),"Pass"),0))</f>
        <v/>
      </c>
      <c r="AG23" s="322">
        <f>IF($D23="","",IFERROR(COUNTIF(INDIRECT("'"&amp;$D23&amp;"'!$P$7:$P$500"),"Fail"),0))</f>
        <v/>
      </c>
      <c r="AH23" s="322">
        <f>IF($D23="","",IFERROR(COUNTIF(INDIRECT("'"&amp;$D23&amp;"'!$P$7:$P$500"),"Block"),0))</f>
        <v/>
      </c>
      <c r="AI23" s="322">
        <f>IF($D23="","",IFERROR(COUNTIF(INDIRECT("'"&amp;$D23&amp;"'!$P$7:$P$500"),"N/A"),0))</f>
        <v/>
      </c>
      <c r="AJ23" s="322">
        <f>IF($D23="","",IFERROR(COUNTIF(INDIRECT("'"&amp;$D23&amp;"'!$U$7:$U$500"),"&lt;&gt;"),0))</f>
        <v/>
      </c>
      <c r="AK23" s="322">
        <f>IF($D23="","",IFERROR(COUNTIF(INDIRECT("'"&amp;$D23&amp;"'!$U$7:$U$500"),"Pass"),0))</f>
        <v/>
      </c>
      <c r="AL23" s="322">
        <f>IF($D23="","",IFERROR(COUNTIF(INDIRECT("'"&amp;$D23&amp;"'!$U$7:$U$500"),"Fail"),0))</f>
        <v/>
      </c>
      <c r="AM23" s="322">
        <f>IF($D23="","",IFERROR(COUNTIF(INDIRECT("'"&amp;$D23&amp;"'!$U$7:$U$500"),"Block"),0))</f>
        <v/>
      </c>
      <c r="AN23" s="322">
        <f>IF($D23="","",IFERROR(COUNTIF(INDIRECT("'"&amp;$D23&amp;"'!$U$7:$U$500"),"N/A"),0))</f>
        <v/>
      </c>
      <c r="AO23" s="322">
        <f>IF($D23="","",IFERROR(COUNTIF(INDIRECT("'"&amp;$D23&amp;"'!$Z$7:$Z$500"),"&lt;&gt;"),0))</f>
        <v/>
      </c>
      <c r="AP23" s="322">
        <f>IF($D23="","",IFERROR(COUNTIF(INDIRECT("'"&amp;$D23&amp;"'!$Z$7:$Z$500"),"Pass"),0))</f>
        <v/>
      </c>
      <c r="AQ23" s="322">
        <f>IF($D23="","",IFERROR(COUNTIF(INDIRECT("'"&amp;$D23&amp;"'!$Z$7:$Z$500"),"Fail"),0))</f>
        <v/>
      </c>
      <c r="AR23" s="322">
        <f>IF($D23="","",IFERROR(COUNTIF(INDIRECT("'"&amp;$D23&amp;"'!$Z$7:$Z$500"),"Block"),0))</f>
        <v/>
      </c>
      <c r="AS23" s="322">
        <f>IF($D23="","",IFERROR(COUNTIF(INDIRECT("'"&amp;$D23&amp;"'!$Z$7:$Z$500"),"N/A"),0))</f>
        <v/>
      </c>
      <c r="AT23" s="322">
        <f>IF($D23="","",IFERROR(COUNTIF(INDIRECT("'"&amp;$D23&amp;"'!$AE$7:$AE$500"),"&lt;&gt;"),0))</f>
        <v/>
      </c>
      <c r="AU23" s="322">
        <f>IF($D23="","",IFERROR(COUNTIF(INDIRECT("'"&amp;$D23&amp;"'!$AE$7:$AE$500"),"Pass"),0))</f>
        <v/>
      </c>
      <c r="AV23" s="322">
        <f>IF($D23="","",IFERROR(COUNTIF(INDIRECT("'"&amp;$D23&amp;"'!$AE$7:$AE$500"),"Fail"),0))</f>
        <v/>
      </c>
      <c r="AW23" s="322">
        <f>IF($D23="","",IFERROR(COUNTIF(INDIRECT("'"&amp;$D23&amp;"'!$AE$7:$AE$500"),"Block"),0))</f>
        <v/>
      </c>
      <c r="AX23" s="322">
        <f>IF($D23="","",IFERROR(COUNTIF(INDIRECT("'"&amp;$D23&amp;"'!$AE$7:$AE$500"),"N/A"),0))</f>
        <v/>
      </c>
      <c r="AY23" s="322">
        <f>IF($D23="","",IFERROR(COUNTIF(INDIRECT("'"&amp;$D23&amp;"'!$AJ$7:$AJ$500"),"&lt;&gt;"),0))</f>
        <v/>
      </c>
      <c r="AZ23" s="322">
        <f>IF($D23="","",IFERROR(COUNTIF(INDIRECT("'"&amp;$D23&amp;"'!$AJ$7:$AJ$500"),"Pass"),0))</f>
        <v/>
      </c>
      <c r="BA23" s="322">
        <f>IF($D23="","",IFERROR(COUNTIF(INDIRECT("'"&amp;$D23&amp;"'!$AJ$7:$AJ$500"),"Fail"),0))</f>
        <v/>
      </c>
      <c r="BB23" s="322">
        <f>IF($D23="","",IFERROR(COUNTIF(INDIRECT("'"&amp;$D23&amp;"'!$AJ$7:$AJ$500"),"Block"),0))</f>
        <v/>
      </c>
      <c r="BC23" s="224">
        <f>IF($D23="","",IFERROR(COUNTIF(INDIRECT("'"&amp;$D23&amp;"'!$AJ$7:$AJ$500"),"N/A"),0))</f>
        <v/>
      </c>
    </row>
    <row r="24" ht="15.75" customHeight="1" s="225">
      <c r="B24" s="317">
        <f>IF($D24="","",ROW()-3)</f>
        <v/>
      </c>
      <c r="C24" s="318" t="n"/>
      <c r="D24" s="318" t="n"/>
      <c r="E24" s="319" t="n"/>
      <c r="F24" s="317">
        <f>IF($D24="","",IFERROR(COUNTIF(INDIRECT("'"&amp;$D24&amp;"'!$C$7:$C$500"),"?*"),0))</f>
        <v/>
      </c>
      <c r="G24" s="317">
        <f>IF($D24="","",IFERROR(COUNTIF(INDIRECT("'"&amp;$D24&amp;"'!$AO$7:$AO$500"),"Pass"),0))</f>
        <v/>
      </c>
      <c r="H24" s="317">
        <f>IF($D24="","",IFERROR(COUNTIF(INDIRECT("'"&amp;$D24&amp;"'!$AO$7:$AO$500"),"Fail"),0))</f>
        <v/>
      </c>
      <c r="I24" s="317">
        <f>IF($D24="","",IFERROR(COUNTIF(INDIRECT("'"&amp;$D24&amp;"'!$AO$7:$AO$500"),"Block"),0))</f>
        <v/>
      </c>
      <c r="J24" s="317">
        <f>IF($D24="","",IFERROR(COUNTIF(INDIRECT("'"&amp;$D24&amp;"'!$AO$7:$AO$500"),"N/A"),0))</f>
        <v/>
      </c>
      <c r="K24" s="317">
        <f>IF($D24="","",MAX(0,$F24-$G24-$H24-$I24-$J24))</f>
        <v/>
      </c>
      <c r="L24" s="317">
        <f>IF($D24="","",$G24+$H24+$I24+$J24)</f>
        <v/>
      </c>
      <c r="M24" s="320">
        <f>IF($D24="","",IFERROR($L24/$F24,0))</f>
        <v/>
      </c>
      <c r="N24" s="320">
        <f>IF($D24="","",IFERROR($G24/$L24,0))</f>
        <v/>
      </c>
      <c r="O24" s="317">
        <f>IF($D24="","",IFERROR(COUNTIF(INDIRECT("'"&amp;$D24&amp;"'!$E$7:$E$500"),"High"),0))</f>
        <v/>
      </c>
      <c r="P24" s="317">
        <f>IF($D24="","",IFERROR(COUNTIF(INDIRECT("'"&amp;$D24&amp;"'!$E$7:$E$500"),"Medium"),0))</f>
        <v/>
      </c>
      <c r="Q24" s="317">
        <f>IF($D24="","",IFERROR(COUNTIF(INDIRECT("'"&amp;$D24&amp;"'!$E$7:$E$500"),"Low"),0))</f>
        <v/>
      </c>
      <c r="R24" s="317">
        <f>IF($D24="","",IFERROR(COUNTIF(INDIRECT("'"&amp;$D24&amp;"'!$D$7:$D$500"),"Functional"),0))</f>
        <v/>
      </c>
      <c r="S24" s="317">
        <f>IF($D24="","",IFERROR(COUNTIF(INDIRECT("'"&amp;$D24&amp;"'!$D$7:$D$500"),"UI"),0))</f>
        <v/>
      </c>
      <c r="T24" s="317">
        <f>IF($D24="","",IFERROR(COUNTIF(INDIRECT("'"&amp;$D24&amp;"'!$D$7:$D$500"),"Integration"),0))</f>
        <v/>
      </c>
      <c r="U24" s="317">
        <f>IF($D24="","",IFERROR(COUNTIF(INDIRECT("'"&amp;$D24&amp;"'!$D$7:$D$500"),"Database Test Case"),0))</f>
        <v/>
      </c>
      <c r="V24" s="317">
        <f>IF($D24="","",IFERROR(COUNTIF(INDIRECT("'"&amp;$D24&amp;"'!$J$7:$J$500"),"AI"),0))</f>
        <v/>
      </c>
      <c r="W24" s="317">
        <f>IF($D24="","",IFERROR(COUNTIF(INDIRECT("'"&amp;$D24&amp;"'!$J$7:$J$500"),"QC"),0))</f>
        <v/>
      </c>
      <c r="X24" s="317">
        <f>IF($D24="","",IFERROR(COUNTIF(INDIRECT("'"&amp;$D24&amp;"'!$L$7:$L$500"),"Yes"),0))</f>
        <v/>
      </c>
      <c r="Y24" s="317">
        <f>IF($D24="","",IFERROR(COUNTIF(INDIRECT("'"&amp;$D24&amp;"'!$AM$7:$AM$500"),"Yes"),0))</f>
        <v/>
      </c>
      <c r="Z24" s="317">
        <f>IF($D24="","",IFERROR(COUNTIF(INDIRECT("'"&amp;$D24&amp;"'!$AN$7:$AN$500"),"Pass"),0))</f>
        <v/>
      </c>
      <c r="AA24" s="317">
        <f>IF($D24="","",IFERROR(COUNTIF(INDIRECT("'"&amp;$D24&amp;"'!$K$7:$K$500"),"Reviewed"),0))</f>
        <v/>
      </c>
      <c r="AB24" s="321">
        <f>IF($D24="","",IFERROR(SUMPRODUCT((INDIRECT("'"&amp;$D24&amp;"'!$E$7:$E$500")="High")*(INDIRECT("'"&amp;$D24&amp;"'!$AO$7:$AO$500")&lt;&gt;"")),0))</f>
        <v/>
      </c>
      <c r="AC24" s="321">
        <f>IF($D24="","",IFERROR(SUMPRODUCT((INDIRECT("'"&amp;$D24&amp;"'!$E$7:$E$500")="Medium")*(INDIRECT("'"&amp;$D24&amp;"'!$AO$7:$AO$500")&lt;&gt;"")),0))</f>
        <v/>
      </c>
      <c r="AD24" s="321">
        <f>IF($D24="","",IFERROR(SUMPRODUCT((INDIRECT("'"&amp;$D24&amp;"'!$E$7:$E$500")="Low")*(INDIRECT("'"&amp;$D24&amp;"'!$AO$7:$AO$500")&lt;&gt;"")),0))</f>
        <v/>
      </c>
      <c r="AE24" s="322">
        <f>IF($D24="","",IFERROR(COUNTIF(INDIRECT("'"&amp;$D24&amp;"'!$P$7:$P$500"),"&lt;&gt;"),0))</f>
        <v/>
      </c>
      <c r="AF24" s="322">
        <f>IF($D24="","",IFERROR(COUNTIF(INDIRECT("'"&amp;$D24&amp;"'!$P$7:$P$500"),"Pass"),0))</f>
        <v/>
      </c>
      <c r="AG24" s="322">
        <f>IF($D24="","",IFERROR(COUNTIF(INDIRECT("'"&amp;$D24&amp;"'!$P$7:$P$500"),"Fail"),0))</f>
        <v/>
      </c>
      <c r="AH24" s="322">
        <f>IF($D24="","",IFERROR(COUNTIF(INDIRECT("'"&amp;$D24&amp;"'!$P$7:$P$500"),"Block"),0))</f>
        <v/>
      </c>
      <c r="AI24" s="322">
        <f>IF($D24="","",IFERROR(COUNTIF(INDIRECT("'"&amp;$D24&amp;"'!$P$7:$P$500"),"N/A"),0))</f>
        <v/>
      </c>
      <c r="AJ24" s="322">
        <f>IF($D24="","",IFERROR(COUNTIF(INDIRECT("'"&amp;$D24&amp;"'!$U$7:$U$500"),"&lt;&gt;"),0))</f>
        <v/>
      </c>
      <c r="AK24" s="322">
        <f>IF($D24="","",IFERROR(COUNTIF(INDIRECT("'"&amp;$D24&amp;"'!$U$7:$U$500"),"Pass"),0))</f>
        <v/>
      </c>
      <c r="AL24" s="322">
        <f>IF($D24="","",IFERROR(COUNTIF(INDIRECT("'"&amp;$D24&amp;"'!$U$7:$U$500"),"Fail"),0))</f>
        <v/>
      </c>
      <c r="AM24" s="322">
        <f>IF($D24="","",IFERROR(COUNTIF(INDIRECT("'"&amp;$D24&amp;"'!$U$7:$U$500"),"Block"),0))</f>
        <v/>
      </c>
      <c r="AN24" s="322">
        <f>IF($D24="","",IFERROR(COUNTIF(INDIRECT("'"&amp;$D24&amp;"'!$U$7:$U$500"),"N/A"),0))</f>
        <v/>
      </c>
      <c r="AO24" s="322">
        <f>IF($D24="","",IFERROR(COUNTIF(INDIRECT("'"&amp;$D24&amp;"'!$Z$7:$Z$500"),"&lt;&gt;"),0))</f>
        <v/>
      </c>
      <c r="AP24" s="322">
        <f>IF($D24="","",IFERROR(COUNTIF(INDIRECT("'"&amp;$D24&amp;"'!$Z$7:$Z$500"),"Pass"),0))</f>
        <v/>
      </c>
      <c r="AQ24" s="322">
        <f>IF($D24="","",IFERROR(COUNTIF(INDIRECT("'"&amp;$D24&amp;"'!$Z$7:$Z$500"),"Fail"),0))</f>
        <v/>
      </c>
      <c r="AR24" s="322">
        <f>IF($D24="","",IFERROR(COUNTIF(INDIRECT("'"&amp;$D24&amp;"'!$Z$7:$Z$500"),"Block"),0))</f>
        <v/>
      </c>
      <c r="AS24" s="322">
        <f>IF($D24="","",IFERROR(COUNTIF(INDIRECT("'"&amp;$D24&amp;"'!$Z$7:$Z$500"),"N/A"),0))</f>
        <v/>
      </c>
      <c r="AT24" s="322">
        <f>IF($D24="","",IFERROR(COUNTIF(INDIRECT("'"&amp;$D24&amp;"'!$AE$7:$AE$500"),"&lt;&gt;"),0))</f>
        <v/>
      </c>
      <c r="AU24" s="322">
        <f>IF($D24="","",IFERROR(COUNTIF(INDIRECT("'"&amp;$D24&amp;"'!$AE$7:$AE$500"),"Pass"),0))</f>
        <v/>
      </c>
      <c r="AV24" s="322">
        <f>IF($D24="","",IFERROR(COUNTIF(INDIRECT("'"&amp;$D24&amp;"'!$AE$7:$AE$500"),"Fail"),0))</f>
        <v/>
      </c>
      <c r="AW24" s="322">
        <f>IF($D24="","",IFERROR(COUNTIF(INDIRECT("'"&amp;$D24&amp;"'!$AE$7:$AE$500"),"Block"),0))</f>
        <v/>
      </c>
      <c r="AX24" s="322">
        <f>IF($D24="","",IFERROR(COUNTIF(INDIRECT("'"&amp;$D24&amp;"'!$AE$7:$AE$500"),"N/A"),0))</f>
        <v/>
      </c>
      <c r="AY24" s="322">
        <f>IF($D24="","",IFERROR(COUNTIF(INDIRECT("'"&amp;$D24&amp;"'!$AJ$7:$AJ$500"),"&lt;&gt;"),0))</f>
        <v/>
      </c>
      <c r="AZ24" s="322">
        <f>IF($D24="","",IFERROR(COUNTIF(INDIRECT("'"&amp;$D24&amp;"'!$AJ$7:$AJ$500"),"Pass"),0))</f>
        <v/>
      </c>
      <c r="BA24" s="322">
        <f>IF($D24="","",IFERROR(COUNTIF(INDIRECT("'"&amp;$D24&amp;"'!$AJ$7:$AJ$500"),"Fail"),0))</f>
        <v/>
      </c>
      <c r="BB24" s="322">
        <f>IF($D24="","",IFERROR(COUNTIF(INDIRECT("'"&amp;$D24&amp;"'!$AJ$7:$AJ$500"),"Block"),0))</f>
        <v/>
      </c>
      <c r="BC24" s="224">
        <f>IF($D24="","",IFERROR(COUNTIF(INDIRECT("'"&amp;$D24&amp;"'!$AJ$7:$AJ$500"),"N/A"),0))</f>
        <v/>
      </c>
    </row>
    <row r="25" ht="15.75" customHeight="1" s="225">
      <c r="B25" s="317">
        <f>IF($D25="","",ROW()-3)</f>
        <v/>
      </c>
      <c r="C25" s="318" t="n"/>
      <c r="D25" s="318" t="n"/>
      <c r="E25" s="319" t="n"/>
      <c r="F25" s="317">
        <f>IF($D25="","",IFERROR(COUNTIF(INDIRECT("'"&amp;$D25&amp;"'!$C$7:$C$500"),"?*"),0))</f>
        <v/>
      </c>
      <c r="G25" s="317">
        <f>IF($D25="","",IFERROR(COUNTIF(INDIRECT("'"&amp;$D25&amp;"'!$AO$7:$AO$500"),"Pass"),0))</f>
        <v/>
      </c>
      <c r="H25" s="317">
        <f>IF($D25="","",IFERROR(COUNTIF(INDIRECT("'"&amp;$D25&amp;"'!$AO$7:$AO$500"),"Fail"),0))</f>
        <v/>
      </c>
      <c r="I25" s="317">
        <f>IF($D25="","",IFERROR(COUNTIF(INDIRECT("'"&amp;$D25&amp;"'!$AO$7:$AO$500"),"Block"),0))</f>
        <v/>
      </c>
      <c r="J25" s="317">
        <f>IF($D25="","",IFERROR(COUNTIF(INDIRECT("'"&amp;$D25&amp;"'!$AO$7:$AO$500"),"N/A"),0))</f>
        <v/>
      </c>
      <c r="K25" s="317">
        <f>IF($D25="","",MAX(0,$F25-$G25-$H25-$I25-$J25))</f>
        <v/>
      </c>
      <c r="L25" s="317">
        <f>IF($D25="","",$G25+$H25+$I25+$J25)</f>
        <v/>
      </c>
      <c r="M25" s="320">
        <f>IF($D25="","",IFERROR($L25/$F25,0))</f>
        <v/>
      </c>
      <c r="N25" s="320">
        <f>IF($D25="","",IFERROR($G25/$L25,0))</f>
        <v/>
      </c>
      <c r="O25" s="317">
        <f>IF($D25="","",IFERROR(COUNTIF(INDIRECT("'"&amp;$D25&amp;"'!$E$7:$E$500"),"High"),0))</f>
        <v/>
      </c>
      <c r="P25" s="317">
        <f>IF($D25="","",IFERROR(COUNTIF(INDIRECT("'"&amp;$D25&amp;"'!$E$7:$E$500"),"Medium"),0))</f>
        <v/>
      </c>
      <c r="Q25" s="317">
        <f>IF($D25="","",IFERROR(COUNTIF(INDIRECT("'"&amp;$D25&amp;"'!$E$7:$E$500"),"Low"),0))</f>
        <v/>
      </c>
      <c r="R25" s="317">
        <f>IF($D25="","",IFERROR(COUNTIF(INDIRECT("'"&amp;$D25&amp;"'!$D$7:$D$500"),"Functional"),0))</f>
        <v/>
      </c>
      <c r="S25" s="317">
        <f>IF($D25="","",IFERROR(COUNTIF(INDIRECT("'"&amp;$D25&amp;"'!$D$7:$D$500"),"UI"),0))</f>
        <v/>
      </c>
      <c r="T25" s="317">
        <f>IF($D25="","",IFERROR(COUNTIF(INDIRECT("'"&amp;$D25&amp;"'!$D$7:$D$500"),"Integration"),0))</f>
        <v/>
      </c>
      <c r="U25" s="317">
        <f>IF($D25="","",IFERROR(COUNTIF(INDIRECT("'"&amp;$D25&amp;"'!$D$7:$D$500"),"Database Test Case"),0))</f>
        <v/>
      </c>
      <c r="V25" s="317">
        <f>IF($D25="","",IFERROR(COUNTIF(INDIRECT("'"&amp;$D25&amp;"'!$J$7:$J$500"),"AI"),0))</f>
        <v/>
      </c>
      <c r="W25" s="317">
        <f>IF($D25="","",IFERROR(COUNTIF(INDIRECT("'"&amp;$D25&amp;"'!$J$7:$J$500"),"QC"),0))</f>
        <v/>
      </c>
      <c r="X25" s="317">
        <f>IF($D25="","",IFERROR(COUNTIF(INDIRECT("'"&amp;$D25&amp;"'!$L$7:$L$500"),"Yes"),0))</f>
        <v/>
      </c>
      <c r="Y25" s="317">
        <f>IF($D25="","",IFERROR(COUNTIF(INDIRECT("'"&amp;$D25&amp;"'!$AM$7:$AM$500"),"Yes"),0))</f>
        <v/>
      </c>
      <c r="Z25" s="317">
        <f>IF($D25="","",IFERROR(COUNTIF(INDIRECT("'"&amp;$D25&amp;"'!$AN$7:$AN$500"),"Pass"),0))</f>
        <v/>
      </c>
      <c r="AA25" s="317">
        <f>IF($D25="","",IFERROR(COUNTIF(INDIRECT("'"&amp;$D25&amp;"'!$K$7:$K$500"),"Reviewed"),0))</f>
        <v/>
      </c>
      <c r="AB25" s="321">
        <f>IF($D25="","",IFERROR(SUMPRODUCT((INDIRECT("'"&amp;$D25&amp;"'!$E$7:$E$500")="High")*(INDIRECT("'"&amp;$D25&amp;"'!$AO$7:$AO$500")&lt;&gt;"")),0))</f>
        <v/>
      </c>
      <c r="AC25" s="321">
        <f>IF($D25="","",IFERROR(SUMPRODUCT((INDIRECT("'"&amp;$D25&amp;"'!$E$7:$E$500")="Medium")*(INDIRECT("'"&amp;$D25&amp;"'!$AO$7:$AO$500")&lt;&gt;"")),0))</f>
        <v/>
      </c>
      <c r="AD25" s="321">
        <f>IF($D25="","",IFERROR(SUMPRODUCT((INDIRECT("'"&amp;$D25&amp;"'!$E$7:$E$500")="Low")*(INDIRECT("'"&amp;$D25&amp;"'!$AO$7:$AO$500")&lt;&gt;"")),0))</f>
        <v/>
      </c>
      <c r="AE25" s="322">
        <f>IF($D25="","",IFERROR(COUNTIF(INDIRECT("'"&amp;$D25&amp;"'!$P$7:$P$500"),"&lt;&gt;"),0))</f>
        <v/>
      </c>
      <c r="AF25" s="322">
        <f>IF($D25="","",IFERROR(COUNTIF(INDIRECT("'"&amp;$D25&amp;"'!$P$7:$P$500"),"Pass"),0))</f>
        <v/>
      </c>
      <c r="AG25" s="322">
        <f>IF($D25="","",IFERROR(COUNTIF(INDIRECT("'"&amp;$D25&amp;"'!$P$7:$P$500"),"Fail"),0))</f>
        <v/>
      </c>
      <c r="AH25" s="322">
        <f>IF($D25="","",IFERROR(COUNTIF(INDIRECT("'"&amp;$D25&amp;"'!$P$7:$P$500"),"Block"),0))</f>
        <v/>
      </c>
      <c r="AI25" s="322">
        <f>IF($D25="","",IFERROR(COUNTIF(INDIRECT("'"&amp;$D25&amp;"'!$P$7:$P$500"),"N/A"),0))</f>
        <v/>
      </c>
      <c r="AJ25" s="322">
        <f>IF($D25="","",IFERROR(COUNTIF(INDIRECT("'"&amp;$D25&amp;"'!$U$7:$U$500"),"&lt;&gt;"),0))</f>
        <v/>
      </c>
      <c r="AK25" s="322">
        <f>IF($D25="","",IFERROR(COUNTIF(INDIRECT("'"&amp;$D25&amp;"'!$U$7:$U$500"),"Pass"),0))</f>
        <v/>
      </c>
      <c r="AL25" s="322">
        <f>IF($D25="","",IFERROR(COUNTIF(INDIRECT("'"&amp;$D25&amp;"'!$U$7:$U$500"),"Fail"),0))</f>
        <v/>
      </c>
      <c r="AM25" s="322">
        <f>IF($D25="","",IFERROR(COUNTIF(INDIRECT("'"&amp;$D25&amp;"'!$U$7:$U$500"),"Block"),0))</f>
        <v/>
      </c>
      <c r="AN25" s="322">
        <f>IF($D25="","",IFERROR(COUNTIF(INDIRECT("'"&amp;$D25&amp;"'!$U$7:$U$500"),"N/A"),0))</f>
        <v/>
      </c>
      <c r="AO25" s="322">
        <f>IF($D25="","",IFERROR(COUNTIF(INDIRECT("'"&amp;$D25&amp;"'!$Z$7:$Z$500"),"&lt;&gt;"),0))</f>
        <v/>
      </c>
      <c r="AP25" s="322">
        <f>IF($D25="","",IFERROR(COUNTIF(INDIRECT("'"&amp;$D25&amp;"'!$Z$7:$Z$500"),"Pass"),0))</f>
        <v/>
      </c>
      <c r="AQ25" s="322">
        <f>IF($D25="","",IFERROR(COUNTIF(INDIRECT("'"&amp;$D25&amp;"'!$Z$7:$Z$500"),"Fail"),0))</f>
        <v/>
      </c>
      <c r="AR25" s="322">
        <f>IF($D25="","",IFERROR(COUNTIF(INDIRECT("'"&amp;$D25&amp;"'!$Z$7:$Z$500"),"Block"),0))</f>
        <v/>
      </c>
      <c r="AS25" s="322">
        <f>IF($D25="","",IFERROR(COUNTIF(INDIRECT("'"&amp;$D25&amp;"'!$Z$7:$Z$500"),"N/A"),0))</f>
        <v/>
      </c>
      <c r="AT25" s="322">
        <f>IF($D25="","",IFERROR(COUNTIF(INDIRECT("'"&amp;$D25&amp;"'!$AE$7:$AE$500"),"&lt;&gt;"),0))</f>
        <v/>
      </c>
      <c r="AU25" s="322">
        <f>IF($D25="","",IFERROR(COUNTIF(INDIRECT("'"&amp;$D25&amp;"'!$AE$7:$AE$500"),"Pass"),0))</f>
        <v/>
      </c>
      <c r="AV25" s="322">
        <f>IF($D25="","",IFERROR(COUNTIF(INDIRECT("'"&amp;$D25&amp;"'!$AE$7:$AE$500"),"Fail"),0))</f>
        <v/>
      </c>
      <c r="AW25" s="322">
        <f>IF($D25="","",IFERROR(COUNTIF(INDIRECT("'"&amp;$D25&amp;"'!$AE$7:$AE$500"),"Block"),0))</f>
        <v/>
      </c>
      <c r="AX25" s="322">
        <f>IF($D25="","",IFERROR(COUNTIF(INDIRECT("'"&amp;$D25&amp;"'!$AE$7:$AE$500"),"N/A"),0))</f>
        <v/>
      </c>
      <c r="AY25" s="322">
        <f>IF($D25="","",IFERROR(COUNTIF(INDIRECT("'"&amp;$D25&amp;"'!$AJ$7:$AJ$500"),"&lt;&gt;"),0))</f>
        <v/>
      </c>
      <c r="AZ25" s="322">
        <f>IF($D25="","",IFERROR(COUNTIF(INDIRECT("'"&amp;$D25&amp;"'!$AJ$7:$AJ$500"),"Pass"),0))</f>
        <v/>
      </c>
      <c r="BA25" s="322">
        <f>IF($D25="","",IFERROR(COUNTIF(INDIRECT("'"&amp;$D25&amp;"'!$AJ$7:$AJ$500"),"Fail"),0))</f>
        <v/>
      </c>
      <c r="BB25" s="322">
        <f>IF($D25="","",IFERROR(COUNTIF(INDIRECT("'"&amp;$D25&amp;"'!$AJ$7:$AJ$500"),"Block"),0))</f>
        <v/>
      </c>
      <c r="BC25" s="224">
        <f>IF($D25="","",IFERROR(COUNTIF(INDIRECT("'"&amp;$D25&amp;"'!$AJ$7:$AJ$500"),"N/A"),0))</f>
        <v/>
      </c>
    </row>
    <row r="26" ht="15.75" customHeight="1" s="225">
      <c r="B26" s="317">
        <f>IF($D26="","",ROW()-3)</f>
        <v/>
      </c>
      <c r="C26" s="318" t="n"/>
      <c r="D26" s="318" t="n"/>
      <c r="E26" s="319" t="n"/>
      <c r="F26" s="317">
        <f>IF($D26="","",IFERROR(COUNTIF(INDIRECT("'"&amp;$D26&amp;"'!$C$7:$C$500"),"?*"),0))</f>
        <v/>
      </c>
      <c r="G26" s="317">
        <f>IF($D26="","",IFERROR(COUNTIF(INDIRECT("'"&amp;$D26&amp;"'!$AO$7:$AO$500"),"Pass"),0))</f>
        <v/>
      </c>
      <c r="H26" s="317">
        <f>IF($D26="","",IFERROR(COUNTIF(INDIRECT("'"&amp;$D26&amp;"'!$AO$7:$AO$500"),"Fail"),0))</f>
        <v/>
      </c>
      <c r="I26" s="317">
        <f>IF($D26="","",IFERROR(COUNTIF(INDIRECT("'"&amp;$D26&amp;"'!$AO$7:$AO$500"),"Block"),0))</f>
        <v/>
      </c>
      <c r="J26" s="317">
        <f>IF($D26="","",IFERROR(COUNTIF(INDIRECT("'"&amp;$D26&amp;"'!$AO$7:$AO$500"),"N/A"),0))</f>
        <v/>
      </c>
      <c r="K26" s="317">
        <f>IF($D26="","",MAX(0,$F26-$G26-$H26-$I26-$J26))</f>
        <v/>
      </c>
      <c r="L26" s="317">
        <f>IF($D26="","",$G26+$H26+$I26+$J26)</f>
        <v/>
      </c>
      <c r="M26" s="320">
        <f>IF($D26="","",IFERROR($L26/$F26,0))</f>
        <v/>
      </c>
      <c r="N26" s="320">
        <f>IF($D26="","",IFERROR($G26/$L26,0))</f>
        <v/>
      </c>
      <c r="O26" s="317">
        <f>IF($D26="","",IFERROR(COUNTIF(INDIRECT("'"&amp;$D26&amp;"'!$E$7:$E$500"),"High"),0))</f>
        <v/>
      </c>
      <c r="P26" s="317">
        <f>IF($D26="","",IFERROR(COUNTIF(INDIRECT("'"&amp;$D26&amp;"'!$E$7:$E$500"),"Medium"),0))</f>
        <v/>
      </c>
      <c r="Q26" s="317">
        <f>IF($D26="","",IFERROR(COUNTIF(INDIRECT("'"&amp;$D26&amp;"'!$E$7:$E$500"),"Low"),0))</f>
        <v/>
      </c>
      <c r="R26" s="317">
        <f>IF($D26="","",IFERROR(COUNTIF(INDIRECT("'"&amp;$D26&amp;"'!$D$7:$D$500"),"Functional"),0))</f>
        <v/>
      </c>
      <c r="S26" s="317">
        <f>IF($D26="","",IFERROR(COUNTIF(INDIRECT("'"&amp;$D26&amp;"'!$D$7:$D$500"),"UI"),0))</f>
        <v/>
      </c>
      <c r="T26" s="317">
        <f>IF($D26="","",IFERROR(COUNTIF(INDIRECT("'"&amp;$D26&amp;"'!$D$7:$D$500"),"Integration"),0))</f>
        <v/>
      </c>
      <c r="U26" s="317">
        <f>IF($D26="","",IFERROR(COUNTIF(INDIRECT("'"&amp;$D26&amp;"'!$D$7:$D$500"),"Database Test Case"),0))</f>
        <v/>
      </c>
      <c r="V26" s="317">
        <f>IF($D26="","",IFERROR(COUNTIF(INDIRECT("'"&amp;$D26&amp;"'!$J$7:$J$500"),"AI"),0))</f>
        <v/>
      </c>
      <c r="W26" s="317">
        <f>IF($D26="","",IFERROR(COUNTIF(INDIRECT("'"&amp;$D26&amp;"'!$J$7:$J$500"),"QC"),0))</f>
        <v/>
      </c>
      <c r="X26" s="317">
        <f>IF($D26="","",IFERROR(COUNTIF(INDIRECT("'"&amp;$D26&amp;"'!$L$7:$L$500"),"Yes"),0))</f>
        <v/>
      </c>
      <c r="Y26" s="317">
        <f>IF($D26="","",IFERROR(COUNTIF(INDIRECT("'"&amp;$D26&amp;"'!$AM$7:$AM$500"),"Yes"),0))</f>
        <v/>
      </c>
      <c r="Z26" s="317">
        <f>IF($D26="","",IFERROR(COUNTIF(INDIRECT("'"&amp;$D26&amp;"'!$AN$7:$AN$500"),"Pass"),0))</f>
        <v/>
      </c>
      <c r="AA26" s="317">
        <f>IF($D26="","",IFERROR(COUNTIF(INDIRECT("'"&amp;$D26&amp;"'!$K$7:$K$500"),"Reviewed"),0))</f>
        <v/>
      </c>
      <c r="AB26" s="321">
        <f>IF($D26="","",IFERROR(SUMPRODUCT((INDIRECT("'"&amp;$D26&amp;"'!$E$7:$E$500")="High")*(INDIRECT("'"&amp;$D26&amp;"'!$AO$7:$AO$500")&lt;&gt;"")),0))</f>
        <v/>
      </c>
      <c r="AC26" s="321">
        <f>IF($D26="","",IFERROR(SUMPRODUCT((INDIRECT("'"&amp;$D26&amp;"'!$E$7:$E$500")="Medium")*(INDIRECT("'"&amp;$D26&amp;"'!$AO$7:$AO$500")&lt;&gt;"")),0))</f>
        <v/>
      </c>
      <c r="AD26" s="321">
        <f>IF($D26="","",IFERROR(SUMPRODUCT((INDIRECT("'"&amp;$D26&amp;"'!$E$7:$E$500")="Low")*(INDIRECT("'"&amp;$D26&amp;"'!$AO$7:$AO$500")&lt;&gt;"")),0))</f>
        <v/>
      </c>
      <c r="AE26" s="322">
        <f>IF($D26="","",IFERROR(COUNTIF(INDIRECT("'"&amp;$D26&amp;"'!$P$7:$P$500"),"&lt;&gt;"),0))</f>
        <v/>
      </c>
      <c r="AF26" s="322">
        <f>IF($D26="","",IFERROR(COUNTIF(INDIRECT("'"&amp;$D26&amp;"'!$P$7:$P$500"),"Pass"),0))</f>
        <v/>
      </c>
      <c r="AG26" s="322">
        <f>IF($D26="","",IFERROR(COUNTIF(INDIRECT("'"&amp;$D26&amp;"'!$P$7:$P$500"),"Fail"),0))</f>
        <v/>
      </c>
      <c r="AH26" s="322">
        <f>IF($D26="","",IFERROR(COUNTIF(INDIRECT("'"&amp;$D26&amp;"'!$P$7:$P$500"),"Block"),0))</f>
        <v/>
      </c>
      <c r="AI26" s="322">
        <f>IF($D26="","",IFERROR(COUNTIF(INDIRECT("'"&amp;$D26&amp;"'!$P$7:$P$500"),"N/A"),0))</f>
        <v/>
      </c>
      <c r="AJ26" s="322">
        <f>IF($D26="","",IFERROR(COUNTIF(INDIRECT("'"&amp;$D26&amp;"'!$U$7:$U$500"),"&lt;&gt;"),0))</f>
        <v/>
      </c>
      <c r="AK26" s="322">
        <f>IF($D26="","",IFERROR(COUNTIF(INDIRECT("'"&amp;$D26&amp;"'!$U$7:$U$500"),"Pass"),0))</f>
        <v/>
      </c>
      <c r="AL26" s="322">
        <f>IF($D26="","",IFERROR(COUNTIF(INDIRECT("'"&amp;$D26&amp;"'!$U$7:$U$500"),"Fail"),0))</f>
        <v/>
      </c>
      <c r="AM26" s="322">
        <f>IF($D26="","",IFERROR(COUNTIF(INDIRECT("'"&amp;$D26&amp;"'!$U$7:$U$500"),"Block"),0))</f>
        <v/>
      </c>
      <c r="AN26" s="322">
        <f>IF($D26="","",IFERROR(COUNTIF(INDIRECT("'"&amp;$D26&amp;"'!$U$7:$U$500"),"N/A"),0))</f>
        <v/>
      </c>
      <c r="AO26" s="322">
        <f>IF($D26="","",IFERROR(COUNTIF(INDIRECT("'"&amp;$D26&amp;"'!$Z$7:$Z$500"),"&lt;&gt;"),0))</f>
        <v/>
      </c>
      <c r="AP26" s="322">
        <f>IF($D26="","",IFERROR(COUNTIF(INDIRECT("'"&amp;$D26&amp;"'!$Z$7:$Z$500"),"Pass"),0))</f>
        <v/>
      </c>
      <c r="AQ26" s="322">
        <f>IF($D26="","",IFERROR(COUNTIF(INDIRECT("'"&amp;$D26&amp;"'!$Z$7:$Z$500"),"Fail"),0))</f>
        <v/>
      </c>
      <c r="AR26" s="322">
        <f>IF($D26="","",IFERROR(COUNTIF(INDIRECT("'"&amp;$D26&amp;"'!$Z$7:$Z$500"),"Block"),0))</f>
        <v/>
      </c>
      <c r="AS26" s="322">
        <f>IF($D26="","",IFERROR(COUNTIF(INDIRECT("'"&amp;$D26&amp;"'!$Z$7:$Z$500"),"N/A"),0))</f>
        <v/>
      </c>
      <c r="AT26" s="322">
        <f>IF($D26="","",IFERROR(COUNTIF(INDIRECT("'"&amp;$D26&amp;"'!$AE$7:$AE$500"),"&lt;&gt;"),0))</f>
        <v/>
      </c>
      <c r="AU26" s="322">
        <f>IF($D26="","",IFERROR(COUNTIF(INDIRECT("'"&amp;$D26&amp;"'!$AE$7:$AE$500"),"Pass"),0))</f>
        <v/>
      </c>
      <c r="AV26" s="322">
        <f>IF($D26="","",IFERROR(COUNTIF(INDIRECT("'"&amp;$D26&amp;"'!$AE$7:$AE$500"),"Fail"),0))</f>
        <v/>
      </c>
      <c r="AW26" s="322">
        <f>IF($D26="","",IFERROR(COUNTIF(INDIRECT("'"&amp;$D26&amp;"'!$AE$7:$AE$500"),"Block"),0))</f>
        <v/>
      </c>
      <c r="AX26" s="322">
        <f>IF($D26="","",IFERROR(COUNTIF(INDIRECT("'"&amp;$D26&amp;"'!$AE$7:$AE$500"),"N/A"),0))</f>
        <v/>
      </c>
      <c r="AY26" s="322">
        <f>IF($D26="","",IFERROR(COUNTIF(INDIRECT("'"&amp;$D26&amp;"'!$AJ$7:$AJ$500"),"&lt;&gt;"),0))</f>
        <v/>
      </c>
      <c r="AZ26" s="322">
        <f>IF($D26="","",IFERROR(COUNTIF(INDIRECT("'"&amp;$D26&amp;"'!$AJ$7:$AJ$500"),"Pass"),0))</f>
        <v/>
      </c>
      <c r="BA26" s="322">
        <f>IF($D26="","",IFERROR(COUNTIF(INDIRECT("'"&amp;$D26&amp;"'!$AJ$7:$AJ$500"),"Fail"),0))</f>
        <v/>
      </c>
      <c r="BB26" s="322">
        <f>IF($D26="","",IFERROR(COUNTIF(INDIRECT("'"&amp;$D26&amp;"'!$AJ$7:$AJ$500"),"Block"),0))</f>
        <v/>
      </c>
      <c r="BC26" s="224">
        <f>IF($D26="","",IFERROR(COUNTIF(INDIRECT("'"&amp;$D26&amp;"'!$AJ$7:$AJ$500"),"N/A"),0))</f>
        <v/>
      </c>
    </row>
    <row r="27" ht="15.75" customHeight="1" s="225">
      <c r="B27" s="317">
        <f>IF($D27="","",ROW()-3)</f>
        <v/>
      </c>
      <c r="C27" s="318" t="n"/>
      <c r="D27" s="318" t="n"/>
      <c r="E27" s="319" t="n"/>
      <c r="F27" s="317">
        <f>IF($D27="","",IFERROR(COUNTIF(INDIRECT("'"&amp;$D27&amp;"'!$C$7:$C$500"),"?*"),0))</f>
        <v/>
      </c>
      <c r="G27" s="317">
        <f>IF($D27="","",IFERROR(COUNTIF(INDIRECT("'"&amp;$D27&amp;"'!$AO$7:$AO$500"),"Pass"),0))</f>
        <v/>
      </c>
      <c r="H27" s="317">
        <f>IF($D27="","",IFERROR(COUNTIF(INDIRECT("'"&amp;$D27&amp;"'!$AO$7:$AO$500"),"Fail"),0))</f>
        <v/>
      </c>
      <c r="I27" s="317">
        <f>IF($D27="","",IFERROR(COUNTIF(INDIRECT("'"&amp;$D27&amp;"'!$AO$7:$AO$500"),"Block"),0))</f>
        <v/>
      </c>
      <c r="J27" s="317">
        <f>IF($D27="","",IFERROR(COUNTIF(INDIRECT("'"&amp;$D27&amp;"'!$AO$7:$AO$500"),"N/A"),0))</f>
        <v/>
      </c>
      <c r="K27" s="317">
        <f>IF($D27="","",MAX(0,$F27-$G27-$H27-$I27-$J27))</f>
        <v/>
      </c>
      <c r="L27" s="317">
        <f>IF($D27="","",$G27+$H27+$I27+$J27)</f>
        <v/>
      </c>
      <c r="M27" s="320">
        <f>IF($D27="","",IFERROR($L27/$F27,0))</f>
        <v/>
      </c>
      <c r="N27" s="320">
        <f>IF($D27="","",IFERROR($G27/$L27,0))</f>
        <v/>
      </c>
      <c r="O27" s="317">
        <f>IF($D27="","",IFERROR(COUNTIF(INDIRECT("'"&amp;$D27&amp;"'!$E$7:$E$500"),"High"),0))</f>
        <v/>
      </c>
      <c r="P27" s="317">
        <f>IF($D27="","",IFERROR(COUNTIF(INDIRECT("'"&amp;$D27&amp;"'!$E$7:$E$500"),"Medium"),0))</f>
        <v/>
      </c>
      <c r="Q27" s="317">
        <f>IF($D27="","",IFERROR(COUNTIF(INDIRECT("'"&amp;$D27&amp;"'!$E$7:$E$500"),"Low"),0))</f>
        <v/>
      </c>
      <c r="R27" s="317">
        <f>IF($D27="","",IFERROR(COUNTIF(INDIRECT("'"&amp;$D27&amp;"'!$D$7:$D$500"),"Functional"),0))</f>
        <v/>
      </c>
      <c r="S27" s="317">
        <f>IF($D27="","",IFERROR(COUNTIF(INDIRECT("'"&amp;$D27&amp;"'!$D$7:$D$500"),"UI"),0))</f>
        <v/>
      </c>
      <c r="T27" s="317">
        <f>IF($D27="","",IFERROR(COUNTIF(INDIRECT("'"&amp;$D27&amp;"'!$D$7:$D$500"),"Integration"),0))</f>
        <v/>
      </c>
      <c r="U27" s="317">
        <f>IF($D27="","",IFERROR(COUNTIF(INDIRECT("'"&amp;$D27&amp;"'!$D$7:$D$500"),"Database Test Case"),0))</f>
        <v/>
      </c>
      <c r="V27" s="317">
        <f>IF($D27="","",IFERROR(COUNTIF(INDIRECT("'"&amp;$D27&amp;"'!$J$7:$J$500"),"AI"),0))</f>
        <v/>
      </c>
      <c r="W27" s="317">
        <f>IF($D27="","",IFERROR(COUNTIF(INDIRECT("'"&amp;$D27&amp;"'!$J$7:$J$500"),"QC"),0))</f>
        <v/>
      </c>
      <c r="X27" s="317">
        <f>IF($D27="","",IFERROR(COUNTIF(INDIRECT("'"&amp;$D27&amp;"'!$L$7:$L$500"),"Yes"),0))</f>
        <v/>
      </c>
      <c r="Y27" s="317">
        <f>IF($D27="","",IFERROR(COUNTIF(INDIRECT("'"&amp;$D27&amp;"'!$AM$7:$AM$500"),"Yes"),0))</f>
        <v/>
      </c>
      <c r="Z27" s="317">
        <f>IF($D27="","",IFERROR(COUNTIF(INDIRECT("'"&amp;$D27&amp;"'!$AN$7:$AN$500"),"Pass"),0))</f>
        <v/>
      </c>
      <c r="AA27" s="317">
        <f>IF($D27="","",IFERROR(COUNTIF(INDIRECT("'"&amp;$D27&amp;"'!$K$7:$K$500"),"Reviewed"),0))</f>
        <v/>
      </c>
      <c r="AB27" s="321">
        <f>IF($D27="","",IFERROR(SUMPRODUCT((INDIRECT("'"&amp;$D27&amp;"'!$E$7:$E$500")="High")*(INDIRECT("'"&amp;$D27&amp;"'!$AO$7:$AO$500")&lt;&gt;"")),0))</f>
        <v/>
      </c>
      <c r="AC27" s="321">
        <f>IF($D27="","",IFERROR(SUMPRODUCT((INDIRECT("'"&amp;$D27&amp;"'!$E$7:$E$500")="Medium")*(INDIRECT("'"&amp;$D27&amp;"'!$AO$7:$AO$500")&lt;&gt;"")),0))</f>
        <v/>
      </c>
      <c r="AD27" s="321">
        <f>IF($D27="","",IFERROR(SUMPRODUCT((INDIRECT("'"&amp;$D27&amp;"'!$E$7:$E$500")="Low")*(INDIRECT("'"&amp;$D27&amp;"'!$AO$7:$AO$500")&lt;&gt;"")),0))</f>
        <v/>
      </c>
      <c r="AE27" s="322">
        <f>IF($D27="","",IFERROR(COUNTIF(INDIRECT("'"&amp;$D27&amp;"'!$P$7:$P$500"),"&lt;&gt;"),0))</f>
        <v/>
      </c>
      <c r="AF27" s="322">
        <f>IF($D27="","",IFERROR(COUNTIF(INDIRECT("'"&amp;$D27&amp;"'!$P$7:$P$500"),"Pass"),0))</f>
        <v/>
      </c>
      <c r="AG27" s="322">
        <f>IF($D27="","",IFERROR(COUNTIF(INDIRECT("'"&amp;$D27&amp;"'!$P$7:$P$500"),"Fail"),0))</f>
        <v/>
      </c>
      <c r="AH27" s="322">
        <f>IF($D27="","",IFERROR(COUNTIF(INDIRECT("'"&amp;$D27&amp;"'!$P$7:$P$500"),"Block"),0))</f>
        <v/>
      </c>
      <c r="AI27" s="322">
        <f>IF($D27="","",IFERROR(COUNTIF(INDIRECT("'"&amp;$D27&amp;"'!$P$7:$P$500"),"N/A"),0))</f>
        <v/>
      </c>
      <c r="AJ27" s="322">
        <f>IF($D27="","",IFERROR(COUNTIF(INDIRECT("'"&amp;$D27&amp;"'!$U$7:$U$500"),"&lt;&gt;"),0))</f>
        <v/>
      </c>
      <c r="AK27" s="322">
        <f>IF($D27="","",IFERROR(COUNTIF(INDIRECT("'"&amp;$D27&amp;"'!$U$7:$U$500"),"Pass"),0))</f>
        <v/>
      </c>
      <c r="AL27" s="322">
        <f>IF($D27="","",IFERROR(COUNTIF(INDIRECT("'"&amp;$D27&amp;"'!$U$7:$U$500"),"Fail"),0))</f>
        <v/>
      </c>
      <c r="AM27" s="322">
        <f>IF($D27="","",IFERROR(COUNTIF(INDIRECT("'"&amp;$D27&amp;"'!$U$7:$U$500"),"Block"),0))</f>
        <v/>
      </c>
      <c r="AN27" s="322">
        <f>IF($D27="","",IFERROR(COUNTIF(INDIRECT("'"&amp;$D27&amp;"'!$U$7:$U$500"),"N/A"),0))</f>
        <v/>
      </c>
      <c r="AO27" s="322">
        <f>IF($D27="","",IFERROR(COUNTIF(INDIRECT("'"&amp;$D27&amp;"'!$Z$7:$Z$500"),"&lt;&gt;"),0))</f>
        <v/>
      </c>
      <c r="AP27" s="322">
        <f>IF($D27="","",IFERROR(COUNTIF(INDIRECT("'"&amp;$D27&amp;"'!$Z$7:$Z$500"),"Pass"),0))</f>
        <v/>
      </c>
      <c r="AQ27" s="322">
        <f>IF($D27="","",IFERROR(COUNTIF(INDIRECT("'"&amp;$D27&amp;"'!$Z$7:$Z$500"),"Fail"),0))</f>
        <v/>
      </c>
      <c r="AR27" s="322">
        <f>IF($D27="","",IFERROR(COUNTIF(INDIRECT("'"&amp;$D27&amp;"'!$Z$7:$Z$500"),"Block"),0))</f>
        <v/>
      </c>
      <c r="AS27" s="322">
        <f>IF($D27="","",IFERROR(COUNTIF(INDIRECT("'"&amp;$D27&amp;"'!$Z$7:$Z$500"),"N/A"),0))</f>
        <v/>
      </c>
      <c r="AT27" s="322">
        <f>IF($D27="","",IFERROR(COUNTIF(INDIRECT("'"&amp;$D27&amp;"'!$AE$7:$AE$500"),"&lt;&gt;"),0))</f>
        <v/>
      </c>
      <c r="AU27" s="322">
        <f>IF($D27="","",IFERROR(COUNTIF(INDIRECT("'"&amp;$D27&amp;"'!$AE$7:$AE$500"),"Pass"),0))</f>
        <v/>
      </c>
      <c r="AV27" s="322">
        <f>IF($D27="","",IFERROR(COUNTIF(INDIRECT("'"&amp;$D27&amp;"'!$AE$7:$AE$500"),"Fail"),0))</f>
        <v/>
      </c>
      <c r="AW27" s="322">
        <f>IF($D27="","",IFERROR(COUNTIF(INDIRECT("'"&amp;$D27&amp;"'!$AE$7:$AE$500"),"Block"),0))</f>
        <v/>
      </c>
      <c r="AX27" s="322">
        <f>IF($D27="","",IFERROR(COUNTIF(INDIRECT("'"&amp;$D27&amp;"'!$AE$7:$AE$500"),"N/A"),0))</f>
        <v/>
      </c>
      <c r="AY27" s="322">
        <f>IF($D27="","",IFERROR(COUNTIF(INDIRECT("'"&amp;$D27&amp;"'!$AJ$7:$AJ$500"),"&lt;&gt;"),0))</f>
        <v/>
      </c>
      <c r="AZ27" s="322">
        <f>IF($D27="","",IFERROR(COUNTIF(INDIRECT("'"&amp;$D27&amp;"'!$AJ$7:$AJ$500"),"Pass"),0))</f>
        <v/>
      </c>
      <c r="BA27" s="322">
        <f>IF($D27="","",IFERROR(COUNTIF(INDIRECT("'"&amp;$D27&amp;"'!$AJ$7:$AJ$500"),"Fail"),0))</f>
        <v/>
      </c>
      <c r="BB27" s="322">
        <f>IF($D27="","",IFERROR(COUNTIF(INDIRECT("'"&amp;$D27&amp;"'!$AJ$7:$AJ$500"),"Block"),0))</f>
        <v/>
      </c>
      <c r="BC27" s="224">
        <f>IF($D27="","",IFERROR(COUNTIF(INDIRECT("'"&amp;$D27&amp;"'!$AJ$7:$AJ$500"),"N/A"),0))</f>
        <v/>
      </c>
    </row>
    <row r="28" ht="15.75" customHeight="1" s="225">
      <c r="B28" s="317">
        <f>IF($D28="","",ROW()-3)</f>
        <v/>
      </c>
      <c r="C28" s="318" t="n"/>
      <c r="D28" s="318" t="n"/>
      <c r="E28" s="319" t="n"/>
      <c r="F28" s="317">
        <f>IF($D28="","",IFERROR(COUNTIF(INDIRECT("'"&amp;$D28&amp;"'!$C$7:$C$500"),"?*"),0))</f>
        <v/>
      </c>
      <c r="G28" s="317">
        <f>IF($D28="","",IFERROR(COUNTIF(INDIRECT("'"&amp;$D28&amp;"'!$AO$7:$AO$500"),"Pass"),0))</f>
        <v/>
      </c>
      <c r="H28" s="317">
        <f>IF($D28="","",IFERROR(COUNTIF(INDIRECT("'"&amp;$D28&amp;"'!$AO$7:$AO$500"),"Fail"),0))</f>
        <v/>
      </c>
      <c r="I28" s="317">
        <f>IF($D28="","",IFERROR(COUNTIF(INDIRECT("'"&amp;$D28&amp;"'!$AO$7:$AO$500"),"Block"),0))</f>
        <v/>
      </c>
      <c r="J28" s="317">
        <f>IF($D28="","",IFERROR(COUNTIF(INDIRECT("'"&amp;$D28&amp;"'!$AO$7:$AO$500"),"N/A"),0))</f>
        <v/>
      </c>
      <c r="K28" s="317">
        <f>IF($D28="","",MAX(0,$F28-$G28-$H28-$I28-$J28))</f>
        <v/>
      </c>
      <c r="L28" s="317">
        <f>IF($D28="","",$G28+$H28+$I28+$J28)</f>
        <v/>
      </c>
      <c r="M28" s="320">
        <f>IF($D28="","",IFERROR($L28/$F28,0))</f>
        <v/>
      </c>
      <c r="N28" s="320">
        <f>IF($D28="","",IFERROR($G28/$L28,0))</f>
        <v/>
      </c>
      <c r="O28" s="317">
        <f>IF($D28="","",IFERROR(COUNTIF(INDIRECT("'"&amp;$D28&amp;"'!$E$7:$E$500"),"High"),0))</f>
        <v/>
      </c>
      <c r="P28" s="317">
        <f>IF($D28="","",IFERROR(COUNTIF(INDIRECT("'"&amp;$D28&amp;"'!$E$7:$E$500"),"Medium"),0))</f>
        <v/>
      </c>
      <c r="Q28" s="317">
        <f>IF($D28="","",IFERROR(COUNTIF(INDIRECT("'"&amp;$D28&amp;"'!$E$7:$E$500"),"Low"),0))</f>
        <v/>
      </c>
      <c r="R28" s="317">
        <f>IF($D28="","",IFERROR(COUNTIF(INDIRECT("'"&amp;$D28&amp;"'!$D$7:$D$500"),"Functional"),0))</f>
        <v/>
      </c>
      <c r="S28" s="317">
        <f>IF($D28="","",IFERROR(COUNTIF(INDIRECT("'"&amp;$D28&amp;"'!$D$7:$D$500"),"UI"),0))</f>
        <v/>
      </c>
      <c r="T28" s="317">
        <f>IF($D28="","",IFERROR(COUNTIF(INDIRECT("'"&amp;$D28&amp;"'!$D$7:$D$500"),"Integration"),0))</f>
        <v/>
      </c>
      <c r="U28" s="317">
        <f>IF($D28="","",IFERROR(COUNTIF(INDIRECT("'"&amp;$D28&amp;"'!$D$7:$D$500"),"Database Test Case"),0))</f>
        <v/>
      </c>
      <c r="V28" s="317">
        <f>IF($D28="","",IFERROR(COUNTIF(INDIRECT("'"&amp;$D28&amp;"'!$J$7:$J$500"),"AI"),0))</f>
        <v/>
      </c>
      <c r="W28" s="317">
        <f>IF($D28="","",IFERROR(COUNTIF(INDIRECT("'"&amp;$D28&amp;"'!$J$7:$J$500"),"QC"),0))</f>
        <v/>
      </c>
      <c r="X28" s="317">
        <f>IF($D28="","",IFERROR(COUNTIF(INDIRECT("'"&amp;$D28&amp;"'!$L$7:$L$500"),"Yes"),0))</f>
        <v/>
      </c>
      <c r="Y28" s="317">
        <f>IF($D28="","",IFERROR(COUNTIF(INDIRECT("'"&amp;$D28&amp;"'!$AM$7:$AM$500"),"Yes"),0))</f>
        <v/>
      </c>
      <c r="Z28" s="317">
        <f>IF($D28="","",IFERROR(COUNTIF(INDIRECT("'"&amp;$D28&amp;"'!$AN$7:$AN$500"),"Pass"),0))</f>
        <v/>
      </c>
      <c r="AA28" s="317">
        <f>IF($D28="","",IFERROR(COUNTIF(INDIRECT("'"&amp;$D28&amp;"'!$K$7:$K$500"),"Reviewed"),0))</f>
        <v/>
      </c>
      <c r="AB28" s="321">
        <f>IF($D28="","",IFERROR(SUMPRODUCT((INDIRECT("'"&amp;$D28&amp;"'!$E$7:$E$500")="High")*(INDIRECT("'"&amp;$D28&amp;"'!$AO$7:$AO$500")&lt;&gt;"")),0))</f>
        <v/>
      </c>
      <c r="AC28" s="321">
        <f>IF($D28="","",IFERROR(SUMPRODUCT((INDIRECT("'"&amp;$D28&amp;"'!$E$7:$E$500")="Medium")*(INDIRECT("'"&amp;$D28&amp;"'!$AO$7:$AO$500")&lt;&gt;"")),0))</f>
        <v/>
      </c>
      <c r="AD28" s="321">
        <f>IF($D28="","",IFERROR(SUMPRODUCT((INDIRECT("'"&amp;$D28&amp;"'!$E$7:$E$500")="Low")*(INDIRECT("'"&amp;$D28&amp;"'!$AO$7:$AO$500")&lt;&gt;"")),0))</f>
        <v/>
      </c>
      <c r="AE28" s="322">
        <f>IF($D28="","",IFERROR(COUNTIF(INDIRECT("'"&amp;$D28&amp;"'!$P$7:$P$500"),"&lt;&gt;"),0))</f>
        <v/>
      </c>
      <c r="AF28" s="322">
        <f>IF($D28="","",IFERROR(COUNTIF(INDIRECT("'"&amp;$D28&amp;"'!$P$7:$P$500"),"Pass"),0))</f>
        <v/>
      </c>
      <c r="AG28" s="322">
        <f>IF($D28="","",IFERROR(COUNTIF(INDIRECT("'"&amp;$D28&amp;"'!$P$7:$P$500"),"Fail"),0))</f>
        <v/>
      </c>
      <c r="AH28" s="322">
        <f>IF($D28="","",IFERROR(COUNTIF(INDIRECT("'"&amp;$D28&amp;"'!$P$7:$P$500"),"Block"),0))</f>
        <v/>
      </c>
      <c r="AI28" s="322">
        <f>IF($D28="","",IFERROR(COUNTIF(INDIRECT("'"&amp;$D28&amp;"'!$P$7:$P$500"),"N/A"),0))</f>
        <v/>
      </c>
      <c r="AJ28" s="322">
        <f>IF($D28="","",IFERROR(COUNTIF(INDIRECT("'"&amp;$D28&amp;"'!$U$7:$U$500"),"&lt;&gt;"),0))</f>
        <v/>
      </c>
      <c r="AK28" s="322">
        <f>IF($D28="","",IFERROR(COUNTIF(INDIRECT("'"&amp;$D28&amp;"'!$U$7:$U$500"),"Pass"),0))</f>
        <v/>
      </c>
      <c r="AL28" s="322">
        <f>IF($D28="","",IFERROR(COUNTIF(INDIRECT("'"&amp;$D28&amp;"'!$U$7:$U$500"),"Fail"),0))</f>
        <v/>
      </c>
      <c r="AM28" s="322">
        <f>IF($D28="","",IFERROR(COUNTIF(INDIRECT("'"&amp;$D28&amp;"'!$U$7:$U$500"),"Block"),0))</f>
        <v/>
      </c>
      <c r="AN28" s="322">
        <f>IF($D28="","",IFERROR(COUNTIF(INDIRECT("'"&amp;$D28&amp;"'!$U$7:$U$500"),"N/A"),0))</f>
        <v/>
      </c>
      <c r="AO28" s="322">
        <f>IF($D28="","",IFERROR(COUNTIF(INDIRECT("'"&amp;$D28&amp;"'!$Z$7:$Z$500"),"&lt;&gt;"),0))</f>
        <v/>
      </c>
      <c r="AP28" s="322">
        <f>IF($D28="","",IFERROR(COUNTIF(INDIRECT("'"&amp;$D28&amp;"'!$Z$7:$Z$500"),"Pass"),0))</f>
        <v/>
      </c>
      <c r="AQ28" s="322">
        <f>IF($D28="","",IFERROR(COUNTIF(INDIRECT("'"&amp;$D28&amp;"'!$Z$7:$Z$500"),"Fail"),0))</f>
        <v/>
      </c>
      <c r="AR28" s="322">
        <f>IF($D28="","",IFERROR(COUNTIF(INDIRECT("'"&amp;$D28&amp;"'!$Z$7:$Z$500"),"Block"),0))</f>
        <v/>
      </c>
      <c r="AS28" s="322">
        <f>IF($D28="","",IFERROR(COUNTIF(INDIRECT("'"&amp;$D28&amp;"'!$Z$7:$Z$500"),"N/A"),0))</f>
        <v/>
      </c>
      <c r="AT28" s="322">
        <f>IF($D28="","",IFERROR(COUNTIF(INDIRECT("'"&amp;$D28&amp;"'!$AE$7:$AE$500"),"&lt;&gt;"),0))</f>
        <v/>
      </c>
      <c r="AU28" s="322">
        <f>IF($D28="","",IFERROR(COUNTIF(INDIRECT("'"&amp;$D28&amp;"'!$AE$7:$AE$500"),"Pass"),0))</f>
        <v/>
      </c>
      <c r="AV28" s="322">
        <f>IF($D28="","",IFERROR(COUNTIF(INDIRECT("'"&amp;$D28&amp;"'!$AE$7:$AE$500"),"Fail"),0))</f>
        <v/>
      </c>
      <c r="AW28" s="322">
        <f>IF($D28="","",IFERROR(COUNTIF(INDIRECT("'"&amp;$D28&amp;"'!$AE$7:$AE$500"),"Block"),0))</f>
        <v/>
      </c>
      <c r="AX28" s="322">
        <f>IF($D28="","",IFERROR(COUNTIF(INDIRECT("'"&amp;$D28&amp;"'!$AE$7:$AE$500"),"N/A"),0))</f>
        <v/>
      </c>
      <c r="AY28" s="322">
        <f>IF($D28="","",IFERROR(COUNTIF(INDIRECT("'"&amp;$D28&amp;"'!$AJ$7:$AJ$500"),"&lt;&gt;"),0))</f>
        <v/>
      </c>
      <c r="AZ28" s="322">
        <f>IF($D28="","",IFERROR(COUNTIF(INDIRECT("'"&amp;$D28&amp;"'!$AJ$7:$AJ$500"),"Pass"),0))</f>
        <v/>
      </c>
      <c r="BA28" s="322">
        <f>IF($D28="","",IFERROR(COUNTIF(INDIRECT("'"&amp;$D28&amp;"'!$AJ$7:$AJ$500"),"Fail"),0))</f>
        <v/>
      </c>
      <c r="BB28" s="322">
        <f>IF($D28="","",IFERROR(COUNTIF(INDIRECT("'"&amp;$D28&amp;"'!$AJ$7:$AJ$500"),"Block"),0))</f>
        <v/>
      </c>
      <c r="BC28" s="224">
        <f>IF($D28="","",IFERROR(COUNTIF(INDIRECT("'"&amp;$D28&amp;"'!$AJ$7:$AJ$500"),"N/A"),0))</f>
        <v/>
      </c>
    </row>
    <row r="29" ht="15.75" customHeight="1" s="225">
      <c r="B29" s="317">
        <f>IF($D29="","",ROW()-3)</f>
        <v/>
      </c>
      <c r="C29" s="318" t="n"/>
      <c r="D29" s="318" t="n"/>
      <c r="E29" s="319" t="n"/>
      <c r="F29" s="317">
        <f>IF($D29="","",IFERROR(COUNTIF(INDIRECT("'"&amp;$D29&amp;"'!$C$7:$C$500"),"?*"),0))</f>
        <v/>
      </c>
      <c r="G29" s="317">
        <f>IF($D29="","",IFERROR(COUNTIF(INDIRECT("'"&amp;$D29&amp;"'!$AO$7:$AO$500"),"Pass"),0))</f>
        <v/>
      </c>
      <c r="H29" s="317">
        <f>IF($D29="","",IFERROR(COUNTIF(INDIRECT("'"&amp;$D29&amp;"'!$AO$7:$AO$500"),"Fail"),0))</f>
        <v/>
      </c>
      <c r="I29" s="317">
        <f>IF($D29="","",IFERROR(COUNTIF(INDIRECT("'"&amp;$D29&amp;"'!$AO$7:$AO$500"),"Block"),0))</f>
        <v/>
      </c>
      <c r="J29" s="317">
        <f>IF($D29="","",IFERROR(COUNTIF(INDIRECT("'"&amp;$D29&amp;"'!$AO$7:$AO$500"),"N/A"),0))</f>
        <v/>
      </c>
      <c r="K29" s="317">
        <f>IF($D29="","",MAX(0,$F29-$G29-$H29-$I29-$J29))</f>
        <v/>
      </c>
      <c r="L29" s="317">
        <f>IF($D29="","",$G29+$H29+$I29+$J29)</f>
        <v/>
      </c>
      <c r="M29" s="320">
        <f>IF($D29="","",IFERROR($L29/$F29,0))</f>
        <v/>
      </c>
      <c r="N29" s="320">
        <f>IF($D29="","",IFERROR($G29/$L29,0))</f>
        <v/>
      </c>
      <c r="O29" s="317">
        <f>IF($D29="","",IFERROR(COUNTIF(INDIRECT("'"&amp;$D29&amp;"'!$E$7:$E$500"),"High"),0))</f>
        <v/>
      </c>
      <c r="P29" s="317">
        <f>IF($D29="","",IFERROR(COUNTIF(INDIRECT("'"&amp;$D29&amp;"'!$E$7:$E$500"),"Medium"),0))</f>
        <v/>
      </c>
      <c r="Q29" s="317">
        <f>IF($D29="","",IFERROR(COUNTIF(INDIRECT("'"&amp;$D29&amp;"'!$E$7:$E$500"),"Low"),0))</f>
        <v/>
      </c>
      <c r="R29" s="317">
        <f>IF($D29="","",IFERROR(COUNTIF(INDIRECT("'"&amp;$D29&amp;"'!$D$7:$D$500"),"Functional"),0))</f>
        <v/>
      </c>
      <c r="S29" s="317">
        <f>IF($D29="","",IFERROR(COUNTIF(INDIRECT("'"&amp;$D29&amp;"'!$D$7:$D$500"),"UI"),0))</f>
        <v/>
      </c>
      <c r="T29" s="317">
        <f>IF($D29="","",IFERROR(COUNTIF(INDIRECT("'"&amp;$D29&amp;"'!$D$7:$D$500"),"Integration"),0))</f>
        <v/>
      </c>
      <c r="U29" s="317">
        <f>IF($D29="","",IFERROR(COUNTIF(INDIRECT("'"&amp;$D29&amp;"'!$D$7:$D$500"),"Database Test Case"),0))</f>
        <v/>
      </c>
      <c r="V29" s="317">
        <f>IF($D29="","",IFERROR(COUNTIF(INDIRECT("'"&amp;$D29&amp;"'!$J$7:$J$500"),"AI"),0))</f>
        <v/>
      </c>
      <c r="W29" s="317">
        <f>IF($D29="","",IFERROR(COUNTIF(INDIRECT("'"&amp;$D29&amp;"'!$J$7:$J$500"),"QC"),0))</f>
        <v/>
      </c>
      <c r="X29" s="317">
        <f>IF($D29="","",IFERROR(COUNTIF(INDIRECT("'"&amp;$D29&amp;"'!$L$7:$L$500"),"Yes"),0))</f>
        <v/>
      </c>
      <c r="Y29" s="317">
        <f>IF($D29="","",IFERROR(COUNTIF(INDIRECT("'"&amp;$D29&amp;"'!$AM$7:$AM$500"),"Yes"),0))</f>
        <v/>
      </c>
      <c r="Z29" s="317">
        <f>IF($D29="","",IFERROR(COUNTIF(INDIRECT("'"&amp;$D29&amp;"'!$AN$7:$AN$500"),"Pass"),0))</f>
        <v/>
      </c>
      <c r="AA29" s="317">
        <f>IF($D29="","",IFERROR(COUNTIF(INDIRECT("'"&amp;$D29&amp;"'!$K$7:$K$500"),"Reviewed"),0))</f>
        <v/>
      </c>
      <c r="AB29" s="321">
        <f>IF($D29="","",IFERROR(SUMPRODUCT((INDIRECT("'"&amp;$D29&amp;"'!$E$7:$E$500")="High")*(INDIRECT("'"&amp;$D29&amp;"'!$AO$7:$AO$500")&lt;&gt;"")),0))</f>
        <v/>
      </c>
      <c r="AC29" s="321">
        <f>IF($D29="","",IFERROR(SUMPRODUCT((INDIRECT("'"&amp;$D29&amp;"'!$E$7:$E$500")="Medium")*(INDIRECT("'"&amp;$D29&amp;"'!$AO$7:$AO$500")&lt;&gt;"")),0))</f>
        <v/>
      </c>
      <c r="AD29" s="321">
        <f>IF($D29="","",IFERROR(SUMPRODUCT((INDIRECT("'"&amp;$D29&amp;"'!$E$7:$E$500")="Low")*(INDIRECT("'"&amp;$D29&amp;"'!$AO$7:$AO$500")&lt;&gt;"")),0))</f>
        <v/>
      </c>
      <c r="AE29" s="322">
        <f>IF($D29="","",IFERROR(COUNTIF(INDIRECT("'"&amp;$D29&amp;"'!$P$7:$P$500"),"&lt;&gt;"),0))</f>
        <v/>
      </c>
      <c r="AF29" s="322">
        <f>IF($D29="","",IFERROR(COUNTIF(INDIRECT("'"&amp;$D29&amp;"'!$P$7:$P$500"),"Pass"),0))</f>
        <v/>
      </c>
      <c r="AG29" s="322">
        <f>IF($D29="","",IFERROR(COUNTIF(INDIRECT("'"&amp;$D29&amp;"'!$P$7:$P$500"),"Fail"),0))</f>
        <v/>
      </c>
      <c r="AH29" s="322">
        <f>IF($D29="","",IFERROR(COUNTIF(INDIRECT("'"&amp;$D29&amp;"'!$P$7:$P$500"),"Block"),0))</f>
        <v/>
      </c>
      <c r="AI29" s="322">
        <f>IF($D29="","",IFERROR(COUNTIF(INDIRECT("'"&amp;$D29&amp;"'!$P$7:$P$500"),"N/A"),0))</f>
        <v/>
      </c>
      <c r="AJ29" s="322">
        <f>IF($D29="","",IFERROR(COUNTIF(INDIRECT("'"&amp;$D29&amp;"'!$U$7:$U$500"),"&lt;&gt;"),0))</f>
        <v/>
      </c>
      <c r="AK29" s="322">
        <f>IF($D29="","",IFERROR(COUNTIF(INDIRECT("'"&amp;$D29&amp;"'!$U$7:$U$500"),"Pass"),0))</f>
        <v/>
      </c>
      <c r="AL29" s="322">
        <f>IF($D29="","",IFERROR(COUNTIF(INDIRECT("'"&amp;$D29&amp;"'!$U$7:$U$500"),"Fail"),0))</f>
        <v/>
      </c>
      <c r="AM29" s="322">
        <f>IF($D29="","",IFERROR(COUNTIF(INDIRECT("'"&amp;$D29&amp;"'!$U$7:$U$500"),"Block"),0))</f>
        <v/>
      </c>
      <c r="AN29" s="322">
        <f>IF($D29="","",IFERROR(COUNTIF(INDIRECT("'"&amp;$D29&amp;"'!$U$7:$U$500"),"N/A"),0))</f>
        <v/>
      </c>
      <c r="AO29" s="322">
        <f>IF($D29="","",IFERROR(COUNTIF(INDIRECT("'"&amp;$D29&amp;"'!$Z$7:$Z$500"),"&lt;&gt;"),0))</f>
        <v/>
      </c>
      <c r="AP29" s="322">
        <f>IF($D29="","",IFERROR(COUNTIF(INDIRECT("'"&amp;$D29&amp;"'!$Z$7:$Z$500"),"Pass"),0))</f>
        <v/>
      </c>
      <c r="AQ29" s="322">
        <f>IF($D29="","",IFERROR(COUNTIF(INDIRECT("'"&amp;$D29&amp;"'!$Z$7:$Z$500"),"Fail"),0))</f>
        <v/>
      </c>
      <c r="AR29" s="322">
        <f>IF($D29="","",IFERROR(COUNTIF(INDIRECT("'"&amp;$D29&amp;"'!$Z$7:$Z$500"),"Block"),0))</f>
        <v/>
      </c>
      <c r="AS29" s="322">
        <f>IF($D29="","",IFERROR(COUNTIF(INDIRECT("'"&amp;$D29&amp;"'!$Z$7:$Z$500"),"N/A"),0))</f>
        <v/>
      </c>
      <c r="AT29" s="322">
        <f>IF($D29="","",IFERROR(COUNTIF(INDIRECT("'"&amp;$D29&amp;"'!$AE$7:$AE$500"),"&lt;&gt;"),0))</f>
        <v/>
      </c>
      <c r="AU29" s="322">
        <f>IF($D29="","",IFERROR(COUNTIF(INDIRECT("'"&amp;$D29&amp;"'!$AE$7:$AE$500"),"Pass"),0))</f>
        <v/>
      </c>
      <c r="AV29" s="322">
        <f>IF($D29="","",IFERROR(COUNTIF(INDIRECT("'"&amp;$D29&amp;"'!$AE$7:$AE$500"),"Fail"),0))</f>
        <v/>
      </c>
      <c r="AW29" s="322">
        <f>IF($D29="","",IFERROR(COUNTIF(INDIRECT("'"&amp;$D29&amp;"'!$AE$7:$AE$500"),"Block"),0))</f>
        <v/>
      </c>
      <c r="AX29" s="322">
        <f>IF($D29="","",IFERROR(COUNTIF(INDIRECT("'"&amp;$D29&amp;"'!$AE$7:$AE$500"),"N/A"),0))</f>
        <v/>
      </c>
      <c r="AY29" s="322">
        <f>IF($D29="","",IFERROR(COUNTIF(INDIRECT("'"&amp;$D29&amp;"'!$AJ$7:$AJ$500"),"&lt;&gt;"),0))</f>
        <v/>
      </c>
      <c r="AZ29" s="322">
        <f>IF($D29="","",IFERROR(COUNTIF(INDIRECT("'"&amp;$D29&amp;"'!$AJ$7:$AJ$500"),"Pass"),0))</f>
        <v/>
      </c>
      <c r="BA29" s="322">
        <f>IF($D29="","",IFERROR(COUNTIF(INDIRECT("'"&amp;$D29&amp;"'!$AJ$7:$AJ$500"),"Fail"),0))</f>
        <v/>
      </c>
      <c r="BB29" s="322">
        <f>IF($D29="","",IFERROR(COUNTIF(INDIRECT("'"&amp;$D29&amp;"'!$AJ$7:$AJ$500"),"Block"),0))</f>
        <v/>
      </c>
      <c r="BC29" s="224">
        <f>IF($D29="","",IFERROR(COUNTIF(INDIRECT("'"&amp;$D29&amp;"'!$AJ$7:$AJ$500"),"N/A"),0))</f>
        <v/>
      </c>
    </row>
    <row r="30" ht="15.75" customHeight="1" s="225">
      <c r="B30" s="317">
        <f>IF($D30="","",ROW()-3)</f>
        <v/>
      </c>
      <c r="C30" s="318" t="n"/>
      <c r="D30" s="318" t="n"/>
      <c r="E30" s="319" t="n"/>
      <c r="F30" s="317">
        <f>IF($D30="","",IFERROR(COUNTIF(INDIRECT("'"&amp;$D30&amp;"'!$C$7:$C$500"),"?*"),0))</f>
        <v/>
      </c>
      <c r="G30" s="317">
        <f>IF($D30="","",IFERROR(COUNTIF(INDIRECT("'"&amp;$D30&amp;"'!$AO$7:$AO$500"),"Pass"),0))</f>
        <v/>
      </c>
      <c r="H30" s="317">
        <f>IF($D30="","",IFERROR(COUNTIF(INDIRECT("'"&amp;$D30&amp;"'!$AO$7:$AO$500"),"Fail"),0))</f>
        <v/>
      </c>
      <c r="I30" s="317">
        <f>IF($D30="","",IFERROR(COUNTIF(INDIRECT("'"&amp;$D30&amp;"'!$AO$7:$AO$500"),"Block"),0))</f>
        <v/>
      </c>
      <c r="J30" s="317">
        <f>IF($D30="","",IFERROR(COUNTIF(INDIRECT("'"&amp;$D30&amp;"'!$AO$7:$AO$500"),"N/A"),0))</f>
        <v/>
      </c>
      <c r="K30" s="317">
        <f>IF($D30="","",MAX(0,$F30-$G30-$H30-$I30-$J30))</f>
        <v/>
      </c>
      <c r="L30" s="317">
        <f>IF($D30="","",$G30+$H30+$I30+$J30)</f>
        <v/>
      </c>
      <c r="M30" s="320">
        <f>IF($D30="","",IFERROR($L30/$F30,0))</f>
        <v/>
      </c>
      <c r="N30" s="320">
        <f>IF($D30="","",IFERROR($G30/$L30,0))</f>
        <v/>
      </c>
      <c r="O30" s="317">
        <f>IF($D30="","",IFERROR(COUNTIF(INDIRECT("'"&amp;$D30&amp;"'!$E$7:$E$500"),"High"),0))</f>
        <v/>
      </c>
      <c r="P30" s="317">
        <f>IF($D30="","",IFERROR(COUNTIF(INDIRECT("'"&amp;$D30&amp;"'!$E$7:$E$500"),"Medium"),0))</f>
        <v/>
      </c>
      <c r="Q30" s="317">
        <f>IF($D30="","",IFERROR(COUNTIF(INDIRECT("'"&amp;$D30&amp;"'!$E$7:$E$500"),"Low"),0))</f>
        <v/>
      </c>
      <c r="R30" s="317">
        <f>IF($D30="","",IFERROR(COUNTIF(INDIRECT("'"&amp;$D30&amp;"'!$D$7:$D$500"),"Functional"),0))</f>
        <v/>
      </c>
      <c r="S30" s="317">
        <f>IF($D30="","",IFERROR(COUNTIF(INDIRECT("'"&amp;$D30&amp;"'!$D$7:$D$500"),"UI"),0))</f>
        <v/>
      </c>
      <c r="T30" s="317">
        <f>IF($D30="","",IFERROR(COUNTIF(INDIRECT("'"&amp;$D30&amp;"'!$D$7:$D$500"),"Integration"),0))</f>
        <v/>
      </c>
      <c r="U30" s="317">
        <f>IF($D30="","",IFERROR(COUNTIF(INDIRECT("'"&amp;$D30&amp;"'!$D$7:$D$500"),"Database Test Case"),0))</f>
        <v/>
      </c>
      <c r="V30" s="317">
        <f>IF($D30="","",IFERROR(COUNTIF(INDIRECT("'"&amp;$D30&amp;"'!$J$7:$J$500"),"AI"),0))</f>
        <v/>
      </c>
      <c r="W30" s="317">
        <f>IF($D30="","",IFERROR(COUNTIF(INDIRECT("'"&amp;$D30&amp;"'!$J$7:$J$500"),"QC"),0))</f>
        <v/>
      </c>
      <c r="X30" s="317">
        <f>IF($D30="","",IFERROR(COUNTIF(INDIRECT("'"&amp;$D30&amp;"'!$L$7:$L$500"),"Yes"),0))</f>
        <v/>
      </c>
      <c r="Y30" s="317">
        <f>IF($D30="","",IFERROR(COUNTIF(INDIRECT("'"&amp;$D30&amp;"'!$AM$7:$AM$500"),"Yes"),0))</f>
        <v/>
      </c>
      <c r="Z30" s="317">
        <f>IF($D30="","",IFERROR(COUNTIF(INDIRECT("'"&amp;$D30&amp;"'!$AN$7:$AN$500"),"Pass"),0))</f>
        <v/>
      </c>
      <c r="AA30" s="317">
        <f>IF($D30="","",IFERROR(COUNTIF(INDIRECT("'"&amp;$D30&amp;"'!$K$7:$K$500"),"Reviewed"),0))</f>
        <v/>
      </c>
      <c r="AB30" s="321">
        <f>IF($D30="","",IFERROR(SUMPRODUCT((INDIRECT("'"&amp;$D30&amp;"'!$E$7:$E$500")="High")*(INDIRECT("'"&amp;$D30&amp;"'!$AO$7:$AO$500")&lt;&gt;"")),0))</f>
        <v/>
      </c>
      <c r="AC30" s="321">
        <f>IF($D30="","",IFERROR(SUMPRODUCT((INDIRECT("'"&amp;$D30&amp;"'!$E$7:$E$500")="Medium")*(INDIRECT("'"&amp;$D30&amp;"'!$AO$7:$AO$500")&lt;&gt;"")),0))</f>
        <v/>
      </c>
      <c r="AD30" s="321">
        <f>IF($D30="","",IFERROR(SUMPRODUCT((INDIRECT("'"&amp;$D30&amp;"'!$E$7:$E$500")="Low")*(INDIRECT("'"&amp;$D30&amp;"'!$AO$7:$AO$500")&lt;&gt;"")),0))</f>
        <v/>
      </c>
      <c r="AE30" s="322">
        <f>IF($D30="","",IFERROR(COUNTIF(INDIRECT("'"&amp;$D30&amp;"'!$P$7:$P$500"),"&lt;&gt;"),0))</f>
        <v/>
      </c>
      <c r="AF30" s="322">
        <f>IF($D30="","",IFERROR(COUNTIF(INDIRECT("'"&amp;$D30&amp;"'!$P$7:$P$500"),"Pass"),0))</f>
        <v/>
      </c>
      <c r="AG30" s="322">
        <f>IF($D30="","",IFERROR(COUNTIF(INDIRECT("'"&amp;$D30&amp;"'!$P$7:$P$500"),"Fail"),0))</f>
        <v/>
      </c>
      <c r="AH30" s="322">
        <f>IF($D30="","",IFERROR(COUNTIF(INDIRECT("'"&amp;$D30&amp;"'!$P$7:$P$500"),"Block"),0))</f>
        <v/>
      </c>
      <c r="AI30" s="322">
        <f>IF($D30="","",IFERROR(COUNTIF(INDIRECT("'"&amp;$D30&amp;"'!$P$7:$P$500"),"N/A"),0))</f>
        <v/>
      </c>
      <c r="AJ30" s="322">
        <f>IF($D30="","",IFERROR(COUNTIF(INDIRECT("'"&amp;$D30&amp;"'!$U$7:$U$500"),"&lt;&gt;"),0))</f>
        <v/>
      </c>
      <c r="AK30" s="322">
        <f>IF($D30="","",IFERROR(COUNTIF(INDIRECT("'"&amp;$D30&amp;"'!$U$7:$U$500"),"Pass"),0))</f>
        <v/>
      </c>
      <c r="AL30" s="322">
        <f>IF($D30="","",IFERROR(COUNTIF(INDIRECT("'"&amp;$D30&amp;"'!$U$7:$U$500"),"Fail"),0))</f>
        <v/>
      </c>
      <c r="AM30" s="322">
        <f>IF($D30="","",IFERROR(COUNTIF(INDIRECT("'"&amp;$D30&amp;"'!$U$7:$U$500"),"Block"),0))</f>
        <v/>
      </c>
      <c r="AN30" s="322">
        <f>IF($D30="","",IFERROR(COUNTIF(INDIRECT("'"&amp;$D30&amp;"'!$U$7:$U$500"),"N/A"),0))</f>
        <v/>
      </c>
      <c r="AO30" s="322">
        <f>IF($D30="","",IFERROR(COUNTIF(INDIRECT("'"&amp;$D30&amp;"'!$Z$7:$Z$500"),"&lt;&gt;"),0))</f>
        <v/>
      </c>
      <c r="AP30" s="322">
        <f>IF($D30="","",IFERROR(COUNTIF(INDIRECT("'"&amp;$D30&amp;"'!$Z$7:$Z$500"),"Pass"),0))</f>
        <v/>
      </c>
      <c r="AQ30" s="322">
        <f>IF($D30="","",IFERROR(COUNTIF(INDIRECT("'"&amp;$D30&amp;"'!$Z$7:$Z$500"),"Fail"),0))</f>
        <v/>
      </c>
      <c r="AR30" s="322">
        <f>IF($D30="","",IFERROR(COUNTIF(INDIRECT("'"&amp;$D30&amp;"'!$Z$7:$Z$500"),"Block"),0))</f>
        <v/>
      </c>
      <c r="AS30" s="322">
        <f>IF($D30="","",IFERROR(COUNTIF(INDIRECT("'"&amp;$D30&amp;"'!$Z$7:$Z$500"),"N/A"),0))</f>
        <v/>
      </c>
      <c r="AT30" s="322">
        <f>IF($D30="","",IFERROR(COUNTIF(INDIRECT("'"&amp;$D30&amp;"'!$AE$7:$AE$500"),"&lt;&gt;"),0))</f>
        <v/>
      </c>
      <c r="AU30" s="322">
        <f>IF($D30="","",IFERROR(COUNTIF(INDIRECT("'"&amp;$D30&amp;"'!$AE$7:$AE$500"),"Pass"),0))</f>
        <v/>
      </c>
      <c r="AV30" s="322">
        <f>IF($D30="","",IFERROR(COUNTIF(INDIRECT("'"&amp;$D30&amp;"'!$AE$7:$AE$500"),"Fail"),0))</f>
        <v/>
      </c>
      <c r="AW30" s="322">
        <f>IF($D30="","",IFERROR(COUNTIF(INDIRECT("'"&amp;$D30&amp;"'!$AE$7:$AE$500"),"Block"),0))</f>
        <v/>
      </c>
      <c r="AX30" s="322">
        <f>IF($D30="","",IFERROR(COUNTIF(INDIRECT("'"&amp;$D30&amp;"'!$AE$7:$AE$500"),"N/A"),0))</f>
        <v/>
      </c>
      <c r="AY30" s="322">
        <f>IF($D30="","",IFERROR(COUNTIF(INDIRECT("'"&amp;$D30&amp;"'!$AJ$7:$AJ$500"),"&lt;&gt;"),0))</f>
        <v/>
      </c>
      <c r="AZ30" s="322">
        <f>IF($D30="","",IFERROR(COUNTIF(INDIRECT("'"&amp;$D30&amp;"'!$AJ$7:$AJ$500"),"Pass"),0))</f>
        <v/>
      </c>
      <c r="BA30" s="322">
        <f>IF($D30="","",IFERROR(COUNTIF(INDIRECT("'"&amp;$D30&amp;"'!$AJ$7:$AJ$500"),"Fail"),0))</f>
        <v/>
      </c>
      <c r="BB30" s="322">
        <f>IF($D30="","",IFERROR(COUNTIF(INDIRECT("'"&amp;$D30&amp;"'!$AJ$7:$AJ$500"),"Block"),0))</f>
        <v/>
      </c>
      <c r="BC30" s="224">
        <f>IF($D30="","",IFERROR(COUNTIF(INDIRECT("'"&amp;$D30&amp;"'!$AJ$7:$AJ$500"),"N/A"),0))</f>
        <v/>
      </c>
    </row>
    <row r="31" ht="15.75" customHeight="1" s="225">
      <c r="B31" s="317">
        <f>IF($D31="","",ROW()-3)</f>
        <v/>
      </c>
      <c r="C31" s="318" t="n"/>
      <c r="D31" s="318" t="n"/>
      <c r="E31" s="319" t="n"/>
      <c r="F31" s="317">
        <f>IF($D31="","",IFERROR(COUNTIF(INDIRECT("'"&amp;$D31&amp;"'!$C$7:$C$500"),"?*"),0))</f>
        <v/>
      </c>
      <c r="G31" s="317">
        <f>IF($D31="","",IFERROR(COUNTIF(INDIRECT("'"&amp;$D31&amp;"'!$AO$7:$AO$500"),"Pass"),0))</f>
        <v/>
      </c>
      <c r="H31" s="317">
        <f>IF($D31="","",IFERROR(COUNTIF(INDIRECT("'"&amp;$D31&amp;"'!$AO$7:$AO$500"),"Fail"),0))</f>
        <v/>
      </c>
      <c r="I31" s="317">
        <f>IF($D31="","",IFERROR(COUNTIF(INDIRECT("'"&amp;$D31&amp;"'!$AO$7:$AO$500"),"Block"),0))</f>
        <v/>
      </c>
      <c r="J31" s="317">
        <f>IF($D31="","",IFERROR(COUNTIF(INDIRECT("'"&amp;$D31&amp;"'!$AO$7:$AO$500"),"N/A"),0))</f>
        <v/>
      </c>
      <c r="K31" s="317">
        <f>IF($D31="","",MAX(0,$F31-$G31-$H31-$I31-$J31))</f>
        <v/>
      </c>
      <c r="L31" s="317">
        <f>IF($D31="","",$G31+$H31+$I31+$J31)</f>
        <v/>
      </c>
      <c r="M31" s="320">
        <f>IF($D31="","",IFERROR($L31/$F31,0))</f>
        <v/>
      </c>
      <c r="N31" s="320">
        <f>IF($D31="","",IFERROR($G31/$L31,0))</f>
        <v/>
      </c>
      <c r="O31" s="317">
        <f>IF($D31="","",IFERROR(COUNTIF(INDIRECT("'"&amp;$D31&amp;"'!$E$7:$E$500"),"High"),0))</f>
        <v/>
      </c>
      <c r="P31" s="317">
        <f>IF($D31="","",IFERROR(COUNTIF(INDIRECT("'"&amp;$D31&amp;"'!$E$7:$E$500"),"Medium"),0))</f>
        <v/>
      </c>
      <c r="Q31" s="317">
        <f>IF($D31="","",IFERROR(COUNTIF(INDIRECT("'"&amp;$D31&amp;"'!$E$7:$E$500"),"Low"),0))</f>
        <v/>
      </c>
      <c r="R31" s="317">
        <f>IF($D31="","",IFERROR(COUNTIF(INDIRECT("'"&amp;$D31&amp;"'!$D$7:$D$500"),"Functional"),0))</f>
        <v/>
      </c>
      <c r="S31" s="317">
        <f>IF($D31="","",IFERROR(COUNTIF(INDIRECT("'"&amp;$D31&amp;"'!$D$7:$D$500"),"UI"),0))</f>
        <v/>
      </c>
      <c r="T31" s="317">
        <f>IF($D31="","",IFERROR(COUNTIF(INDIRECT("'"&amp;$D31&amp;"'!$D$7:$D$500"),"Integration"),0))</f>
        <v/>
      </c>
      <c r="U31" s="317">
        <f>IF($D31="","",IFERROR(COUNTIF(INDIRECT("'"&amp;$D31&amp;"'!$D$7:$D$500"),"Database Test Case"),0))</f>
        <v/>
      </c>
      <c r="V31" s="317">
        <f>IF($D31="","",IFERROR(COUNTIF(INDIRECT("'"&amp;$D31&amp;"'!$J$7:$J$500"),"AI"),0))</f>
        <v/>
      </c>
      <c r="W31" s="317">
        <f>IF($D31="","",IFERROR(COUNTIF(INDIRECT("'"&amp;$D31&amp;"'!$J$7:$J$500"),"QC"),0))</f>
        <v/>
      </c>
      <c r="X31" s="317">
        <f>IF($D31="","",IFERROR(COUNTIF(INDIRECT("'"&amp;$D31&amp;"'!$L$7:$L$500"),"Yes"),0))</f>
        <v/>
      </c>
      <c r="Y31" s="317">
        <f>IF($D31="","",IFERROR(COUNTIF(INDIRECT("'"&amp;$D31&amp;"'!$AM$7:$AM$500"),"Yes"),0))</f>
        <v/>
      </c>
      <c r="Z31" s="317">
        <f>IF($D31="","",IFERROR(COUNTIF(INDIRECT("'"&amp;$D31&amp;"'!$AN$7:$AN$500"),"Pass"),0))</f>
        <v/>
      </c>
      <c r="AA31" s="317">
        <f>IF($D31="","",IFERROR(COUNTIF(INDIRECT("'"&amp;$D31&amp;"'!$K$7:$K$500"),"Reviewed"),0))</f>
        <v/>
      </c>
      <c r="AB31" s="321">
        <f>IF($D31="","",IFERROR(SUMPRODUCT((INDIRECT("'"&amp;$D31&amp;"'!$E$7:$E$500")="High")*(INDIRECT("'"&amp;$D31&amp;"'!$AO$7:$AO$500")&lt;&gt;"")),0))</f>
        <v/>
      </c>
      <c r="AC31" s="321">
        <f>IF($D31="","",IFERROR(SUMPRODUCT((INDIRECT("'"&amp;$D31&amp;"'!$E$7:$E$500")="Medium")*(INDIRECT("'"&amp;$D31&amp;"'!$AO$7:$AO$500")&lt;&gt;"")),0))</f>
        <v/>
      </c>
      <c r="AD31" s="321">
        <f>IF($D31="","",IFERROR(SUMPRODUCT((INDIRECT("'"&amp;$D31&amp;"'!$E$7:$E$500")="Low")*(INDIRECT("'"&amp;$D31&amp;"'!$AO$7:$AO$500")&lt;&gt;"")),0))</f>
        <v/>
      </c>
      <c r="AE31" s="322">
        <f>IF($D31="","",IFERROR(COUNTIF(INDIRECT("'"&amp;$D31&amp;"'!$P$7:$P$500"),"&lt;&gt;"),0))</f>
        <v/>
      </c>
      <c r="AF31" s="322">
        <f>IF($D31="","",IFERROR(COUNTIF(INDIRECT("'"&amp;$D31&amp;"'!$P$7:$P$500"),"Pass"),0))</f>
        <v/>
      </c>
      <c r="AG31" s="322">
        <f>IF($D31="","",IFERROR(COUNTIF(INDIRECT("'"&amp;$D31&amp;"'!$P$7:$P$500"),"Fail"),0))</f>
        <v/>
      </c>
      <c r="AH31" s="322">
        <f>IF($D31="","",IFERROR(COUNTIF(INDIRECT("'"&amp;$D31&amp;"'!$P$7:$P$500"),"Block"),0))</f>
        <v/>
      </c>
      <c r="AI31" s="322">
        <f>IF($D31="","",IFERROR(COUNTIF(INDIRECT("'"&amp;$D31&amp;"'!$P$7:$P$500"),"N/A"),0))</f>
        <v/>
      </c>
      <c r="AJ31" s="322">
        <f>IF($D31="","",IFERROR(COUNTIF(INDIRECT("'"&amp;$D31&amp;"'!$U$7:$U$500"),"&lt;&gt;"),0))</f>
        <v/>
      </c>
      <c r="AK31" s="322">
        <f>IF($D31="","",IFERROR(COUNTIF(INDIRECT("'"&amp;$D31&amp;"'!$U$7:$U$500"),"Pass"),0))</f>
        <v/>
      </c>
      <c r="AL31" s="322">
        <f>IF($D31="","",IFERROR(COUNTIF(INDIRECT("'"&amp;$D31&amp;"'!$U$7:$U$500"),"Fail"),0))</f>
        <v/>
      </c>
      <c r="AM31" s="322">
        <f>IF($D31="","",IFERROR(COUNTIF(INDIRECT("'"&amp;$D31&amp;"'!$U$7:$U$500"),"Block"),0))</f>
        <v/>
      </c>
      <c r="AN31" s="322">
        <f>IF($D31="","",IFERROR(COUNTIF(INDIRECT("'"&amp;$D31&amp;"'!$U$7:$U$500"),"N/A"),0))</f>
        <v/>
      </c>
      <c r="AO31" s="322">
        <f>IF($D31="","",IFERROR(COUNTIF(INDIRECT("'"&amp;$D31&amp;"'!$Z$7:$Z$500"),"&lt;&gt;"),0))</f>
        <v/>
      </c>
      <c r="AP31" s="322">
        <f>IF($D31="","",IFERROR(COUNTIF(INDIRECT("'"&amp;$D31&amp;"'!$Z$7:$Z$500"),"Pass"),0))</f>
        <v/>
      </c>
      <c r="AQ31" s="322">
        <f>IF($D31="","",IFERROR(COUNTIF(INDIRECT("'"&amp;$D31&amp;"'!$Z$7:$Z$500"),"Fail"),0))</f>
        <v/>
      </c>
      <c r="AR31" s="322">
        <f>IF($D31="","",IFERROR(COUNTIF(INDIRECT("'"&amp;$D31&amp;"'!$Z$7:$Z$500"),"Block"),0))</f>
        <v/>
      </c>
      <c r="AS31" s="322">
        <f>IF($D31="","",IFERROR(COUNTIF(INDIRECT("'"&amp;$D31&amp;"'!$Z$7:$Z$500"),"N/A"),0))</f>
        <v/>
      </c>
      <c r="AT31" s="322">
        <f>IF($D31="","",IFERROR(COUNTIF(INDIRECT("'"&amp;$D31&amp;"'!$AE$7:$AE$500"),"&lt;&gt;"),0))</f>
        <v/>
      </c>
      <c r="AU31" s="322">
        <f>IF($D31="","",IFERROR(COUNTIF(INDIRECT("'"&amp;$D31&amp;"'!$AE$7:$AE$500"),"Pass"),0))</f>
        <v/>
      </c>
      <c r="AV31" s="322">
        <f>IF($D31="","",IFERROR(COUNTIF(INDIRECT("'"&amp;$D31&amp;"'!$AE$7:$AE$500"),"Fail"),0))</f>
        <v/>
      </c>
      <c r="AW31" s="322">
        <f>IF($D31="","",IFERROR(COUNTIF(INDIRECT("'"&amp;$D31&amp;"'!$AE$7:$AE$500"),"Block"),0))</f>
        <v/>
      </c>
      <c r="AX31" s="322">
        <f>IF($D31="","",IFERROR(COUNTIF(INDIRECT("'"&amp;$D31&amp;"'!$AE$7:$AE$500"),"N/A"),0))</f>
        <v/>
      </c>
      <c r="AY31" s="322">
        <f>IF($D31="","",IFERROR(COUNTIF(INDIRECT("'"&amp;$D31&amp;"'!$AJ$7:$AJ$500"),"&lt;&gt;"),0))</f>
        <v/>
      </c>
      <c r="AZ31" s="322">
        <f>IF($D31="","",IFERROR(COUNTIF(INDIRECT("'"&amp;$D31&amp;"'!$AJ$7:$AJ$500"),"Pass"),0))</f>
        <v/>
      </c>
      <c r="BA31" s="322">
        <f>IF($D31="","",IFERROR(COUNTIF(INDIRECT("'"&amp;$D31&amp;"'!$AJ$7:$AJ$500"),"Fail"),0))</f>
        <v/>
      </c>
      <c r="BB31" s="322">
        <f>IF($D31="","",IFERROR(COUNTIF(INDIRECT("'"&amp;$D31&amp;"'!$AJ$7:$AJ$500"),"Block"),0))</f>
        <v/>
      </c>
      <c r="BC31" s="224">
        <f>IF($D31="","",IFERROR(COUNTIF(INDIRECT("'"&amp;$D31&amp;"'!$AJ$7:$AJ$500"),"N/A"),0))</f>
        <v/>
      </c>
    </row>
    <row r="32" ht="15.75" customHeight="1" s="225">
      <c r="B32" s="317">
        <f>IF($D32="","",ROW()-3)</f>
        <v/>
      </c>
      <c r="C32" s="318" t="n"/>
      <c r="D32" s="318" t="n"/>
      <c r="E32" s="319" t="n"/>
      <c r="F32" s="317">
        <f>IF($D32="","",IFERROR(COUNTIF(INDIRECT("'"&amp;$D32&amp;"'!$C$7:$C$500"),"?*"),0))</f>
        <v/>
      </c>
      <c r="G32" s="317">
        <f>IF($D32="","",IFERROR(COUNTIF(INDIRECT("'"&amp;$D32&amp;"'!$AO$7:$AO$500"),"Pass"),0))</f>
        <v/>
      </c>
      <c r="H32" s="317">
        <f>IF($D32="","",IFERROR(COUNTIF(INDIRECT("'"&amp;$D32&amp;"'!$AO$7:$AO$500"),"Fail"),0))</f>
        <v/>
      </c>
      <c r="I32" s="317">
        <f>IF($D32="","",IFERROR(COUNTIF(INDIRECT("'"&amp;$D32&amp;"'!$AO$7:$AO$500"),"Block"),0))</f>
        <v/>
      </c>
      <c r="J32" s="317">
        <f>IF($D32="","",IFERROR(COUNTIF(INDIRECT("'"&amp;$D32&amp;"'!$AO$7:$AO$500"),"N/A"),0))</f>
        <v/>
      </c>
      <c r="K32" s="317">
        <f>IF($D32="","",MAX(0,$F32-$G32-$H32-$I32-$J32))</f>
        <v/>
      </c>
      <c r="L32" s="317">
        <f>IF($D32="","",$G32+$H32+$I32+$J32)</f>
        <v/>
      </c>
      <c r="M32" s="320">
        <f>IF($D32="","",IFERROR($L32/$F32,0))</f>
        <v/>
      </c>
      <c r="N32" s="320">
        <f>IF($D32="","",IFERROR($G32/$L32,0))</f>
        <v/>
      </c>
      <c r="O32" s="317">
        <f>IF($D32="","",IFERROR(COUNTIF(INDIRECT("'"&amp;$D32&amp;"'!$E$7:$E$500"),"High"),0))</f>
        <v/>
      </c>
      <c r="P32" s="317">
        <f>IF($D32="","",IFERROR(COUNTIF(INDIRECT("'"&amp;$D32&amp;"'!$E$7:$E$500"),"Medium"),0))</f>
        <v/>
      </c>
      <c r="Q32" s="317">
        <f>IF($D32="","",IFERROR(COUNTIF(INDIRECT("'"&amp;$D32&amp;"'!$E$7:$E$500"),"Low"),0))</f>
        <v/>
      </c>
      <c r="R32" s="317">
        <f>IF($D32="","",IFERROR(COUNTIF(INDIRECT("'"&amp;$D32&amp;"'!$D$7:$D$500"),"Functional"),0))</f>
        <v/>
      </c>
      <c r="S32" s="317">
        <f>IF($D32="","",IFERROR(COUNTIF(INDIRECT("'"&amp;$D32&amp;"'!$D$7:$D$500"),"UI"),0))</f>
        <v/>
      </c>
      <c r="T32" s="317">
        <f>IF($D32="","",IFERROR(COUNTIF(INDIRECT("'"&amp;$D32&amp;"'!$D$7:$D$500"),"Integration"),0))</f>
        <v/>
      </c>
      <c r="U32" s="317">
        <f>IF($D32="","",IFERROR(COUNTIF(INDIRECT("'"&amp;$D32&amp;"'!$D$7:$D$500"),"Database Test Case"),0))</f>
        <v/>
      </c>
      <c r="V32" s="317">
        <f>IF($D32="","",IFERROR(COUNTIF(INDIRECT("'"&amp;$D32&amp;"'!$J$7:$J$500"),"AI"),0))</f>
        <v/>
      </c>
      <c r="W32" s="317">
        <f>IF($D32="","",IFERROR(COUNTIF(INDIRECT("'"&amp;$D32&amp;"'!$J$7:$J$500"),"QC"),0))</f>
        <v/>
      </c>
      <c r="X32" s="317">
        <f>IF($D32="","",IFERROR(COUNTIF(INDIRECT("'"&amp;$D32&amp;"'!$L$7:$L$500"),"Yes"),0))</f>
        <v/>
      </c>
      <c r="Y32" s="317">
        <f>IF($D32="","",IFERROR(COUNTIF(INDIRECT("'"&amp;$D32&amp;"'!$AM$7:$AM$500"),"Yes"),0))</f>
        <v/>
      </c>
      <c r="Z32" s="317">
        <f>IF($D32="","",IFERROR(COUNTIF(INDIRECT("'"&amp;$D32&amp;"'!$AN$7:$AN$500"),"Pass"),0))</f>
        <v/>
      </c>
      <c r="AA32" s="317">
        <f>IF($D32="","",IFERROR(COUNTIF(INDIRECT("'"&amp;$D32&amp;"'!$K$7:$K$500"),"Reviewed"),0))</f>
        <v/>
      </c>
      <c r="AB32" s="321">
        <f>IF($D32="","",IFERROR(SUMPRODUCT((INDIRECT("'"&amp;$D32&amp;"'!$E$7:$E$500")="High")*(INDIRECT("'"&amp;$D32&amp;"'!$AO$7:$AO$500")&lt;&gt;"")),0))</f>
        <v/>
      </c>
      <c r="AC32" s="321">
        <f>IF($D32="","",IFERROR(SUMPRODUCT((INDIRECT("'"&amp;$D32&amp;"'!$E$7:$E$500")="Medium")*(INDIRECT("'"&amp;$D32&amp;"'!$AO$7:$AO$500")&lt;&gt;"")),0))</f>
        <v/>
      </c>
      <c r="AD32" s="321">
        <f>IF($D32="","",IFERROR(SUMPRODUCT((INDIRECT("'"&amp;$D32&amp;"'!$E$7:$E$500")="Low")*(INDIRECT("'"&amp;$D32&amp;"'!$AO$7:$AO$500")&lt;&gt;"")),0))</f>
        <v/>
      </c>
      <c r="AE32" s="322">
        <f>IF($D32="","",IFERROR(COUNTIF(INDIRECT("'"&amp;$D32&amp;"'!$P$7:$P$500"),"&lt;&gt;"),0))</f>
        <v/>
      </c>
      <c r="AF32" s="322">
        <f>IF($D32="","",IFERROR(COUNTIF(INDIRECT("'"&amp;$D32&amp;"'!$P$7:$P$500"),"Pass"),0))</f>
        <v/>
      </c>
      <c r="AG32" s="322">
        <f>IF($D32="","",IFERROR(COUNTIF(INDIRECT("'"&amp;$D32&amp;"'!$P$7:$P$500"),"Fail"),0))</f>
        <v/>
      </c>
      <c r="AH32" s="322">
        <f>IF($D32="","",IFERROR(COUNTIF(INDIRECT("'"&amp;$D32&amp;"'!$P$7:$P$500"),"Block"),0))</f>
        <v/>
      </c>
      <c r="AI32" s="322">
        <f>IF($D32="","",IFERROR(COUNTIF(INDIRECT("'"&amp;$D32&amp;"'!$P$7:$P$500"),"N/A"),0))</f>
        <v/>
      </c>
      <c r="AJ32" s="322">
        <f>IF($D32="","",IFERROR(COUNTIF(INDIRECT("'"&amp;$D32&amp;"'!$U$7:$U$500"),"&lt;&gt;"),0))</f>
        <v/>
      </c>
      <c r="AK32" s="322">
        <f>IF($D32="","",IFERROR(COUNTIF(INDIRECT("'"&amp;$D32&amp;"'!$U$7:$U$500"),"Pass"),0))</f>
        <v/>
      </c>
      <c r="AL32" s="322">
        <f>IF($D32="","",IFERROR(COUNTIF(INDIRECT("'"&amp;$D32&amp;"'!$U$7:$U$500"),"Fail"),0))</f>
        <v/>
      </c>
      <c r="AM32" s="322">
        <f>IF($D32="","",IFERROR(COUNTIF(INDIRECT("'"&amp;$D32&amp;"'!$U$7:$U$500"),"Block"),0))</f>
        <v/>
      </c>
      <c r="AN32" s="322">
        <f>IF($D32="","",IFERROR(COUNTIF(INDIRECT("'"&amp;$D32&amp;"'!$U$7:$U$500"),"N/A"),0))</f>
        <v/>
      </c>
      <c r="AO32" s="322">
        <f>IF($D32="","",IFERROR(COUNTIF(INDIRECT("'"&amp;$D32&amp;"'!$Z$7:$Z$500"),"&lt;&gt;"),0))</f>
        <v/>
      </c>
      <c r="AP32" s="322">
        <f>IF($D32="","",IFERROR(COUNTIF(INDIRECT("'"&amp;$D32&amp;"'!$Z$7:$Z$500"),"Pass"),0))</f>
        <v/>
      </c>
      <c r="AQ32" s="322">
        <f>IF($D32="","",IFERROR(COUNTIF(INDIRECT("'"&amp;$D32&amp;"'!$Z$7:$Z$500"),"Fail"),0))</f>
        <v/>
      </c>
      <c r="AR32" s="322">
        <f>IF($D32="","",IFERROR(COUNTIF(INDIRECT("'"&amp;$D32&amp;"'!$Z$7:$Z$500"),"Block"),0))</f>
        <v/>
      </c>
      <c r="AS32" s="322">
        <f>IF($D32="","",IFERROR(COUNTIF(INDIRECT("'"&amp;$D32&amp;"'!$Z$7:$Z$500"),"N/A"),0))</f>
        <v/>
      </c>
      <c r="AT32" s="322">
        <f>IF($D32="","",IFERROR(COUNTIF(INDIRECT("'"&amp;$D32&amp;"'!$AE$7:$AE$500"),"&lt;&gt;"),0))</f>
        <v/>
      </c>
      <c r="AU32" s="322">
        <f>IF($D32="","",IFERROR(COUNTIF(INDIRECT("'"&amp;$D32&amp;"'!$AE$7:$AE$500"),"Pass"),0))</f>
        <v/>
      </c>
      <c r="AV32" s="322">
        <f>IF($D32="","",IFERROR(COUNTIF(INDIRECT("'"&amp;$D32&amp;"'!$AE$7:$AE$500"),"Fail"),0))</f>
        <v/>
      </c>
      <c r="AW32" s="322">
        <f>IF($D32="","",IFERROR(COUNTIF(INDIRECT("'"&amp;$D32&amp;"'!$AE$7:$AE$500"),"Block"),0))</f>
        <v/>
      </c>
      <c r="AX32" s="322">
        <f>IF($D32="","",IFERROR(COUNTIF(INDIRECT("'"&amp;$D32&amp;"'!$AE$7:$AE$500"),"N/A"),0))</f>
        <v/>
      </c>
      <c r="AY32" s="322">
        <f>IF($D32="","",IFERROR(COUNTIF(INDIRECT("'"&amp;$D32&amp;"'!$AJ$7:$AJ$500"),"&lt;&gt;"),0))</f>
        <v/>
      </c>
      <c r="AZ32" s="322">
        <f>IF($D32="","",IFERROR(COUNTIF(INDIRECT("'"&amp;$D32&amp;"'!$AJ$7:$AJ$500"),"Pass"),0))</f>
        <v/>
      </c>
      <c r="BA32" s="322">
        <f>IF($D32="","",IFERROR(COUNTIF(INDIRECT("'"&amp;$D32&amp;"'!$AJ$7:$AJ$500"),"Fail"),0))</f>
        <v/>
      </c>
      <c r="BB32" s="322">
        <f>IF($D32="","",IFERROR(COUNTIF(INDIRECT("'"&amp;$D32&amp;"'!$AJ$7:$AJ$500"),"Block"),0))</f>
        <v/>
      </c>
      <c r="BC32" s="224">
        <f>IF($D32="","",IFERROR(COUNTIF(INDIRECT("'"&amp;$D32&amp;"'!$AJ$7:$AJ$500"),"N/A"),0))</f>
        <v/>
      </c>
    </row>
    <row r="33" ht="15.75" customHeight="1" s="225">
      <c r="B33" s="317">
        <f>IF($D33="","",ROW()-3)</f>
        <v/>
      </c>
      <c r="C33" s="318" t="n"/>
      <c r="D33" s="318" t="n"/>
      <c r="E33" s="319" t="n"/>
      <c r="F33" s="317">
        <f>IF($D33="","",IFERROR(COUNTIF(INDIRECT("'"&amp;$D33&amp;"'!$C$7:$C$500"),"?*"),0))</f>
        <v/>
      </c>
      <c r="G33" s="317">
        <f>IF($D33="","",IFERROR(COUNTIF(INDIRECT("'"&amp;$D33&amp;"'!$AO$7:$AO$500"),"Pass"),0))</f>
        <v/>
      </c>
      <c r="H33" s="317">
        <f>IF($D33="","",IFERROR(COUNTIF(INDIRECT("'"&amp;$D33&amp;"'!$AO$7:$AO$500"),"Fail"),0))</f>
        <v/>
      </c>
      <c r="I33" s="317">
        <f>IF($D33="","",IFERROR(COUNTIF(INDIRECT("'"&amp;$D33&amp;"'!$AO$7:$AO$500"),"Block"),0))</f>
        <v/>
      </c>
      <c r="J33" s="317">
        <f>IF($D33="","",IFERROR(COUNTIF(INDIRECT("'"&amp;$D33&amp;"'!$AO$7:$AO$500"),"N/A"),0))</f>
        <v/>
      </c>
      <c r="K33" s="317">
        <f>IF($D33="","",MAX(0,$F33-$G33-$H33-$I33-$J33))</f>
        <v/>
      </c>
      <c r="L33" s="317">
        <f>IF($D33="","",$G33+$H33+$I33+$J33)</f>
        <v/>
      </c>
      <c r="M33" s="320">
        <f>IF($D33="","",IFERROR($L33/$F33,0))</f>
        <v/>
      </c>
      <c r="N33" s="320">
        <f>IF($D33="","",IFERROR($G33/$L33,0))</f>
        <v/>
      </c>
      <c r="O33" s="317">
        <f>IF($D33="","",IFERROR(COUNTIF(INDIRECT("'"&amp;$D33&amp;"'!$E$7:$E$500"),"High"),0))</f>
        <v/>
      </c>
      <c r="P33" s="317">
        <f>IF($D33="","",IFERROR(COUNTIF(INDIRECT("'"&amp;$D33&amp;"'!$E$7:$E$500"),"Medium"),0))</f>
        <v/>
      </c>
      <c r="Q33" s="317">
        <f>IF($D33="","",IFERROR(COUNTIF(INDIRECT("'"&amp;$D33&amp;"'!$E$7:$E$500"),"Low"),0))</f>
        <v/>
      </c>
      <c r="R33" s="317">
        <f>IF($D33="","",IFERROR(COUNTIF(INDIRECT("'"&amp;$D33&amp;"'!$D$7:$D$500"),"Functional"),0))</f>
        <v/>
      </c>
      <c r="S33" s="317">
        <f>IF($D33="","",IFERROR(COUNTIF(INDIRECT("'"&amp;$D33&amp;"'!$D$7:$D$500"),"UI"),0))</f>
        <v/>
      </c>
      <c r="T33" s="317">
        <f>IF($D33="","",IFERROR(COUNTIF(INDIRECT("'"&amp;$D33&amp;"'!$D$7:$D$500"),"Integration"),0))</f>
        <v/>
      </c>
      <c r="U33" s="317">
        <f>IF($D33="","",IFERROR(COUNTIF(INDIRECT("'"&amp;$D33&amp;"'!$D$7:$D$500"),"Database Test Case"),0))</f>
        <v/>
      </c>
      <c r="V33" s="317">
        <f>IF($D33="","",IFERROR(COUNTIF(INDIRECT("'"&amp;$D33&amp;"'!$J$7:$J$500"),"AI"),0))</f>
        <v/>
      </c>
      <c r="W33" s="317">
        <f>IF($D33="","",IFERROR(COUNTIF(INDIRECT("'"&amp;$D33&amp;"'!$J$7:$J$500"),"QC"),0))</f>
        <v/>
      </c>
      <c r="X33" s="317">
        <f>IF($D33="","",IFERROR(COUNTIF(INDIRECT("'"&amp;$D33&amp;"'!$L$7:$L$500"),"Yes"),0))</f>
        <v/>
      </c>
      <c r="Y33" s="317">
        <f>IF($D33="","",IFERROR(COUNTIF(INDIRECT("'"&amp;$D33&amp;"'!$AM$7:$AM$500"),"Yes"),0))</f>
        <v/>
      </c>
      <c r="Z33" s="317">
        <f>IF($D33="","",IFERROR(COUNTIF(INDIRECT("'"&amp;$D33&amp;"'!$AN$7:$AN$500"),"Pass"),0))</f>
        <v/>
      </c>
      <c r="AA33" s="317">
        <f>IF($D33="","",IFERROR(COUNTIF(INDIRECT("'"&amp;$D33&amp;"'!$K$7:$K$500"),"Reviewed"),0))</f>
        <v/>
      </c>
      <c r="AB33" s="321">
        <f>IF($D33="","",IFERROR(SUMPRODUCT((INDIRECT("'"&amp;$D33&amp;"'!$E$7:$E$500")="High")*(INDIRECT("'"&amp;$D33&amp;"'!$AO$7:$AO$500")&lt;&gt;"")),0))</f>
        <v/>
      </c>
      <c r="AC33" s="321">
        <f>IF($D33="","",IFERROR(SUMPRODUCT((INDIRECT("'"&amp;$D33&amp;"'!$E$7:$E$500")="Medium")*(INDIRECT("'"&amp;$D33&amp;"'!$AO$7:$AO$500")&lt;&gt;"")),0))</f>
        <v/>
      </c>
      <c r="AD33" s="321">
        <f>IF($D33="","",IFERROR(SUMPRODUCT((INDIRECT("'"&amp;$D33&amp;"'!$E$7:$E$500")="Low")*(INDIRECT("'"&amp;$D33&amp;"'!$AO$7:$AO$500")&lt;&gt;"")),0))</f>
        <v/>
      </c>
      <c r="AE33" s="322">
        <f>IF($D33="","",IFERROR(COUNTIF(INDIRECT("'"&amp;$D33&amp;"'!$P$7:$P$500"),"&lt;&gt;"),0))</f>
        <v/>
      </c>
      <c r="AF33" s="322">
        <f>IF($D33="","",IFERROR(COUNTIF(INDIRECT("'"&amp;$D33&amp;"'!$P$7:$P$500"),"Pass"),0))</f>
        <v/>
      </c>
      <c r="AG33" s="322">
        <f>IF($D33="","",IFERROR(COUNTIF(INDIRECT("'"&amp;$D33&amp;"'!$P$7:$P$500"),"Fail"),0))</f>
        <v/>
      </c>
      <c r="AH33" s="322">
        <f>IF($D33="","",IFERROR(COUNTIF(INDIRECT("'"&amp;$D33&amp;"'!$P$7:$P$500"),"Block"),0))</f>
        <v/>
      </c>
      <c r="AI33" s="322">
        <f>IF($D33="","",IFERROR(COUNTIF(INDIRECT("'"&amp;$D33&amp;"'!$P$7:$P$500"),"N/A"),0))</f>
        <v/>
      </c>
      <c r="AJ33" s="322">
        <f>IF($D33="","",IFERROR(COUNTIF(INDIRECT("'"&amp;$D33&amp;"'!$U$7:$U$500"),"&lt;&gt;"),0))</f>
        <v/>
      </c>
      <c r="AK33" s="322">
        <f>IF($D33="","",IFERROR(COUNTIF(INDIRECT("'"&amp;$D33&amp;"'!$U$7:$U$500"),"Pass"),0))</f>
        <v/>
      </c>
      <c r="AL33" s="322">
        <f>IF($D33="","",IFERROR(COUNTIF(INDIRECT("'"&amp;$D33&amp;"'!$U$7:$U$500"),"Fail"),0))</f>
        <v/>
      </c>
      <c r="AM33" s="322">
        <f>IF($D33="","",IFERROR(COUNTIF(INDIRECT("'"&amp;$D33&amp;"'!$U$7:$U$500"),"Block"),0))</f>
        <v/>
      </c>
      <c r="AN33" s="322">
        <f>IF($D33="","",IFERROR(COUNTIF(INDIRECT("'"&amp;$D33&amp;"'!$U$7:$U$500"),"N/A"),0))</f>
        <v/>
      </c>
      <c r="AO33" s="322">
        <f>IF($D33="","",IFERROR(COUNTIF(INDIRECT("'"&amp;$D33&amp;"'!$Z$7:$Z$500"),"&lt;&gt;"),0))</f>
        <v/>
      </c>
      <c r="AP33" s="322">
        <f>IF($D33="","",IFERROR(COUNTIF(INDIRECT("'"&amp;$D33&amp;"'!$Z$7:$Z$500"),"Pass"),0))</f>
        <v/>
      </c>
      <c r="AQ33" s="322">
        <f>IF($D33="","",IFERROR(COUNTIF(INDIRECT("'"&amp;$D33&amp;"'!$Z$7:$Z$500"),"Fail"),0))</f>
        <v/>
      </c>
      <c r="AR33" s="322">
        <f>IF($D33="","",IFERROR(COUNTIF(INDIRECT("'"&amp;$D33&amp;"'!$Z$7:$Z$500"),"Block"),0))</f>
        <v/>
      </c>
      <c r="AS33" s="322">
        <f>IF($D33="","",IFERROR(COUNTIF(INDIRECT("'"&amp;$D33&amp;"'!$Z$7:$Z$500"),"N/A"),0))</f>
        <v/>
      </c>
      <c r="AT33" s="322">
        <f>IF($D33="","",IFERROR(COUNTIF(INDIRECT("'"&amp;$D33&amp;"'!$AE$7:$AE$500"),"&lt;&gt;"),0))</f>
        <v/>
      </c>
      <c r="AU33" s="322">
        <f>IF($D33="","",IFERROR(COUNTIF(INDIRECT("'"&amp;$D33&amp;"'!$AE$7:$AE$500"),"Pass"),0))</f>
        <v/>
      </c>
      <c r="AV33" s="322">
        <f>IF($D33="","",IFERROR(COUNTIF(INDIRECT("'"&amp;$D33&amp;"'!$AE$7:$AE$500"),"Fail"),0))</f>
        <v/>
      </c>
      <c r="AW33" s="322">
        <f>IF($D33="","",IFERROR(COUNTIF(INDIRECT("'"&amp;$D33&amp;"'!$AE$7:$AE$500"),"Block"),0))</f>
        <v/>
      </c>
      <c r="AX33" s="322">
        <f>IF($D33="","",IFERROR(COUNTIF(INDIRECT("'"&amp;$D33&amp;"'!$AE$7:$AE$500"),"N/A"),0))</f>
        <v/>
      </c>
      <c r="AY33" s="322">
        <f>IF($D33="","",IFERROR(COUNTIF(INDIRECT("'"&amp;$D33&amp;"'!$AJ$7:$AJ$500"),"&lt;&gt;"),0))</f>
        <v/>
      </c>
      <c r="AZ33" s="322">
        <f>IF($D33="","",IFERROR(COUNTIF(INDIRECT("'"&amp;$D33&amp;"'!$AJ$7:$AJ$500"),"Pass"),0))</f>
        <v/>
      </c>
      <c r="BA33" s="322">
        <f>IF($D33="","",IFERROR(COUNTIF(INDIRECT("'"&amp;$D33&amp;"'!$AJ$7:$AJ$500"),"Fail"),0))</f>
        <v/>
      </c>
      <c r="BB33" s="322">
        <f>IF($D33="","",IFERROR(COUNTIF(INDIRECT("'"&amp;$D33&amp;"'!$AJ$7:$AJ$500"),"Block"),0))</f>
        <v/>
      </c>
      <c r="BC33" s="224">
        <f>IF($D33="","",IFERROR(COUNTIF(INDIRECT("'"&amp;$D33&amp;"'!$AJ$7:$AJ$500"),"N/A"),0))</f>
        <v/>
      </c>
    </row>
    <row r="34" ht="15.75" customHeight="1" s="225">
      <c r="B34" s="323" t="inlineStr">
        <is>
          <t>TOTAL</t>
        </is>
      </c>
      <c r="C34" s="323" t="n"/>
      <c r="D34" s="323">
        <f>COUNTIF($D$4:$D$33,"?*")&amp;" sheet"</f>
        <v/>
      </c>
      <c r="E34" s="324" t="n"/>
      <c r="F34" s="323">
        <f>SUM(F4:F33)</f>
        <v/>
      </c>
      <c r="G34" s="323">
        <f>SUM(G4:G33)</f>
        <v/>
      </c>
      <c r="H34" s="323">
        <f>SUM(H4:H33)</f>
        <v/>
      </c>
      <c r="I34" s="323">
        <f>SUM(I4:I33)</f>
        <v/>
      </c>
      <c r="J34" s="323">
        <f>SUM(J4:J33)</f>
        <v/>
      </c>
      <c r="K34" s="323">
        <f>SUM(K4:K33)</f>
        <v/>
      </c>
      <c r="L34" s="323">
        <f>SUM(L4:L33)</f>
        <v/>
      </c>
      <c r="M34" s="325">
        <f>IFERROR($L34/$F34,0)</f>
        <v/>
      </c>
      <c r="N34" s="325">
        <f>IFERROR($G34/$L34,0)</f>
        <v/>
      </c>
      <c r="O34" s="323">
        <f>SUM(O4:O33)</f>
        <v/>
      </c>
      <c r="P34" s="323">
        <f>SUM(P4:P33)</f>
        <v/>
      </c>
      <c r="Q34" s="323">
        <f>SUM(Q4:Q33)</f>
        <v/>
      </c>
      <c r="R34" s="323">
        <f>SUM(R4:R33)</f>
        <v/>
      </c>
      <c r="S34" s="323">
        <f>SUM(S4:S33)</f>
        <v/>
      </c>
      <c r="T34" s="323">
        <f>SUM(T4:T33)</f>
        <v/>
      </c>
      <c r="U34" s="323">
        <f>SUM(U4:U33)</f>
        <v/>
      </c>
      <c r="V34" s="323">
        <f>SUM(V4:V33)</f>
        <v/>
      </c>
      <c r="W34" s="323">
        <f>SUM(W4:W33)</f>
        <v/>
      </c>
      <c r="X34" s="323">
        <f>SUM(X4:X33)</f>
        <v/>
      </c>
      <c r="Y34" s="323">
        <f>SUM(Y4:Y33)</f>
        <v/>
      </c>
      <c r="Z34" s="323">
        <f>SUM(Z4:Z33)</f>
        <v/>
      </c>
      <c r="AA34" s="323">
        <f>SUM(AA4:AA33)</f>
        <v/>
      </c>
      <c r="AB34" s="326">
        <f>SUM(AB4:AB33)</f>
        <v/>
      </c>
      <c r="AC34" s="326">
        <f>SUM(AC4:AC33)</f>
        <v/>
      </c>
      <c r="AD34" s="326">
        <f>SUM(AD4:AD33)</f>
        <v/>
      </c>
      <c r="AE34" s="327">
        <f>SUM(AE4:AE33)</f>
        <v/>
      </c>
      <c r="AF34" s="327">
        <f>SUM(AF4:AF33)</f>
        <v/>
      </c>
      <c r="AG34" s="327">
        <f>SUM(AG4:AG33)</f>
        <v/>
      </c>
      <c r="AH34" s="327">
        <f>SUM(AH4:AH33)</f>
        <v/>
      </c>
      <c r="AI34" s="327">
        <f>SUM(AI4:AI33)</f>
        <v/>
      </c>
      <c r="AJ34" s="327">
        <f>SUM(AJ4:AJ33)</f>
        <v/>
      </c>
      <c r="AK34" s="327">
        <f>SUM(AK4:AK33)</f>
        <v/>
      </c>
      <c r="AL34" s="327">
        <f>SUM(AL4:AL33)</f>
        <v/>
      </c>
      <c r="AM34" s="327">
        <f>SUM(AM4:AM33)</f>
        <v/>
      </c>
      <c r="AN34" s="327">
        <f>SUM(AN4:AN33)</f>
        <v/>
      </c>
      <c r="AO34" s="327">
        <f>SUM(AO4:AO33)</f>
        <v/>
      </c>
      <c r="AP34" s="327">
        <f>SUM(AP4:AP33)</f>
        <v/>
      </c>
      <c r="AQ34" s="327">
        <f>SUM(AQ4:AQ33)</f>
        <v/>
      </c>
      <c r="AR34" s="327">
        <f>SUM(AR4:AR33)</f>
        <v/>
      </c>
      <c r="AS34" s="327">
        <f>SUM(AS4:AS33)</f>
        <v/>
      </c>
      <c r="AT34" s="327">
        <f>SUM(AT4:AT33)</f>
        <v/>
      </c>
      <c r="AU34" s="327">
        <f>SUM(AU4:AU33)</f>
        <v/>
      </c>
      <c r="AV34" s="327">
        <f>SUM(AV4:AV33)</f>
        <v/>
      </c>
      <c r="AW34" s="327">
        <f>SUM(AW4:AW33)</f>
        <v/>
      </c>
      <c r="AX34" s="327">
        <f>SUM(AX4:AX33)</f>
        <v/>
      </c>
      <c r="AY34" s="327">
        <f>SUM(AY4:AY33)</f>
        <v/>
      </c>
      <c r="AZ34" s="327">
        <f>SUM(AZ4:AZ33)</f>
        <v/>
      </c>
      <c r="BA34" s="327">
        <f>SUM(BA4:BA33)</f>
        <v/>
      </c>
      <c r="BB34" s="327">
        <f>SUM(BB4:BB33)</f>
        <v/>
      </c>
      <c r="BC34" s="328">
        <f>SUM(BC4:BC33)</f>
        <v/>
      </c>
    </row>
    <row r="35" ht="15.75" customHeight="1" s="225"/>
    <row r="36" ht="15" customHeight="1" s="225">
      <c r="B36" s="329" t="inlineStr">
        <is>
          <t>CÁCH THÊM 1 FUNCTION MỚI (chạy được cả Excel &amp; Google Sheets):</t>
        </is>
      </c>
    </row>
    <row r="37" ht="15" customHeight="1" s="225">
      <c r="B37" s="330" t="inlineStr">
        <is>
          <t>1. Nhân bản (Duplicate) 1 sheet Test Case có sẵn → đổi tên tab thành tên function mới.</t>
        </is>
      </c>
    </row>
    <row r="38" ht="15" customHeight="1" s="225">
      <c r="B38" s="330" t="inlineStr">
        <is>
          <t>2. Thêm 1 dòng ở bảng trên: nhập Mã CN, TÊN TAB SHEET (phải giống hệt tên tab), Function.</t>
        </is>
      </c>
    </row>
    <row r="39" ht="15" customHeight="1" s="225">
      <c r="B39" s="330" t="inlineStr">
        <is>
          <t>3. Xong! Tổng TC / Pass / Coverage / Priority / SDLC tự cộng vào Summary &amp; Report Test.</t>
        </is>
      </c>
    </row>
    <row r="40" ht="15" customHeight="1" s="225">
      <c r="B40" s="330" t="inlineStr">
        <is>
          <t>Lưu ý: cột "Tên tab sheet" phải trùng KHÍT tên tab (kể cả khoảng trắng). Sai tên → dòng đó = 0 (không lỗi).</t>
        </is>
      </c>
    </row>
    <row r="41" ht="15.75" customHeight="1" s="225">
      <c r="B41" s="330" t="inlineStr">
        <is>
          <t>Các chỉ số lấy từ sheet Test Case: A=Testcase ID · E=Group · F=Priority · K=Origin · L=Review · M=Auto · O=Vibe(tổng) · P=KQ Script(tổng) · Kết quả từng round: S/X/AC/AH/AM · Status(mới nhất)=AP.</t>
        </is>
      </c>
    </row>
    <row r="42" ht="15.75" customHeight="1" s="225"/>
    <row r="43" ht="15.75" customHeight="1" s="225"/>
    <row r="44" ht="15.75" customHeight="1" s="225"/>
    <row r="45" ht="15.75" customHeight="1" s="225"/>
    <row r="46" ht="15.75" customHeight="1" s="225"/>
    <row r="47" ht="15.75" customHeight="1" s="225"/>
    <row r="48" ht="15.75" customHeight="1" s="225"/>
    <row r="49" ht="15.75" customHeight="1" s="225"/>
    <row r="50" ht="15.75" customHeight="1" s="225"/>
    <row r="51" ht="15.75" customHeight="1" s="225"/>
    <row r="52" ht="15.75" customHeight="1" s="225"/>
    <row r="53" ht="15.75" customHeight="1" s="225"/>
    <row r="54" ht="15.75" customHeight="1" s="225"/>
    <row r="55" ht="15.75" customHeight="1" s="225"/>
    <row r="56" ht="15.75" customHeight="1" s="225"/>
    <row r="57" ht="15.75" customHeight="1" s="225"/>
    <row r="58" ht="15.75" customHeight="1" s="225"/>
    <row r="59" ht="15.75" customHeight="1" s="225"/>
    <row r="60" ht="15.75" customHeight="1" s="225"/>
    <row r="61" ht="15.75" customHeight="1" s="225"/>
    <row r="62" ht="15.75" customHeight="1" s="225"/>
    <row r="63" ht="15.75" customHeight="1" s="225"/>
    <row r="64" ht="15.75" customHeight="1" s="225"/>
    <row r="65" ht="15.75" customHeight="1" s="225"/>
    <row r="66" ht="15.75" customHeight="1" s="225"/>
    <row r="67" ht="15.75" customHeight="1" s="225"/>
    <row r="68" ht="15.75" customHeight="1" s="225"/>
    <row r="69" ht="15.75" customHeight="1" s="225"/>
    <row r="70" ht="15.75" customHeight="1" s="225"/>
    <row r="71" ht="15.75" customHeight="1" s="225"/>
    <row r="72" ht="15.75" customHeight="1" s="225"/>
    <row r="73" ht="15.75" customHeight="1" s="225"/>
    <row r="74" ht="15.75" customHeight="1" s="225"/>
    <row r="75" ht="15.75" customHeight="1" s="225"/>
    <row r="76" ht="15.75" customHeight="1" s="225"/>
    <row r="77" ht="15.75" customHeight="1" s="225"/>
    <row r="78" ht="15.75" customHeight="1" s="225"/>
    <row r="79" ht="15.75" customHeight="1" s="225"/>
    <row r="80" ht="15.75" customHeight="1" s="225"/>
    <row r="81" ht="15.75" customHeight="1" s="225"/>
    <row r="82" ht="15.75" customHeight="1" s="225"/>
    <row r="83" ht="15.75" customHeight="1" s="225"/>
    <row r="84" ht="15.75" customHeight="1" s="225"/>
    <row r="85" ht="15.75" customHeight="1" s="225"/>
    <row r="86" ht="15.75" customHeight="1" s="225"/>
    <row r="87" ht="15.75" customHeight="1" s="225"/>
    <row r="88" ht="15.75" customHeight="1" s="225"/>
    <row r="89" ht="15.75" customHeight="1" s="225"/>
    <row r="90" ht="15.75" customHeight="1" s="225"/>
    <row r="91" ht="15.75" customHeight="1" s="225"/>
    <row r="92" ht="15.75" customHeight="1" s="225"/>
    <row r="93" ht="15.75" customHeight="1" s="225"/>
    <row r="94" ht="15.75" customHeight="1" s="225"/>
    <row r="95" ht="15.75" customHeight="1" s="225"/>
    <row r="96" ht="15.75" customHeight="1" s="225"/>
    <row r="97" ht="15.75" customHeight="1" s="225"/>
    <row r="98" ht="15.75" customHeight="1" s="225"/>
    <row r="99" ht="15.75" customHeight="1" s="225"/>
    <row r="100" ht="15.75" customHeight="1" s="225"/>
    <row r="101" ht="15.75" customHeight="1" s="225"/>
    <row r="102" ht="15.75" customHeight="1" s="225"/>
    <row r="103" ht="15.75" customHeight="1" s="225"/>
    <row r="104" ht="15.75" customHeight="1" s="225"/>
    <row r="105" ht="15.75" customHeight="1" s="225"/>
    <row r="106" ht="15.75" customHeight="1" s="225"/>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row r="115" ht="15.75" customHeight="1" s="225"/>
    <row r="116" ht="15.75" customHeight="1" s="225"/>
    <row r="117" ht="15.75" customHeight="1" s="225"/>
    <row r="118" ht="15.75" customHeight="1" s="225"/>
    <row r="119" ht="15.75" customHeight="1" s="225"/>
    <row r="120" ht="15.75" customHeight="1" s="225"/>
    <row r="121" ht="15.75" customHeight="1" s="225"/>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row r="133" ht="15.75" customHeight="1" s="225"/>
    <row r="134" ht="15.75" customHeight="1" s="225"/>
    <row r="135" ht="15.75" customHeight="1" s="225"/>
    <row r="136" ht="15.75" customHeight="1" s="225"/>
    <row r="137" ht="15.75" customHeight="1" s="225"/>
    <row r="138" ht="15.75" customHeight="1" s="225"/>
    <row r="139" ht="15.75" customHeight="1" s="225"/>
    <row r="140" ht="15.75" customHeight="1" s="225"/>
    <row r="141" ht="15.75" customHeight="1" s="225"/>
    <row r="142" ht="15.75" customHeight="1" s="225"/>
    <row r="143" ht="15.75" customHeight="1" s="225"/>
    <row r="144" ht="15.75" customHeight="1" s="225"/>
    <row r="145" ht="15.75" customHeight="1" s="225"/>
    <row r="146" ht="15.75" customHeight="1" s="225"/>
    <row r="147" ht="15.75" customHeight="1" s="225"/>
    <row r="148" ht="15.75" customHeight="1" s="225"/>
    <row r="149" ht="15.75" customHeight="1" s="225"/>
    <row r="150" ht="15.75" customHeight="1" s="225"/>
    <row r="151" ht="15.75" customHeight="1" s="225"/>
    <row r="152" ht="15.75" customHeight="1" s="225"/>
    <row r="153" ht="15.75" customHeight="1" s="225"/>
    <row r="154" ht="15.75" customHeight="1" s="225"/>
    <row r="155" ht="15.75" customHeight="1" s="225"/>
    <row r="156" ht="15.75" customHeight="1" s="225"/>
    <row r="157" ht="15.75" customHeight="1" s="225"/>
    <row r="158" ht="15.75" customHeight="1" s="225"/>
    <row r="159" ht="15.75" customHeight="1" s="225"/>
    <row r="160" ht="15.75" customHeight="1" s="225"/>
    <row r="161" ht="15.75" customHeight="1" s="225"/>
    <row r="162" ht="15.75" customHeight="1" s="225"/>
    <row r="163" ht="15.75" customHeight="1" s="225"/>
    <row r="164" ht="15.75" customHeight="1" s="225"/>
    <row r="165" ht="15.75" customHeight="1" s="225"/>
    <row r="166" ht="15.75" customHeight="1" s="225"/>
    <row r="167" ht="15.75" customHeight="1" s="225"/>
    <row r="168" ht="15.75" customHeight="1" s="225"/>
    <row r="169" ht="15.75" customHeight="1" s="225"/>
    <row r="170" ht="15.75" customHeight="1" s="225"/>
    <row r="171" ht="15.75" customHeight="1" s="225"/>
    <row r="172" ht="15.75" customHeight="1" s="225"/>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row r="181" ht="15.75" customHeight="1" s="225"/>
    <row r="182" ht="15.75" customHeight="1" s="225"/>
    <row r="183" ht="15.75" customHeight="1" s="225"/>
    <row r="184" ht="15.75" customHeight="1" s="225"/>
    <row r="185" ht="15.75" customHeight="1" s="225"/>
    <row r="186" ht="15.75" customHeight="1" s="225"/>
    <row r="187" ht="15.75" customHeight="1" s="225"/>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row r="197" ht="15.75" customHeight="1" s="225"/>
    <row r="198" ht="15.75" customHeight="1" s="225"/>
    <row r="199" ht="15.75" customHeight="1" s="225"/>
    <row r="200" ht="15.75" customHeight="1" s="225"/>
    <row r="201" ht="15.75" customHeight="1" s="225"/>
    <row r="202" ht="15.75" customHeight="1" s="225"/>
    <row r="203" ht="15.75" customHeight="1" s="225"/>
    <row r="204" ht="15.75" customHeight="1" s="225"/>
    <row r="205" ht="15.75" customHeight="1" s="225"/>
    <row r="206" ht="15.75" customHeight="1" s="225"/>
    <row r="207" ht="15.75" customHeight="1" s="225"/>
    <row r="208" ht="15.75" customHeight="1" s="225"/>
    <row r="209" ht="15.75" customHeight="1" s="225"/>
    <row r="210" ht="15.75" customHeight="1" s="225"/>
    <row r="211" ht="15.75" customHeight="1" s="225"/>
    <row r="212" ht="15.75" customHeight="1" s="225"/>
    <row r="213" ht="15.75" customHeight="1" s="225"/>
    <row r="214" ht="15.75" customHeight="1" s="225"/>
    <row r="215" ht="15.75" customHeight="1" s="225"/>
    <row r="216" ht="15.75" customHeight="1" s="225"/>
    <row r="217" ht="15.75" customHeight="1" s="225"/>
    <row r="218" ht="15.75" customHeight="1" s="225"/>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14">
    <mergeCell ref="C2:E2"/>
    <mergeCell ref="B36:N36"/>
    <mergeCell ref="B37:N37"/>
    <mergeCell ref="AB2:AD2"/>
    <mergeCell ref="R2:U2"/>
    <mergeCell ref="AE2:BC2"/>
    <mergeCell ref="F2:N2"/>
    <mergeCell ref="B41:N41"/>
    <mergeCell ref="B1:AA1"/>
    <mergeCell ref="B40:N40"/>
    <mergeCell ref="B39:N39"/>
    <mergeCell ref="B38:N38"/>
    <mergeCell ref="O2:Q2"/>
    <mergeCell ref="V2:AA2"/>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1"/>
  </sheetPr>
  <dimension ref="A2:Z24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customHeight="1" zeroHeight="0" outlineLevelRow="0"/>
  <cols>
    <col width="2.43" customWidth="1" style="224" min="1" max="1"/>
    <col width="14" customWidth="1" style="224" min="2" max="2"/>
    <col width="26" customWidth="1" style="224" min="3" max="3"/>
    <col width="11" customWidth="1" style="224" min="4" max="4"/>
    <col width="13" customWidth="1" style="224" min="5" max="5"/>
    <col width="11" customWidth="1" style="224" min="6" max="6"/>
    <col width="12" customWidth="1" style="224" min="7" max="7"/>
    <col width="13" customWidth="1" style="224" min="8" max="8"/>
    <col width="12" customWidth="1" style="224" min="9" max="9"/>
    <col width="9" customWidth="1" style="224" min="10" max="11"/>
    <col width="34" customWidth="1" style="224" min="12" max="12"/>
    <col width="9" customWidth="1" style="224" min="13" max="15"/>
  </cols>
  <sheetData>
    <row r="2" ht="24.75" customHeight="1" s="225">
      <c r="B2" s="331" t="inlineStr">
        <is>
          <t>I. THÔNG TIN CHUNG</t>
        </is>
      </c>
      <c r="F2" s="332" t="inlineStr">
        <is>
          <t>TỔNG QUAN NHANH</t>
        </is>
      </c>
      <c r="G2" s="233" t="n"/>
      <c r="H2" s="233" t="n"/>
      <c r="I2" s="233" t="n"/>
      <c r="J2" s="231" t="n"/>
    </row>
    <row r="3" ht="19.5" customHeight="1" s="225">
      <c r="B3" s="333" t="inlineStr">
        <is>
          <t>Tên dự án</t>
        </is>
      </c>
      <c r="C3" s="264">
        <f>Summary!$C$6</f>
        <v/>
      </c>
      <c r="D3" s="231" t="n"/>
      <c r="F3" s="334" t="inlineStr">
        <is>
          <t>Tổng số Bug</t>
        </is>
      </c>
      <c r="G3" s="233" t="n"/>
      <c r="H3" s="231" t="n"/>
      <c r="I3" s="335">
        <f>G20</f>
        <v/>
      </c>
      <c r="J3" s="231" t="n"/>
    </row>
    <row r="4" ht="19.5" customHeight="1" s="225">
      <c r="B4" s="333" t="inlineStr">
        <is>
          <t>Version</t>
        </is>
      </c>
      <c r="C4" s="264">
        <f>Summary!$C$8</f>
        <v/>
      </c>
      <c r="D4" s="231" t="n"/>
      <c r="F4" s="336" t="inlineStr">
        <is>
          <t>Critical + Major</t>
        </is>
      </c>
      <c r="G4" s="233" t="n"/>
      <c r="H4" s="231" t="n"/>
      <c r="I4" s="335">
        <f>C101+C102</f>
        <v/>
      </c>
      <c r="J4" s="231" t="n"/>
    </row>
    <row r="5" ht="19.5" customHeight="1" s="225">
      <c r="B5" s="333" t="inlineStr">
        <is>
          <t>Sprint</t>
        </is>
      </c>
      <c r="C5" s="264">
        <f>Summary!$C$9</f>
        <v/>
      </c>
      <c r="D5" s="231" t="n"/>
      <c r="F5" s="337" t="inlineStr">
        <is>
          <t>% Bug đã Fixed</t>
        </is>
      </c>
      <c r="G5" s="233" t="n"/>
      <c r="H5" s="231" t="n"/>
      <c r="I5" s="338">
        <f>IFERROR(C119/C121,0)</f>
        <v/>
      </c>
      <c r="J5" s="231" t="n"/>
    </row>
    <row r="6" ht="19.5" customHeight="1" s="225">
      <c r="B6" s="333" t="inlineStr">
        <is>
          <t>Test Period</t>
        </is>
      </c>
      <c r="C6" s="264">
        <f>TEXT(Summary!$C$10,"DD/MM/YYYY")&amp;"  →  "&amp;TEXT(Summary!$C$11,"DD/MM/YYYY")</f>
        <v/>
      </c>
      <c r="D6" s="231" t="n"/>
      <c r="F6" s="339" t="inlineStr">
        <is>
          <t>% Coverage (thực thi)</t>
        </is>
      </c>
      <c r="G6" s="233" t="n"/>
      <c r="H6" s="231" t="n"/>
      <c r="I6" s="338">
        <f>F62</f>
        <v/>
      </c>
      <c r="J6" s="231" t="n"/>
    </row>
    <row r="7" ht="19.5" customHeight="1" s="225">
      <c r="B7" s="340" t="inlineStr">
        <is>
          <t>Thông tin dự án load tự động từ sheet Summary (PROJECT SETUP). Môi trường · thiết bị · tài khoản · phạm vi test: xem mục 'MÔI TRƯỜNG &amp; PHẠM VI TEST' trong Summary.</t>
        </is>
      </c>
      <c r="C7" s="290" t="n"/>
      <c r="D7" s="291" t="n"/>
      <c r="F7" s="341" t="inlineStr">
        <is>
          <t>% Automation</t>
        </is>
      </c>
      <c r="G7" s="233" t="n"/>
      <c r="H7" s="231" t="n"/>
      <c r="I7" s="338">
        <f>D202</f>
        <v/>
      </c>
      <c r="J7" s="231" t="n"/>
    </row>
    <row r="8" ht="19.5" customHeight="1" s="225">
      <c r="B8" s="342" t="n"/>
      <c r="D8" s="343" t="n"/>
      <c r="F8" s="344" t="inlineStr">
        <is>
          <t>% Bug do AI phát hiện</t>
        </is>
      </c>
      <c r="G8" s="233" t="n"/>
      <c r="H8" s="231" t="n"/>
      <c r="I8" s="338">
        <f>D206</f>
        <v/>
      </c>
      <c r="J8" s="231" t="n"/>
    </row>
    <row r="9" ht="19.5" customHeight="1" s="225">
      <c r="B9" s="292" t="n"/>
      <c r="C9" s="293" t="n"/>
      <c r="D9" s="294" t="n"/>
      <c r="F9" s="345" t="inlineStr">
        <is>
          <t>% TC Pass</t>
        </is>
      </c>
      <c r="G9" s="233" t="n"/>
      <c r="H9" s="231" t="n"/>
      <c r="I9" s="338">
        <f>IFERROR(C84/C89,0)</f>
        <v/>
      </c>
      <c r="J9" s="231" t="n"/>
    </row>
    <row r="10" ht="19.5" customHeight="1" s="225">
      <c r="F10" s="336" t="inlineStr">
        <is>
          <t>Critical/Major còn Open</t>
        </is>
      </c>
      <c r="G10" s="233" t="n"/>
      <c r="H10" s="231" t="n"/>
      <c r="I10" s="335">
        <f>COUNTIFS('Bug Data'!$L:$L,20,'Bug Data'!$O:$O,"Open")+COUNTIFS('Bug Data'!$L:$L,10,'Bug Data'!$O:$O,"Open")</f>
        <v/>
      </c>
      <c r="J10" s="231" t="n"/>
    </row>
    <row r="11" ht="18.75" customHeight="1" s="225">
      <c r="B11" s="331" t="inlineStr">
        <is>
          <t>II. REPORT TEST</t>
        </is>
      </c>
      <c r="F11" s="346" t="inlineStr">
        <is>
          <t>KPI = chỉ số chính (Key Performance Indicator). Ô có màu = nhập ở khối III / Data; số tự cập nhật.</t>
        </is>
      </c>
    </row>
    <row r="13" ht="17.25" customHeight="1" s="225">
      <c r="B13" s="347" t="inlineStr">
        <is>
          <t>PHẦN A — TỔNG QUAN</t>
        </is>
      </c>
      <c r="C13" s="233" t="n"/>
      <c r="D13" s="233" t="n"/>
      <c r="E13" s="233" t="n"/>
      <c r="F13" s="233" t="n"/>
      <c r="G13" s="233" t="n"/>
      <c r="H13" s="233" t="n"/>
      <c r="I13" s="231" t="n"/>
    </row>
    <row r="15" ht="15.75" customHeight="1" s="225">
      <c r="B15" s="348" t="inlineStr">
        <is>
          <t>1. Total Test</t>
        </is>
      </c>
    </row>
    <row r="16" ht="15" customHeight="1" s="225">
      <c r="B16" s="349" t="inlineStr">
        <is>
          <t>1a. Bug Status theo nền tảng (Platform)</t>
        </is>
      </c>
      <c r="C16" s="233" t="n"/>
      <c r="D16" s="233" t="n"/>
      <c r="E16" s="233" t="n"/>
      <c r="F16" s="233" t="n"/>
      <c r="G16" s="231" t="n"/>
    </row>
    <row r="17" ht="15" customHeight="1" s="225">
      <c r="B17" s="350" t="inlineStr">
        <is>
          <t>Nền tảng</t>
        </is>
      </c>
      <c r="C17" s="350" t="inlineStr">
        <is>
          <t>Open</t>
        </is>
      </c>
      <c r="D17" s="350" t="inlineStr">
        <is>
          <t>Cancel</t>
        </is>
      </c>
      <c r="E17" s="350" t="inlineStr">
        <is>
          <t>Pending</t>
        </is>
      </c>
      <c r="F17" s="350" t="inlineStr">
        <is>
          <t>Done</t>
        </is>
      </c>
      <c r="G17" s="350" t="inlineStr">
        <is>
          <t>Total</t>
        </is>
      </c>
    </row>
    <row r="18" ht="15" customHeight="1" s="225">
      <c r="B18" s="333" t="inlineStr">
        <is>
          <t>Web</t>
        </is>
      </c>
      <c r="C18" s="351">
        <f>COUNTIFS('Bug Data'!$O:$O,"Open",'Bug Data'!$N:$N,$B18)</f>
        <v/>
      </c>
      <c r="D18" s="351">
        <f>COUNTIFS('Bug Data'!$O:$O,"Cancel",'Bug Data'!$N:$N,$B18)</f>
        <v/>
      </c>
      <c r="E18" s="351">
        <f>COUNTIFS('Bug Data'!$O:$O,"Pending",'Bug Data'!$N:$N,$B18)</f>
        <v/>
      </c>
      <c r="F18" s="351">
        <f>COUNTIFS('Bug Data'!$O:$O,"Done",'Bug Data'!$N:$N,$B18)</f>
        <v/>
      </c>
      <c r="G18" s="352">
        <f>SUM(C18:F18)</f>
        <v/>
      </c>
    </row>
    <row r="19" ht="15" customHeight="1" s="225">
      <c r="B19" s="333" t="inlineStr">
        <is>
          <t>Mobile</t>
        </is>
      </c>
      <c r="C19" s="351">
        <f>COUNTIFS('Bug Data'!$O:$O,"Open",'Bug Data'!$N:$N,$B19)</f>
        <v/>
      </c>
      <c r="D19" s="351">
        <f>COUNTIFS('Bug Data'!$O:$O,"Cancel",'Bug Data'!$N:$N,$B19)</f>
        <v/>
      </c>
      <c r="E19" s="351">
        <f>COUNTIFS('Bug Data'!$O:$O,"Pending",'Bug Data'!$N:$N,$B19)</f>
        <v/>
      </c>
      <c r="F19" s="351">
        <f>COUNTIFS('Bug Data'!$O:$O,"Done",'Bug Data'!$N:$N,$B19)</f>
        <v/>
      </c>
      <c r="G19" s="352">
        <f>SUM(C19:F19)</f>
        <v/>
      </c>
    </row>
    <row r="20" ht="15.75" customHeight="1" s="225">
      <c r="B20" s="262" t="inlineStr">
        <is>
          <t>Total</t>
        </is>
      </c>
      <c r="C20" s="353">
        <f>SUM(C18:C19)</f>
        <v/>
      </c>
      <c r="D20" s="353">
        <f>SUM(D18:D19)</f>
        <v/>
      </c>
      <c r="E20" s="353">
        <f>SUM(E18:E19)</f>
        <v/>
      </c>
      <c r="F20" s="353">
        <f>SUM(F18:F19)</f>
        <v/>
      </c>
      <c r="G20" s="353">
        <f>SUM(G18:G19)</f>
        <v/>
      </c>
    </row>
    <row r="21" ht="15.75" customHeight="1" s="225">
      <c r="B21" s="260" t="inlineStr">
        <is>
          <t>Open = bug trên Jira ở trạng thái: Todo, In Progress, In Review.</t>
        </is>
      </c>
    </row>
    <row r="22" ht="15.75" customHeight="1" s="225"/>
    <row r="23" ht="15.75" customHeight="1" s="225"/>
    <row r="24" ht="15.75" customHeight="1" s="225"/>
    <row r="25" ht="15.75" customHeight="1" s="225"/>
    <row r="26" ht="15.75" customHeight="1" s="225"/>
    <row r="27" ht="15.75" customHeight="1" s="225"/>
    <row r="28" ht="15.75" customHeight="1" s="225"/>
    <row r="29" ht="15.75" customHeight="1" s="225"/>
    <row r="30" ht="15.75" customHeight="1" s="225"/>
    <row r="31" ht="15.75" customHeight="1" s="225"/>
    <row r="32" ht="15.75" customHeight="1" s="225"/>
    <row r="33" ht="15.75" customHeight="1" s="225"/>
    <row r="34" ht="15.75" customHeight="1" s="225"/>
    <row r="35" ht="15.75" customHeight="1" s="225"/>
    <row r="36" ht="15.75" customHeight="1" s="225"/>
    <row r="37" ht="15.75" customHeight="1" s="225"/>
    <row r="38" ht="15.75" customHeight="1" s="225"/>
    <row r="39" ht="15.75" customHeight="1" s="225">
      <c r="B39" s="348" t="inlineStr">
        <is>
          <t>1b. Tỷ lệ Bug theo chức năng (Function)</t>
        </is>
      </c>
    </row>
    <row r="40" ht="15.75" customHeight="1" s="225">
      <c r="B40" s="349" t="inlineStr">
        <is>
          <t>Bug theo chức năng</t>
        </is>
      </c>
      <c r="C40" s="233" t="n"/>
      <c r="D40" s="233" t="n"/>
      <c r="E40" s="233" t="n"/>
      <c r="F40" s="233" t="n"/>
      <c r="G40" s="233" t="n"/>
      <c r="H40" s="233" t="n"/>
      <c r="I40" s="231" t="n"/>
    </row>
    <row r="41" ht="15.75" customHeight="1" s="225">
      <c r="B41" s="350" t="inlineStr">
        <is>
          <t>ID</t>
        </is>
      </c>
      <c r="C41" s="350" t="inlineStr">
        <is>
          <t>Chức năng</t>
        </is>
      </c>
      <c r="D41" s="350" t="inlineStr">
        <is>
          <t>Open</t>
        </is>
      </c>
      <c r="E41" s="350" t="inlineStr">
        <is>
          <t>Cancel</t>
        </is>
      </c>
      <c r="F41" s="350" t="inlineStr">
        <is>
          <t>Pending</t>
        </is>
      </c>
      <c r="G41" s="350" t="inlineStr">
        <is>
          <t>Done</t>
        </is>
      </c>
      <c r="H41" s="350" t="inlineStr">
        <is>
          <t>Total</t>
        </is>
      </c>
      <c r="I41" s="350" t="inlineStr">
        <is>
          <t>Tỷ lệ</t>
        </is>
      </c>
    </row>
    <row r="42" ht="15.75" customHeight="1" s="225">
      <c r="B42" s="354" t="inlineStr">
        <is>
          <t>F01</t>
        </is>
      </c>
      <c r="C42" s="278" t="inlineStr">
        <is>
          <t>Function A</t>
        </is>
      </c>
      <c r="D42" s="276">
        <f>COUNTIFS('Bug Data'!$O:$O,"Open",'Bug Data'!$M:$M,$C42)</f>
        <v/>
      </c>
      <c r="E42" s="276">
        <f>COUNTIFS('Bug Data'!$O:$O,"Cancel",'Bug Data'!$M:$M,$C42)</f>
        <v/>
      </c>
      <c r="F42" s="276">
        <f>COUNTIFS('Bug Data'!$O:$O,"Pending",'Bug Data'!$M:$M,$C42)</f>
        <v/>
      </c>
      <c r="G42" s="276">
        <f>COUNTIFS('Bug Data'!$O:$O,"Done",'Bug Data'!$M:$M,$C42)</f>
        <v/>
      </c>
      <c r="H42" s="355">
        <f>SUM(D42:G42)</f>
        <v/>
      </c>
      <c r="I42" s="277">
        <f>IFERROR(H42/$H$52,0)</f>
        <v/>
      </c>
    </row>
    <row r="43" ht="15.75" customHeight="1" s="225">
      <c r="B43" s="354" t="inlineStr">
        <is>
          <t>F02</t>
        </is>
      </c>
      <c r="C43" s="278" t="inlineStr">
        <is>
          <t>Function B</t>
        </is>
      </c>
      <c r="D43" s="276">
        <f>COUNTIFS('Bug Data'!$O:$O,"Open",'Bug Data'!$M:$M,$C43)</f>
        <v/>
      </c>
      <c r="E43" s="276">
        <f>COUNTIFS('Bug Data'!$O:$O,"Cancel",'Bug Data'!$M:$M,$C43)</f>
        <v/>
      </c>
      <c r="F43" s="276">
        <f>COUNTIFS('Bug Data'!$O:$O,"Pending",'Bug Data'!$M:$M,$C43)</f>
        <v/>
      </c>
      <c r="G43" s="276">
        <f>COUNTIFS('Bug Data'!$O:$O,"Done",'Bug Data'!$M:$M,$C43)</f>
        <v/>
      </c>
      <c r="H43" s="355">
        <f>SUM(D43:G43)</f>
        <v/>
      </c>
      <c r="I43" s="277">
        <f>IFERROR(H43/$H$52,0)</f>
        <v/>
      </c>
    </row>
    <row r="44" ht="15.75" customHeight="1" s="225">
      <c r="B44" s="354" t="inlineStr">
        <is>
          <t>F03</t>
        </is>
      </c>
      <c r="C44" s="278" t="inlineStr">
        <is>
          <t>Function C</t>
        </is>
      </c>
      <c r="D44" s="276">
        <f>COUNTIFS('Bug Data'!$O:$O,"Open",'Bug Data'!$M:$M,$C44)</f>
        <v/>
      </c>
      <c r="E44" s="276">
        <f>COUNTIFS('Bug Data'!$O:$O,"Cancel",'Bug Data'!$M:$M,$C44)</f>
        <v/>
      </c>
      <c r="F44" s="276">
        <f>COUNTIFS('Bug Data'!$O:$O,"Pending",'Bug Data'!$M:$M,$C44)</f>
        <v/>
      </c>
      <c r="G44" s="276">
        <f>COUNTIFS('Bug Data'!$O:$O,"Done",'Bug Data'!$M:$M,$C44)</f>
        <v/>
      </c>
      <c r="H44" s="355">
        <f>SUM(D44:G44)</f>
        <v/>
      </c>
      <c r="I44" s="277">
        <f>IFERROR(H44/$H$52,0)</f>
        <v/>
      </c>
    </row>
    <row r="45" ht="15.75" customHeight="1" s="225">
      <c r="B45" s="354" t="inlineStr">
        <is>
          <t>F04</t>
        </is>
      </c>
      <c r="C45" s="278" t="n"/>
      <c r="D45" s="276">
        <f>COUNTIFS('Bug Data'!$O:$O,"Open",'Bug Data'!$M:$M,$C45)</f>
        <v/>
      </c>
      <c r="E45" s="276">
        <f>COUNTIFS('Bug Data'!$O:$O,"Cancel",'Bug Data'!$M:$M,$C45)</f>
        <v/>
      </c>
      <c r="F45" s="276">
        <f>COUNTIFS('Bug Data'!$O:$O,"Pending",'Bug Data'!$M:$M,$C45)</f>
        <v/>
      </c>
      <c r="G45" s="276">
        <f>COUNTIFS('Bug Data'!$O:$O,"Done",'Bug Data'!$M:$M,$C45)</f>
        <v/>
      </c>
      <c r="H45" s="355">
        <f>SUM(D45:G45)</f>
        <v/>
      </c>
      <c r="I45" s="277">
        <f>IFERROR(H45/$H$52,0)</f>
        <v/>
      </c>
    </row>
    <row r="46" ht="15.75" customHeight="1" s="225">
      <c r="B46" s="354" t="inlineStr">
        <is>
          <t>F05</t>
        </is>
      </c>
      <c r="C46" s="278" t="n"/>
      <c r="D46" s="276">
        <f>COUNTIFS('Bug Data'!$O:$O,"Open",'Bug Data'!$M:$M,$C46)</f>
        <v/>
      </c>
      <c r="E46" s="276">
        <f>COUNTIFS('Bug Data'!$O:$O,"Cancel",'Bug Data'!$M:$M,$C46)</f>
        <v/>
      </c>
      <c r="F46" s="276">
        <f>COUNTIFS('Bug Data'!$O:$O,"Pending",'Bug Data'!$M:$M,$C46)</f>
        <v/>
      </c>
      <c r="G46" s="276">
        <f>COUNTIFS('Bug Data'!$O:$O,"Done",'Bug Data'!$M:$M,$C46)</f>
        <v/>
      </c>
      <c r="H46" s="355">
        <f>SUM(D46:G46)</f>
        <v/>
      </c>
      <c r="I46" s="277">
        <f>IFERROR(H46/$H$52,0)</f>
        <v/>
      </c>
    </row>
    <row r="47" ht="15.75" customHeight="1" s="225">
      <c r="B47" s="354" t="inlineStr">
        <is>
          <t>F06</t>
        </is>
      </c>
      <c r="C47" s="278" t="n"/>
      <c r="D47" s="276">
        <f>COUNTIFS('Bug Data'!$O:$O,"Open",'Bug Data'!$M:$M,$C47)</f>
        <v/>
      </c>
      <c r="E47" s="276">
        <f>COUNTIFS('Bug Data'!$O:$O,"Cancel",'Bug Data'!$M:$M,$C47)</f>
        <v/>
      </c>
      <c r="F47" s="276">
        <f>COUNTIFS('Bug Data'!$O:$O,"Pending",'Bug Data'!$M:$M,$C47)</f>
        <v/>
      </c>
      <c r="G47" s="276">
        <f>COUNTIFS('Bug Data'!$O:$O,"Done",'Bug Data'!$M:$M,$C47)</f>
        <v/>
      </c>
      <c r="H47" s="355">
        <f>SUM(D47:G47)</f>
        <v/>
      </c>
      <c r="I47" s="277">
        <f>IFERROR(H47/$H$52,0)</f>
        <v/>
      </c>
    </row>
    <row r="48" ht="15.75" customHeight="1" s="225">
      <c r="B48" s="354" t="inlineStr">
        <is>
          <t>F07</t>
        </is>
      </c>
      <c r="C48" s="278" t="n"/>
      <c r="D48" s="276">
        <f>COUNTIFS('Bug Data'!$O:$O,"Open",'Bug Data'!$M:$M,$C48)</f>
        <v/>
      </c>
      <c r="E48" s="276">
        <f>COUNTIFS('Bug Data'!$O:$O,"Cancel",'Bug Data'!$M:$M,$C48)</f>
        <v/>
      </c>
      <c r="F48" s="276">
        <f>COUNTIFS('Bug Data'!$O:$O,"Pending",'Bug Data'!$M:$M,$C48)</f>
        <v/>
      </c>
      <c r="G48" s="276">
        <f>COUNTIFS('Bug Data'!$O:$O,"Done",'Bug Data'!$M:$M,$C48)</f>
        <v/>
      </c>
      <c r="H48" s="355">
        <f>SUM(D48:G48)</f>
        <v/>
      </c>
      <c r="I48" s="277">
        <f>IFERROR(H48/$H$52,0)</f>
        <v/>
      </c>
    </row>
    <row r="49" ht="15.75" customHeight="1" s="225">
      <c r="B49" s="354" t="inlineStr">
        <is>
          <t>F08</t>
        </is>
      </c>
      <c r="C49" s="278" t="n"/>
      <c r="D49" s="276">
        <f>COUNTIFS('Bug Data'!$O:$O,"Open",'Bug Data'!$M:$M,$C49)</f>
        <v/>
      </c>
      <c r="E49" s="276">
        <f>COUNTIFS('Bug Data'!$O:$O,"Cancel",'Bug Data'!$M:$M,$C49)</f>
        <v/>
      </c>
      <c r="F49" s="276">
        <f>COUNTIFS('Bug Data'!$O:$O,"Pending",'Bug Data'!$M:$M,$C49)</f>
        <v/>
      </c>
      <c r="G49" s="276">
        <f>COUNTIFS('Bug Data'!$O:$O,"Done",'Bug Data'!$M:$M,$C49)</f>
        <v/>
      </c>
      <c r="H49" s="355">
        <f>SUM(D49:G49)</f>
        <v/>
      </c>
      <c r="I49" s="277">
        <f>IFERROR(H49/$H$52,0)</f>
        <v/>
      </c>
    </row>
    <row r="50" ht="15.75" customHeight="1" s="225">
      <c r="B50" s="354" t="inlineStr">
        <is>
          <t>F09</t>
        </is>
      </c>
      <c r="C50" s="278" t="n"/>
      <c r="D50" s="276">
        <f>COUNTIFS('Bug Data'!$O:$O,"Open",'Bug Data'!$M:$M,$C50)</f>
        <v/>
      </c>
      <c r="E50" s="276">
        <f>COUNTIFS('Bug Data'!$O:$O,"Cancel",'Bug Data'!$M:$M,$C50)</f>
        <v/>
      </c>
      <c r="F50" s="276">
        <f>COUNTIFS('Bug Data'!$O:$O,"Pending",'Bug Data'!$M:$M,$C50)</f>
        <v/>
      </c>
      <c r="G50" s="276">
        <f>COUNTIFS('Bug Data'!$O:$O,"Done",'Bug Data'!$M:$M,$C50)</f>
        <v/>
      </c>
      <c r="H50" s="355">
        <f>SUM(D50:G50)</f>
        <v/>
      </c>
      <c r="I50" s="277">
        <f>IFERROR(H50/$H$52,0)</f>
        <v/>
      </c>
    </row>
    <row r="51" ht="15.75" customHeight="1" s="225">
      <c r="B51" s="354" t="inlineStr">
        <is>
          <t>F10</t>
        </is>
      </c>
      <c r="C51" s="278" t="n"/>
      <c r="D51" s="276">
        <f>COUNTIFS('Bug Data'!$O:$O,"Open",'Bug Data'!$M:$M,$C51)</f>
        <v/>
      </c>
      <c r="E51" s="276">
        <f>COUNTIFS('Bug Data'!$O:$O,"Cancel",'Bug Data'!$M:$M,$C51)</f>
        <v/>
      </c>
      <c r="F51" s="276">
        <f>COUNTIFS('Bug Data'!$O:$O,"Pending",'Bug Data'!$M:$M,$C51)</f>
        <v/>
      </c>
      <c r="G51" s="276">
        <f>COUNTIFS('Bug Data'!$O:$O,"Done",'Bug Data'!$M:$M,$C51)</f>
        <v/>
      </c>
      <c r="H51" s="355">
        <f>SUM(D51:G51)</f>
        <v/>
      </c>
      <c r="I51" s="277">
        <f>IFERROR(H51/$H$52,0)</f>
        <v/>
      </c>
    </row>
    <row r="52" ht="15.75" customHeight="1" s="225">
      <c r="B52" s="356" t="inlineStr">
        <is>
          <t>Total</t>
        </is>
      </c>
      <c r="C52" s="357" t="n"/>
      <c r="D52" s="267">
        <f>SUM(D42:D51)</f>
        <v/>
      </c>
      <c r="E52" s="267">
        <f>SUM(E42:E51)</f>
        <v/>
      </c>
      <c r="F52" s="267">
        <f>SUM(F42:F51)</f>
        <v/>
      </c>
      <c r="G52" s="267">
        <f>SUM(G42:G51)</f>
        <v/>
      </c>
      <c r="H52" s="267">
        <f>SUM(H42:H51)</f>
        <v/>
      </c>
      <c r="I52" s="280">
        <f>IFERROR(SUM(I42:I51),0)</f>
        <v/>
      </c>
    </row>
    <row r="53" ht="15.75" customHeight="1" s="225"/>
    <row r="54" ht="15.75" customHeight="1" s="225">
      <c r="B54" s="358" t="inlineStr">
        <is>
          <t>Thêm chức năng mới: chỉ cần gõ tên Func (đúng như ở sheet Bug Data) vào cột "Chức năng" ở dòng F0x còn trống — số liệu &amp; biểu đồ tự cập nhật, không phải sửa công thức.</t>
        </is>
      </c>
      <c r="C54" s="359" t="n"/>
      <c r="D54" s="359" t="n"/>
      <c r="E54" s="359" t="n"/>
      <c r="F54" s="359" t="n"/>
      <c r="G54" s="359" t="n"/>
      <c r="H54" s="359" t="n"/>
      <c r="I54" s="360" t="n"/>
    </row>
    <row r="55" ht="15.75" customHeight="1" s="225"/>
    <row r="56" ht="15.75" customHeight="1" s="225">
      <c r="B56" s="348" t="inlineStr">
        <is>
          <t>2. Coverage (Độ phủ Test Case)</t>
        </is>
      </c>
    </row>
    <row r="57" ht="15.75" customHeight="1" s="225">
      <c r="B57" s="349" t="inlineStr">
        <is>
          <t>Coverage theo chức năng</t>
        </is>
      </c>
      <c r="C57" s="233" t="n"/>
      <c r="D57" s="233" t="n"/>
      <c r="E57" s="233" t="n"/>
      <c r="F57" s="233" t="n"/>
      <c r="G57" s="231" t="n"/>
    </row>
    <row r="58" ht="15.75" customHeight="1" s="225">
      <c r="B58" s="350" t="inlineStr">
        <is>
          <t>ID</t>
        </is>
      </c>
      <c r="C58" s="350" t="inlineStr">
        <is>
          <t>Chức năng</t>
        </is>
      </c>
      <c r="D58" s="350" t="inlineStr">
        <is>
          <t>Total TC</t>
        </is>
      </c>
      <c r="E58" s="350" t="inlineStr">
        <is>
          <t>Executed TC</t>
        </is>
      </c>
      <c r="F58" s="350" t="inlineStr">
        <is>
          <t>Coverage</t>
        </is>
      </c>
      <c r="G58" s="350" t="inlineStr">
        <is>
          <t>Note</t>
        </is>
      </c>
    </row>
    <row r="59" ht="15.75" customHeight="1" s="225">
      <c r="B59" s="361" t="inlineStr">
        <is>
          <t>F01</t>
        </is>
      </c>
      <c r="C59" s="264">
        <f>IF(Dashboard!$D4="","",Dashboard!$E4)</f>
        <v/>
      </c>
      <c r="D59" s="351">
        <f>IF(Dashboard!$D4="","",Dashboard!$F4)</f>
        <v/>
      </c>
      <c r="E59" s="351">
        <f>IF(Dashboard!$D4="","",Dashboard!$L4)</f>
        <v/>
      </c>
      <c r="F59" s="362">
        <f>IFERROR(E59/D59,0)</f>
        <v/>
      </c>
      <c r="G59" s="264" t="n"/>
    </row>
    <row r="60" ht="15.75" customHeight="1" s="225">
      <c r="B60" s="361" t="inlineStr">
        <is>
          <t>F02</t>
        </is>
      </c>
      <c r="C60" s="264">
        <f>IF(Dashboard!$D5="","",Dashboard!$E5)</f>
        <v/>
      </c>
      <c r="D60" s="351">
        <f>IF(Dashboard!$D5="","",Dashboard!$F5)</f>
        <v/>
      </c>
      <c r="E60" s="351">
        <f>IF(Dashboard!$D5="","",Dashboard!$L5)</f>
        <v/>
      </c>
      <c r="F60" s="362">
        <f>IFERROR(E60/D60,0)</f>
        <v/>
      </c>
      <c r="G60" s="264" t="n"/>
    </row>
    <row r="61" ht="15.75" customHeight="1" s="225">
      <c r="B61" s="361" t="inlineStr">
        <is>
          <t>F03</t>
        </is>
      </c>
      <c r="C61" s="264">
        <f>IF(Dashboard!$D6="","",Dashboard!$E6)</f>
        <v/>
      </c>
      <c r="D61" s="351">
        <f>IF(Dashboard!$D6="","",Dashboard!$F6)</f>
        <v/>
      </c>
      <c r="E61" s="351">
        <f>IF(Dashboard!$D6="","",Dashboard!$L6)</f>
        <v/>
      </c>
      <c r="F61" s="362">
        <f>IFERROR(E61/D61,0)</f>
        <v/>
      </c>
      <c r="G61" s="264" t="n"/>
    </row>
    <row r="62" ht="15.75" customHeight="1" s="225">
      <c r="B62" s="350" t="inlineStr">
        <is>
          <t>Total</t>
        </is>
      </c>
      <c r="C62" s="363" t="n"/>
      <c r="D62" s="353">
        <f>Dashboard!$F$34</f>
        <v/>
      </c>
      <c r="E62" s="353">
        <f>Dashboard!$L$34</f>
        <v/>
      </c>
      <c r="F62" s="364">
        <f>IFERROR(E62/D62,0)</f>
        <v/>
      </c>
      <c r="G62" s="363" t="n"/>
    </row>
    <row r="63" ht="15.75" customHeight="1" s="225">
      <c r="B63" s="365" t="inlineStr">
        <is>
          <t>Tổng (dòng Total) = gộp TẤT CẢ sheet Test Case. 3 dòng chi tiết ở trên minh hoạ 3 function đầu — danh sách đầy đủ theo từng sheet xem ở "Dashboard".</t>
        </is>
      </c>
    </row>
    <row r="64" ht="15.75" customHeight="1" s="225">
      <c r="H64" s="365" t="n"/>
      <c r="I64" s="365" t="n"/>
    </row>
    <row r="65" ht="15.75" customHeight="1" s="225"/>
    <row r="66" ht="15.75" customHeight="1" s="225"/>
    <row r="67" ht="15.75" customHeight="1" s="225"/>
    <row r="68" ht="15.75" customHeight="1" s="225"/>
    <row r="69" ht="15.75" customHeight="1" s="225"/>
    <row r="70" ht="15.75" customHeight="1" s="225"/>
    <row r="71" ht="15.75" customHeight="1" s="225"/>
    <row r="72" ht="15.75" customHeight="1" s="225"/>
    <row r="73" ht="15.75" customHeight="1" s="225"/>
    <row r="74" ht="15.75" customHeight="1" s="225"/>
    <row r="75" ht="15.75" customHeight="1" s="225"/>
    <row r="76" ht="15.75" customHeight="1" s="225"/>
    <row r="77" ht="15.75" customHeight="1" s="225"/>
    <row r="78" ht="15.75" customHeight="1" s="225"/>
    <row r="79" ht="15.75" customHeight="1" s="225"/>
    <row r="80" ht="15.75" customHeight="1" s="225"/>
    <row r="81" ht="15.75" customHeight="1" s="225">
      <c r="B81" s="348" t="inlineStr">
        <is>
          <t>2b. Kết quả thực thi Test Case</t>
        </is>
      </c>
    </row>
    <row r="82" ht="15.75" customHeight="1" s="225">
      <c r="B82" s="349" t="inlineStr">
        <is>
          <t>Kết quả TC theo Status (từ sheet Test Cases)</t>
        </is>
      </c>
      <c r="C82" s="233" t="n"/>
      <c r="D82" s="231" t="n"/>
    </row>
    <row r="83" ht="15.75" customHeight="1" s="225">
      <c r="B83" s="350" t="inlineStr">
        <is>
          <t>Trạng thái</t>
        </is>
      </c>
      <c r="C83" s="350" t="inlineStr">
        <is>
          <t>Số lượng</t>
        </is>
      </c>
      <c r="D83" s="350" t="inlineStr">
        <is>
          <t>Tỷ lệ</t>
        </is>
      </c>
    </row>
    <row r="84" ht="15.75" customHeight="1" s="225">
      <c r="B84" s="333" t="inlineStr">
        <is>
          <t>Pass</t>
        </is>
      </c>
      <c r="C84" s="351">
        <f>Dashboard!$G$34</f>
        <v/>
      </c>
      <c r="D84" s="362">
        <f>IFERROR(C84/$C$89,0)</f>
        <v/>
      </c>
    </row>
    <row r="85" ht="15.75" customHeight="1" s="225">
      <c r="B85" s="333" t="inlineStr">
        <is>
          <t>Fail</t>
        </is>
      </c>
      <c r="C85" s="351">
        <f>Dashboard!$H$34</f>
        <v/>
      </c>
      <c r="D85" s="362">
        <f>IFERROR(C85/$C$89,0)</f>
        <v/>
      </c>
    </row>
    <row r="86" ht="15.75" customHeight="1" s="225">
      <c r="B86" s="333" t="inlineStr">
        <is>
          <t>Block</t>
        </is>
      </c>
      <c r="C86" s="351">
        <f>Dashboard!$I$34</f>
        <v/>
      </c>
      <c r="D86" s="362">
        <f>IFERROR(C86/$C$89,0)</f>
        <v/>
      </c>
    </row>
    <row r="87" ht="15.75" customHeight="1" s="225">
      <c r="B87" s="333" t="inlineStr">
        <is>
          <t>N/A</t>
        </is>
      </c>
      <c r="C87" s="351">
        <f>Dashboard!$J$34</f>
        <v/>
      </c>
      <c r="D87" s="362">
        <f>IFERROR(C87/$C$89,0)</f>
        <v/>
      </c>
    </row>
    <row r="88" ht="15.75" customHeight="1" s="225">
      <c r="B88" s="333" t="inlineStr">
        <is>
          <t>Chưa thực hiện</t>
        </is>
      </c>
      <c r="C88" s="351">
        <f>Dashboard!$K$34</f>
        <v/>
      </c>
      <c r="D88" s="362">
        <f>IFERROR(C88/$C$89,0)</f>
        <v/>
      </c>
    </row>
    <row r="89" ht="15.75" customHeight="1" s="225">
      <c r="B89" s="262" t="inlineStr">
        <is>
          <t>Total</t>
        </is>
      </c>
      <c r="C89" s="353">
        <f>SUM(C84:C88)</f>
        <v/>
      </c>
      <c r="D89" s="364">
        <f>IFERROR(SUM(D84:D88),0)</f>
        <v/>
      </c>
    </row>
    <row r="90" ht="15.75" customHeight="1" s="225"/>
    <row r="91" ht="15.75" customHeight="1" s="225"/>
    <row r="92" ht="15.75" customHeight="1" s="225"/>
    <row r="93" ht="15.75" customHeight="1" s="225"/>
    <row r="94" ht="15.75" customHeight="1" s="225"/>
    <row r="95" ht="15.75" customHeight="1" s="225"/>
    <row r="96" ht="15.75" customHeight="1" s="225"/>
    <row r="97" ht="15.75" customHeight="1" s="225">
      <c r="A97" s="366" t="n"/>
      <c r="B97" s="366" t="n"/>
      <c r="C97" s="366" t="n"/>
      <c r="D97" s="366" t="n"/>
      <c r="E97" s="366" t="n"/>
      <c r="F97" s="366" t="n"/>
      <c r="G97" s="366" t="n"/>
      <c r="H97" s="366" t="n"/>
      <c r="I97" s="366" t="n"/>
      <c r="J97" s="366" t="n"/>
      <c r="K97" s="366" t="n"/>
      <c r="L97" s="366" t="n"/>
      <c r="M97" s="366" t="n"/>
      <c r="N97" s="366" t="n"/>
      <c r="O97" s="366" t="n"/>
      <c r="P97" s="366" t="n"/>
      <c r="Q97" s="366" t="n"/>
      <c r="R97" s="366" t="n"/>
      <c r="S97" s="366" t="n"/>
      <c r="T97" s="366" t="n"/>
      <c r="U97" s="366" t="n"/>
      <c r="V97" s="366" t="n"/>
      <c r="W97" s="366" t="n"/>
      <c r="X97" s="366" t="n"/>
      <c r="Y97" s="366" t="n"/>
      <c r="Z97" s="366" t="n"/>
    </row>
    <row r="98" ht="15.75" customHeight="1" s="225">
      <c r="B98" s="348" t="inlineStr">
        <is>
          <t>3. Bug Severity</t>
        </is>
      </c>
    </row>
    <row r="99" ht="15.75" customHeight="1" s="225">
      <c r="B99" s="349" t="inlineStr">
        <is>
          <t>Bug Severity</t>
        </is>
      </c>
      <c r="C99" s="233" t="n"/>
      <c r="D99" s="233" t="n"/>
      <c r="E99" s="231" t="n"/>
    </row>
    <row r="100" ht="15.75" customHeight="1" s="225">
      <c r="B100" s="350" t="inlineStr">
        <is>
          <t>Mức độ</t>
        </is>
      </c>
      <c r="C100" s="350" t="inlineStr">
        <is>
          <t>Số lượng</t>
        </is>
      </c>
      <c r="D100" s="350" t="inlineStr">
        <is>
          <t>Thang điểm</t>
        </is>
      </c>
      <c r="E100" s="350" t="inlineStr">
        <is>
          <t>Tỷ lệ</t>
        </is>
      </c>
    </row>
    <row r="101" ht="15.75" customHeight="1" s="225">
      <c r="B101" s="333" t="inlineStr">
        <is>
          <t>Critical Bug</t>
        </is>
      </c>
      <c r="C101" s="351">
        <f>COUNTIF('Bug Data'!$L:$L,20)</f>
        <v/>
      </c>
      <c r="D101" s="361" t="n">
        <v>20</v>
      </c>
      <c r="E101" s="362">
        <f>IFERROR(C101/$C$105,0)</f>
        <v/>
      </c>
    </row>
    <row r="102" ht="15.75" customHeight="1" s="225">
      <c r="B102" s="333" t="inlineStr">
        <is>
          <t>Major Bug</t>
        </is>
      </c>
      <c r="C102" s="351">
        <f>COUNTIF('Bug Data'!$L:$L,10)</f>
        <v/>
      </c>
      <c r="D102" s="361" t="n">
        <v>10</v>
      </c>
      <c r="E102" s="362">
        <f>IFERROR(C102/$C$105,0)</f>
        <v/>
      </c>
    </row>
    <row r="103" ht="15.75" customHeight="1" s="225">
      <c r="B103" s="333" t="inlineStr">
        <is>
          <t>Medium Bug</t>
        </is>
      </c>
      <c r="C103" s="351">
        <f>COUNTIF('Bug Data'!$L:$L,5)</f>
        <v/>
      </c>
      <c r="D103" s="361" t="n">
        <v>5</v>
      </c>
      <c r="E103" s="362">
        <f>IFERROR(C103/$C$105,0)</f>
        <v/>
      </c>
    </row>
    <row r="104" ht="15.75" customHeight="1" s="225">
      <c r="B104" s="333" t="inlineStr">
        <is>
          <t>Low Bug</t>
        </is>
      </c>
      <c r="C104" s="351">
        <f>COUNTIF('Bug Data'!$L:$L,2)</f>
        <v/>
      </c>
      <c r="D104" s="361" t="n">
        <v>2</v>
      </c>
      <c r="E104" s="362">
        <f>IFERROR(C104/$C$105,0)</f>
        <v/>
      </c>
    </row>
    <row r="105" ht="15.75" customHeight="1" s="225">
      <c r="B105" s="262" t="inlineStr">
        <is>
          <t>Total</t>
        </is>
      </c>
      <c r="C105" s="353">
        <f>SUM(C101:C104)</f>
        <v/>
      </c>
      <c r="D105" s="363" t="n"/>
      <c r="E105" s="364">
        <f>IFERROR(SUM(E101:E104),0)</f>
        <v/>
      </c>
    </row>
    <row r="106" ht="15.75" customHeight="1" s="225">
      <c r="B106" s="260" t="inlineStr">
        <is>
          <t>Thang điểm: Critical=20, Major=10, Medium=5, Low=2.</t>
        </is>
      </c>
    </row>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c r="B114" s="347" t="inlineStr">
        <is>
          <t>PHẦN B — CHI TIẾT QC</t>
        </is>
      </c>
      <c r="C114" s="233" t="n"/>
      <c r="D114" s="233" t="n"/>
      <c r="E114" s="233" t="n"/>
      <c r="F114" s="233" t="n"/>
      <c r="G114" s="233" t="n"/>
      <c r="H114" s="233" t="n"/>
      <c r="I114" s="231" t="n"/>
    </row>
    <row r="115" ht="15.75" customHeight="1" s="225"/>
    <row r="116" ht="15.75" customHeight="1" s="225">
      <c r="B116" s="348" t="inlineStr">
        <is>
          <t>4. Bug Resolution</t>
        </is>
      </c>
    </row>
    <row r="117" ht="15.75" customHeight="1" s="225">
      <c r="B117" s="349" t="inlineStr">
        <is>
          <t>Bug Resolution</t>
        </is>
      </c>
      <c r="C117" s="233" t="n"/>
      <c r="D117" s="231" t="n"/>
    </row>
    <row r="118" ht="15.75" customHeight="1" s="225">
      <c r="B118" s="350" t="inlineStr">
        <is>
          <t>Resolution</t>
        </is>
      </c>
      <c r="C118" s="350" t="inlineStr">
        <is>
          <t>Số lượng</t>
        </is>
      </c>
      <c r="D118" s="350" t="inlineStr">
        <is>
          <t>Tỷ lệ</t>
        </is>
      </c>
    </row>
    <row r="119" ht="15.75" customHeight="1" s="225">
      <c r="B119" s="333" t="inlineStr">
        <is>
          <t>Fixed</t>
        </is>
      </c>
      <c r="C119" s="351">
        <f>COUNTIF('Bug Data'!$P:$P,$B119)</f>
        <v/>
      </c>
      <c r="D119" s="362">
        <f>IFERROR(C119/$C$121,0)</f>
        <v/>
      </c>
    </row>
    <row r="120" ht="15.75" customHeight="1" s="225">
      <c r="B120" s="333" t="inlineStr">
        <is>
          <t>Won't fix</t>
        </is>
      </c>
      <c r="C120" s="351">
        <f>COUNTIF('Bug Data'!$P:$P,$B120)</f>
        <v/>
      </c>
      <c r="D120" s="362">
        <f>IFERROR(C120/$C$121,0)</f>
        <v/>
      </c>
    </row>
    <row r="121" ht="15.75" customHeight="1" s="225">
      <c r="B121" s="262" t="inlineStr">
        <is>
          <t>Total</t>
        </is>
      </c>
      <c r="C121" s="353">
        <f>SUM(C119:C120)</f>
        <v/>
      </c>
      <c r="D121" s="364">
        <f>IFERROR(SUM(D119:D120),0)</f>
        <v/>
      </c>
    </row>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c r="B132" s="348" t="inlineStr">
        <is>
          <t>5. Bug Won't fix By Reason</t>
        </is>
      </c>
    </row>
    <row r="133" ht="15.75" customHeight="1" s="225">
      <c r="B133" s="349" t="inlineStr">
        <is>
          <t>Bug Won't fix By Reason</t>
        </is>
      </c>
      <c r="C133" s="233" t="n"/>
      <c r="D133" s="233" t="n"/>
      <c r="E133" s="231" t="n"/>
    </row>
    <row r="134" ht="15.75" customHeight="1" s="225">
      <c r="B134" s="350" t="inlineStr">
        <is>
          <t>Mã</t>
        </is>
      </c>
      <c r="C134" s="350" t="inlineStr">
        <is>
          <t>Lý do</t>
        </is>
      </c>
      <c r="D134" s="231" t="n"/>
      <c r="E134" s="350" t="inlineStr">
        <is>
          <t>Số lượng</t>
        </is>
      </c>
    </row>
    <row r="135" ht="15.75" customHeight="1" s="225">
      <c r="B135" s="367" t="inlineStr">
        <is>
          <t>1.1</t>
        </is>
      </c>
      <c r="C135" s="264" t="inlineStr">
        <is>
          <t>QC miss thông tin/ nghiệp vụ</t>
        </is>
      </c>
      <c r="D135" s="231" t="n"/>
      <c r="E135" s="351">
        <f>COUNTIF('Bug Data'!$Q:$Q,$B135&amp;" "&amp;$C135)</f>
        <v/>
      </c>
    </row>
    <row r="136" ht="15.75" customHeight="1" s="225">
      <c r="B136" s="367" t="inlineStr">
        <is>
          <t>1.2</t>
        </is>
      </c>
      <c r="C136" s="264" t="inlineStr">
        <is>
          <t>QC post trùng bug</t>
        </is>
      </c>
      <c r="D136" s="231" t="n"/>
      <c r="E136" s="351">
        <f>COUNTIF('Bug Data'!$Q:$Q,$B136&amp;" "&amp;$C136)</f>
        <v/>
      </c>
    </row>
    <row r="137" ht="15.75" customHeight="1" s="225">
      <c r="B137" s="367" t="inlineStr">
        <is>
          <t>1.3</t>
        </is>
      </c>
      <c r="C137" s="264" t="inlineStr">
        <is>
          <t>QC không tái hiện được Bug</t>
        </is>
      </c>
      <c r="D137" s="231" t="n"/>
      <c r="E137" s="351">
        <f>COUNTIF('Bug Data'!$Q:$Q,$B137&amp;" "&amp;$C137)</f>
        <v/>
      </c>
    </row>
    <row r="138" ht="15.75" customHeight="1" s="225">
      <c r="B138" s="367" t="inlineStr">
        <is>
          <t>2.1</t>
        </is>
      </c>
      <c r="C138" s="264" t="inlineStr">
        <is>
          <t>BA miss luồng</t>
        </is>
      </c>
      <c r="D138" s="231" t="n"/>
      <c r="E138" s="351">
        <f>COUNTIF('Bug Data'!$Q:$Q,$B138&amp;" "&amp;$C138)</f>
        <v/>
      </c>
    </row>
    <row r="139" ht="15.75" customHeight="1" s="225">
      <c r="B139" s="367" t="inlineStr">
        <is>
          <t>2.2</t>
        </is>
      </c>
      <c r="C139" s="264" t="inlineStr">
        <is>
          <t>BA thiếu/ sai nghiệp vụ</t>
        </is>
      </c>
      <c r="D139" s="231" t="n"/>
      <c r="E139" s="351">
        <f>COUNTIF('Bug Data'!$Q:$Q,$B139&amp;" "&amp;$C139)</f>
        <v/>
      </c>
    </row>
    <row r="140" ht="15.75" customHeight="1" s="225">
      <c r="B140" s="367" t="inlineStr">
        <is>
          <t>3.1</t>
        </is>
      </c>
      <c r="C140" s="264" t="inlineStr">
        <is>
          <t>Dev không sửa do Ngoài scope dự án</t>
        </is>
      </c>
      <c r="D140" s="231" t="n"/>
      <c r="E140" s="351">
        <f>COUNTIF('Bug Data'!$Q:$Q,$B140&amp;" "&amp;$C140)</f>
        <v/>
      </c>
    </row>
    <row r="141" ht="15.75" customHeight="1" s="225">
      <c r="B141" s="367" t="inlineStr">
        <is>
          <t>3.2</t>
        </is>
      </c>
      <c r="C141" s="264" t="inlineStr">
        <is>
          <t>Dev không fix do Phụ thuộc thông tin các bên liên quan ngoài ISC</t>
        </is>
      </c>
      <c r="D141" s="231" t="n"/>
      <c r="E141" s="351">
        <f>COUNTIF('Bug Data'!$Q:$Q,$B141&amp;" "&amp;$C141)</f>
        <v/>
      </c>
    </row>
    <row r="142" ht="15.75" customHeight="1" s="225">
      <c r="B142" s="367" t="inlineStr">
        <is>
          <t>3.3</t>
        </is>
      </c>
      <c r="C142" s="264" t="inlineStr">
        <is>
          <t>Dev không fix do Điều kiện test không đáp ứng (Môi trường, cấu hình, dữ liệu, thiết bị,...)</t>
        </is>
      </c>
      <c r="D142" s="231" t="n"/>
      <c r="E142" s="351">
        <f>COUNTIF('Bug Data'!$Q:$Q,$B142&amp;" "&amp;$C142)</f>
        <v/>
      </c>
    </row>
    <row r="143" ht="15.75" customHeight="1" s="225">
      <c r="B143" s="367" t="inlineStr">
        <is>
          <t>3.4</t>
        </is>
      </c>
      <c r="C143" s="264" t="inlineStr">
        <is>
          <t>Dev miss thông tin</t>
        </is>
      </c>
      <c r="D143" s="231" t="n"/>
      <c r="E143" s="351">
        <f>COUNTIF('Bug Data'!$Q:$Q,$B143&amp;" "&amp;$C143)</f>
        <v/>
      </c>
    </row>
    <row r="144" ht="15.75" customHeight="1" s="225">
      <c r="B144" s="367" t="inlineStr">
        <is>
          <t>4.1</t>
        </is>
      </c>
      <c r="C144" s="264" t="inlineStr">
        <is>
          <t>PM/PMO CR, QC không nhận thông tin</t>
        </is>
      </c>
      <c r="D144" s="231" t="n"/>
      <c r="E144" s="351">
        <f>COUNTIF('Bug Data'!$Q:$Q,$B144&amp;" "&amp;$C144)</f>
        <v/>
      </c>
    </row>
    <row r="145" ht="15.75" customHeight="1" s="225">
      <c r="B145" s="367" t="inlineStr">
        <is>
          <t>Total</t>
        </is>
      </c>
      <c r="C145" s="264" t="n"/>
      <c r="D145" s="231" t="n"/>
      <c r="E145" s="351">
        <f>SUM(E135:E144)</f>
        <v/>
      </c>
    </row>
    <row r="146" ht="15.75" customHeight="1" s="225"/>
    <row r="147" ht="15.75" customHeight="1" s="225"/>
    <row r="148" ht="15.75" customHeight="1" s="225">
      <c r="B148" s="348" t="inlineStr">
        <is>
          <t>6. Defect Type</t>
        </is>
      </c>
    </row>
    <row r="149" ht="15.75" customHeight="1" s="225">
      <c r="B149" s="349" t="inlineStr">
        <is>
          <t>Defect Type</t>
        </is>
      </c>
      <c r="C149" s="231" t="n"/>
    </row>
    <row r="150" ht="15.75" customHeight="1" s="225">
      <c r="B150" s="350" t="inlineStr">
        <is>
          <t>Loại</t>
        </is>
      </c>
      <c r="C150" s="350" t="inlineStr">
        <is>
          <t>SL</t>
        </is>
      </c>
    </row>
    <row r="151" ht="15.75" customHeight="1" s="225">
      <c r="B151" s="333" t="inlineStr">
        <is>
          <t>Data</t>
        </is>
      </c>
      <c r="C151" s="351">
        <f>COUNTIF('Bug Data'!$R:$R,$B151)</f>
        <v/>
      </c>
    </row>
    <row r="152" ht="15.75" customHeight="1" s="225">
      <c r="B152" s="333" t="inlineStr">
        <is>
          <t>Interface</t>
        </is>
      </c>
      <c r="C152" s="351">
        <f>COUNTIF('Bug Data'!$R:$R,$B152)</f>
        <v/>
      </c>
    </row>
    <row r="153" ht="15.75" customHeight="1" s="225">
      <c r="B153" s="333" t="inlineStr">
        <is>
          <t>Logic</t>
        </is>
      </c>
      <c r="C153" s="351">
        <f>COUNTIF('Bug Data'!$R:$R,$B153)</f>
        <v/>
      </c>
    </row>
    <row r="154" ht="15.75" customHeight="1" s="225">
      <c r="B154" s="333" t="inlineStr">
        <is>
          <t>Requirement</t>
        </is>
      </c>
      <c r="C154" s="351">
        <f>COUNTIF('Bug Data'!$R:$R,$B154)</f>
        <v/>
      </c>
    </row>
    <row r="155" ht="15.75" customHeight="1" s="225">
      <c r="B155" s="333" t="inlineStr">
        <is>
          <t>Server</t>
        </is>
      </c>
      <c r="C155" s="351">
        <f>COUNTIF('Bug Data'!$R:$R,$B155)</f>
        <v/>
      </c>
    </row>
    <row r="156" ht="15.75" customHeight="1" s="225">
      <c r="B156" s="333" t="inlineStr">
        <is>
          <t>Other</t>
        </is>
      </c>
      <c r="C156" s="351">
        <f>COUNTIF('Bug Data'!$R:$R,$B156)</f>
        <v/>
      </c>
    </row>
    <row r="157" ht="15.75" customHeight="1" s="225">
      <c r="B157" s="262" t="inlineStr">
        <is>
          <t>Total</t>
        </is>
      </c>
      <c r="C157" s="353">
        <f>SUM(C151:C156)</f>
        <v/>
      </c>
    </row>
    <row r="158" ht="15.75" customHeight="1" s="225"/>
    <row r="159" ht="15.75" customHeight="1" s="225"/>
    <row r="160" ht="15.75" customHeight="1" s="225"/>
    <row r="161" ht="15.75" customHeight="1" s="225"/>
    <row r="162" ht="15.75" customHeight="1" s="225"/>
    <row r="163" ht="15.75" customHeight="1" s="225"/>
    <row r="164" ht="15.75" customHeight="1" s="225">
      <c r="B164" s="348" t="inlineStr">
        <is>
          <t>7. Effect</t>
        </is>
      </c>
    </row>
    <row r="165" ht="15.75" customHeight="1" s="225">
      <c r="B165" s="349" t="inlineStr">
        <is>
          <t>Effect</t>
        </is>
      </c>
      <c r="C165" s="231" t="n"/>
    </row>
    <row r="166" ht="15.75" customHeight="1" s="225">
      <c r="B166" s="350" t="inlineStr">
        <is>
          <t>Loại</t>
        </is>
      </c>
      <c r="C166" s="350" t="inlineStr">
        <is>
          <t>SL</t>
        </is>
      </c>
    </row>
    <row r="167" ht="15.75" customHeight="1" s="225">
      <c r="B167" s="333" t="inlineStr">
        <is>
          <t>Functionality</t>
        </is>
      </c>
      <c r="C167" s="351">
        <f>COUNTIF('Bug Data'!$S:$S,$B167)</f>
        <v/>
      </c>
    </row>
    <row r="168" ht="15.75" customHeight="1" s="225">
      <c r="B168" s="333" t="inlineStr">
        <is>
          <t>Performance</t>
        </is>
      </c>
      <c r="C168" s="351">
        <f>COUNTIF('Bug Data'!$S:$S,$B168)</f>
        <v/>
      </c>
    </row>
    <row r="169" ht="15.75" customHeight="1" s="225">
      <c r="B169" s="333" t="inlineStr">
        <is>
          <t>Security</t>
        </is>
      </c>
      <c r="C169" s="351">
        <f>COUNTIF('Bug Data'!$S:$S,$B169)</f>
        <v/>
      </c>
    </row>
    <row r="170" ht="15.75" customHeight="1" s="225">
      <c r="B170" s="333" t="inlineStr">
        <is>
          <t>Serviceability</t>
        </is>
      </c>
      <c r="C170" s="351">
        <f>COUNTIF('Bug Data'!$S:$S,$B170)</f>
        <v/>
      </c>
    </row>
    <row r="171" ht="15.75" customHeight="1" s="225">
      <c r="B171" s="333" t="inlineStr">
        <is>
          <t>Usability</t>
        </is>
      </c>
      <c r="C171" s="351">
        <f>COUNTIF('Bug Data'!$S:$S,$B171)</f>
        <v/>
      </c>
    </row>
    <row r="172" ht="15.75" customHeight="1" s="225">
      <c r="B172" s="262" t="inlineStr">
        <is>
          <t>Total</t>
        </is>
      </c>
      <c r="C172" s="353">
        <f>SUM(C167:C171)</f>
        <v/>
      </c>
    </row>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c r="B180" s="348" t="inlineStr">
        <is>
          <t>8. Bug Rework</t>
        </is>
      </c>
    </row>
    <row r="181" ht="15.75" customHeight="1" s="225">
      <c r="B181" s="349" t="inlineStr">
        <is>
          <t>Bug Rework</t>
        </is>
      </c>
      <c r="C181" s="231" t="n"/>
    </row>
    <row r="182" ht="15.75" customHeight="1" s="225">
      <c r="B182" s="350" t="inlineStr">
        <is>
          <t>Số lần rework</t>
        </is>
      </c>
      <c r="C182" s="350" t="inlineStr">
        <is>
          <t>SL</t>
        </is>
      </c>
    </row>
    <row r="183" ht="15.75" customHeight="1" s="225">
      <c r="B183" s="333" t="inlineStr">
        <is>
          <t>1-2 lần</t>
        </is>
      </c>
      <c r="C183" s="351">
        <f>COUNTIFS('Bug Data'!$T:$T,"&gt;="&amp;1,'Bug Data'!$T:$T,"&lt;="&amp;2)</f>
        <v/>
      </c>
    </row>
    <row r="184" ht="15.75" customHeight="1" s="225">
      <c r="B184" s="333" t="inlineStr">
        <is>
          <t>3-5 lần</t>
        </is>
      </c>
      <c r="C184" s="351">
        <f>COUNTIFS('Bug Data'!$T:$T,"&gt;="&amp;3,'Bug Data'!$T:$T,"&lt;="&amp;5)</f>
        <v/>
      </c>
    </row>
    <row r="185" ht="15.75" customHeight="1" s="225">
      <c r="B185" s="333" t="inlineStr">
        <is>
          <t>6-7 lần</t>
        </is>
      </c>
      <c r="C185" s="351">
        <f>COUNTIFS('Bug Data'!$T:$T,"&gt;="&amp;6,'Bug Data'!$T:$T,"&lt;="&amp;7)</f>
        <v/>
      </c>
    </row>
    <row r="186" ht="15.75" customHeight="1" s="225">
      <c r="B186" s="333" t="inlineStr">
        <is>
          <t>8-10 lần</t>
        </is>
      </c>
      <c r="C186" s="351">
        <f>COUNTIFS('Bug Data'!$T:$T,"&gt;="&amp;8,'Bug Data'!$T:$T,"&lt;="&amp;10)</f>
        <v/>
      </c>
    </row>
    <row r="187" ht="15.75" customHeight="1" s="225">
      <c r="B187" s="262" t="inlineStr">
        <is>
          <t>Total</t>
        </is>
      </c>
      <c r="C187" s="353">
        <f>SUM(C183:C186)</f>
        <v/>
      </c>
    </row>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c r="B196" s="348" t="inlineStr">
        <is>
          <t>III. SDLC / AUTOMATION METRICS</t>
        </is>
      </c>
    </row>
    <row r="197" ht="15.75" customHeight="1" s="225">
      <c r="B197" s="368" t="inlineStr">
        <is>
          <t>Chỉ số SDLC &amp; Automation</t>
        </is>
      </c>
      <c r="C197" s="233" t="n"/>
      <c r="D197" s="231" t="n"/>
    </row>
    <row r="198" ht="15.75" customHeight="1" s="225">
      <c r="B198" s="345" t="inlineStr">
        <is>
          <t>Chỉ số</t>
        </is>
      </c>
      <c r="C198" s="369" t="inlineStr">
        <is>
          <t>Số lượng</t>
        </is>
      </c>
      <c r="D198" s="369" t="inlineStr">
        <is>
          <t>% / Tổng TC</t>
        </is>
      </c>
    </row>
    <row r="199" ht="15.75" customHeight="1" s="225">
      <c r="B199" s="370" t="inlineStr">
        <is>
          <t>Tổng số Test Case</t>
        </is>
      </c>
      <c r="C199" s="276">
        <f>Summary!$C$17</f>
        <v/>
      </c>
      <c r="D199" s="371" t="n">
        <v>1</v>
      </c>
    </row>
    <row r="200" ht="15.75" customHeight="1" s="225">
      <c r="B200" s="370" t="inlineStr">
        <is>
          <t>TC sinh bởi AI (AI-generated)</t>
        </is>
      </c>
      <c r="C200" s="276">
        <f>Summary!$C$44</f>
        <v/>
      </c>
      <c r="D200" s="372">
        <f>IFERROR(C200/$C$199,0)</f>
        <v/>
      </c>
    </row>
    <row r="201" ht="15.75" customHeight="1" s="225">
      <c r="B201" s="370" t="inlineStr">
        <is>
          <t>TC do QC viết tay</t>
        </is>
      </c>
      <c r="C201" s="276">
        <f>Summary!$C$45</f>
        <v/>
      </c>
      <c r="D201" s="277">
        <f>IFERROR(C201/$C$199,0)</f>
        <v/>
      </c>
    </row>
    <row r="202" ht="15.75" customHeight="1" s="225">
      <c r="B202" s="370" t="inlineStr">
        <is>
          <t>TC đã automation (có script)</t>
        </is>
      </c>
      <c r="C202" s="276">
        <f>Summary!$C$46</f>
        <v/>
      </c>
      <c r="D202" s="372">
        <f>IFERROR(C202/$C$199,0)</f>
        <v/>
      </c>
    </row>
    <row r="203" ht="15.75" customHeight="1" s="225">
      <c r="B203" s="370" t="inlineStr">
        <is>
          <t>TC Vibe-test</t>
        </is>
      </c>
      <c r="C203" s="276">
        <f>Summary!$C$47</f>
        <v/>
      </c>
      <c r="D203" s="372">
        <f>IFERROR(C203/$C$199,0)</f>
        <v/>
      </c>
    </row>
    <row r="204" ht="15.75" customHeight="1" s="225">
      <c r="B204" s="370" t="inlineStr">
        <is>
          <t>TC đã QC review</t>
        </is>
      </c>
      <c r="C204" s="276">
        <f>Summary!$C$49</f>
        <v/>
      </c>
      <c r="D204" s="277">
        <f>IFERROR(C204/$C$199,0)</f>
        <v/>
      </c>
    </row>
    <row r="205" ht="15.75" customHeight="1" s="225">
      <c r="B205" s="370" t="inlineStr">
        <is>
          <t>TC script auto chạy Pass</t>
        </is>
      </c>
      <c r="C205" s="276">
        <f>Summary!$C$48</f>
        <v/>
      </c>
      <c r="D205" s="372">
        <f>IFERROR(C205/$C$199,0)</f>
        <v/>
      </c>
    </row>
    <row r="206" ht="15.75" customHeight="1" s="225">
      <c r="B206" s="370" t="inlineStr">
        <is>
          <t>Bug do AI phát hiện (nhập tay)</t>
        </is>
      </c>
      <c r="C206" s="373" t="n">
        <v>0</v>
      </c>
      <c r="D206" s="372">
        <f>IFERROR(C206/SUM('Report Test'!$C$20:$F$20),0)</f>
        <v/>
      </c>
    </row>
    <row r="207" ht="15.75" customHeight="1" s="225">
      <c r="B207" s="374" t="n"/>
      <c r="D207" s="375" t="n"/>
    </row>
    <row r="208" ht="15.75" customHeight="1" s="225">
      <c r="B208" s="376" t="inlineStr">
        <is>
          <t>Ô vàng = nhập tay; các % tự tính trên Tổng TC. % Bug do AI = Bug do AI phát hiện / Tổng số Bug.</t>
        </is>
      </c>
    </row>
    <row r="209" ht="15.75" customHeight="1" s="225"/>
    <row r="210" ht="15.75" customHeight="1" s="225"/>
    <row r="211" ht="15.75" customHeight="1" s="225"/>
    <row r="212" ht="15.75" customHeight="1" s="225"/>
    <row r="213" ht="15.75" customHeight="1" s="225"/>
    <row r="214" ht="15.75" customHeight="1" s="225">
      <c r="B214" s="377" t="inlineStr">
        <is>
          <t>IV. KẾT QUẢ THỰC THI THEO ROUND (Round-by-Round)</t>
        </is>
      </c>
    </row>
    <row r="215" ht="15.75" customHeight="1" s="225">
      <c r="B215" s="287" t="inlineStr">
        <is>
          <t>Ghi Phạm vi/Chức năng test của mỗi Round ở cột 'Phạm vi'. TH1 – các Round chia scope KHÔNG trùng nhau (VD R1: Function A; R2: Function B, C) → độ phủ cộng dồn qua các Round. TH2 – mỗi Round chạy full regression toàn bộ chức năng (số Round = số lần test lại). Coverage% = Đã chạy/Tổng TC · Pass rate = Pass/Đã chạy · dòng 'Cuối' = verdict Final.</t>
        </is>
      </c>
    </row>
    <row r="216" ht="15.75" customHeight="1" s="225">
      <c r="B216" s="378" t="inlineStr">
        <is>
          <t>Bảng kết quả theo Round (số liệu gom tự động từ Dashboard)</t>
        </is>
      </c>
      <c r="C216" s="379" t="n"/>
      <c r="D216" s="379" t="n"/>
      <c r="E216" s="379" t="n"/>
      <c r="F216" s="379" t="n"/>
      <c r="G216" s="379" t="n"/>
      <c r="H216" s="379" t="n"/>
      <c r="I216" s="379" t="n"/>
      <c r="J216" s="379" t="n"/>
      <c r="K216" s="379" t="n"/>
      <c r="L216" s="380" t="n"/>
    </row>
    <row r="217" ht="31.5" customHeight="1" s="225">
      <c r="B217" s="381" t="inlineStr">
        <is>
          <t>Round</t>
        </is>
      </c>
      <c r="C217" s="382" t="inlineStr">
        <is>
          <t>Thời gian</t>
        </is>
      </c>
      <c r="D217" s="382" t="inlineStr">
        <is>
          <t>Total TC</t>
        </is>
      </c>
      <c r="E217" s="382" t="inlineStr">
        <is>
          <t>Executed</t>
        </is>
      </c>
      <c r="F217" s="383" t="inlineStr">
        <is>
          <t>Pass</t>
        </is>
      </c>
      <c r="G217" s="383" t="inlineStr">
        <is>
          <t>Fail</t>
        </is>
      </c>
      <c r="H217" s="381" t="inlineStr">
        <is>
          <t>Block</t>
        </is>
      </c>
      <c r="I217" s="381" t="inlineStr">
        <is>
          <t>N/A</t>
        </is>
      </c>
      <c r="J217" s="381" t="inlineStr">
        <is>
          <t>Coverage%</t>
        </is>
      </c>
      <c r="K217" s="381" t="inlineStr">
        <is>
          <t>Pass rate</t>
        </is>
      </c>
      <c r="L217" s="381" t="inlineStr">
        <is>
          <t>Phạm vi / Chức năng test</t>
        </is>
      </c>
    </row>
    <row r="218" ht="30" customHeight="1" s="225">
      <c r="B218" s="384" t="inlineStr">
        <is>
          <t>Round 1</t>
        </is>
      </c>
      <c r="C218" s="385" t="inlineStr">
        <is>
          <t>R1: ....</t>
        </is>
      </c>
      <c r="D218" s="386">
        <f>Dashboard!$F$34</f>
        <v/>
      </c>
      <c r="E218" s="386">
        <f>Dashboard!$AE$34</f>
        <v/>
      </c>
      <c r="F218" s="386">
        <f>Dashboard!$AF$34</f>
        <v/>
      </c>
      <c r="G218" s="386">
        <f>Dashboard!$AG$34</f>
        <v/>
      </c>
      <c r="H218" s="386">
        <f>Dashboard!$AH$34</f>
        <v/>
      </c>
      <c r="I218" s="386">
        <f>Dashboard!$AI$34</f>
        <v/>
      </c>
      <c r="J218" s="387">
        <f>IFERROR(IF(E218=0,"",E218/D218),"")</f>
        <v/>
      </c>
      <c r="K218" s="387">
        <f>IFERROR(IF(E218=0,"",F218/E218),"")</f>
        <v/>
      </c>
      <c r="L218" s="385" t="inlineStr">
        <is>
          <t>Toàn bộ A, B, C (full regression)</t>
        </is>
      </c>
    </row>
    <row r="219" ht="30" customHeight="1" s="225">
      <c r="B219" s="384" t="inlineStr">
        <is>
          <t>Round 2</t>
        </is>
      </c>
      <c r="C219" s="385" t="inlineStr">
        <is>
          <t>R2: ....</t>
        </is>
      </c>
      <c r="D219" s="386">
        <f>Dashboard!$F$34</f>
        <v/>
      </c>
      <c r="E219" s="386">
        <f>Dashboard!$AJ$34</f>
        <v/>
      </c>
      <c r="F219" s="386">
        <f>Dashboard!$AK$34</f>
        <v/>
      </c>
      <c r="G219" s="386">
        <f>Dashboard!$AL$34</f>
        <v/>
      </c>
      <c r="H219" s="386">
        <f>Dashboard!$AM$34</f>
        <v/>
      </c>
      <c r="I219" s="386">
        <f>Dashboard!$AN$34</f>
        <v/>
      </c>
      <c r="J219" s="387">
        <f>IFERROR(IF(E219=0,"",E219/D219),"")</f>
        <v/>
      </c>
      <c r="K219" s="387">
        <f>IFERROR(IF(E219=0,"",F219/E219),"")</f>
        <v/>
      </c>
      <c r="L219" s="385" t="inlineStr">
        <is>
          <t>Toàn bộ A, B, C — retest bug R1</t>
        </is>
      </c>
    </row>
    <row r="220" ht="30" customHeight="1" s="225">
      <c r="B220" s="384" t="inlineStr">
        <is>
          <t>Round 3</t>
        </is>
      </c>
      <c r="C220" s="385" t="inlineStr">
        <is>
          <t>R3: ....</t>
        </is>
      </c>
      <c r="D220" s="386">
        <f>Dashboard!$F$34</f>
        <v/>
      </c>
      <c r="E220" s="386">
        <f>Dashboard!$AO$34</f>
        <v/>
      </c>
      <c r="F220" s="386">
        <f>Dashboard!$AP$34</f>
        <v/>
      </c>
      <c r="G220" s="386">
        <f>Dashboard!$AQ$34</f>
        <v/>
      </c>
      <c r="H220" s="386">
        <f>Dashboard!$AR$34</f>
        <v/>
      </c>
      <c r="I220" s="386">
        <f>Dashboard!$AS$34</f>
        <v/>
      </c>
      <c r="J220" s="387">
        <f>IFERROR(IF(E220=0,"",E220/D220),"")</f>
        <v/>
      </c>
      <c r="K220" s="387">
        <f>IFERROR(IF(E220=0,"",F220/E220),"")</f>
        <v/>
      </c>
      <c r="L220" s="385" t="inlineStr">
        <is>
          <t>Toàn bộ A, B, C — retest bug R2</t>
        </is>
      </c>
    </row>
    <row r="221" ht="30" customHeight="1" s="225">
      <c r="B221" s="384" t="inlineStr">
        <is>
          <t>Round 4</t>
        </is>
      </c>
      <c r="C221" s="385" t="inlineStr">
        <is>
          <t>R4: ....</t>
        </is>
      </c>
      <c r="D221" s="386">
        <f>Dashboard!$F$34</f>
        <v/>
      </c>
      <c r="E221" s="386">
        <f>Dashboard!$AT$34</f>
        <v/>
      </c>
      <c r="F221" s="386">
        <f>Dashboard!$AU$34</f>
        <v/>
      </c>
      <c r="G221" s="386">
        <f>Dashboard!$AV$34</f>
        <v/>
      </c>
      <c r="H221" s="386">
        <f>Dashboard!$AW$34</f>
        <v/>
      </c>
      <c r="I221" s="386">
        <f>Dashboard!$AX$34</f>
        <v/>
      </c>
      <c r="J221" s="387">
        <f>IFERROR(IF(E221=0,"",E221/D221),"")</f>
        <v/>
      </c>
      <c r="K221" s="387">
        <f>IFERROR(IF(E221=0,"",F221/E221),"")</f>
        <v/>
      </c>
      <c r="L221" s="385" t="n"/>
    </row>
    <row r="222" ht="30" customHeight="1" s="225">
      <c r="B222" s="384" t="inlineStr">
        <is>
          <t>Round 5</t>
        </is>
      </c>
      <c r="C222" s="385" t="inlineStr">
        <is>
          <t>R5: ....</t>
        </is>
      </c>
      <c r="D222" s="386">
        <f>Dashboard!$F$34</f>
        <v/>
      </c>
      <c r="E222" s="386">
        <f>Dashboard!$AY$34</f>
        <v/>
      </c>
      <c r="F222" s="386">
        <f>Dashboard!$AZ$34</f>
        <v/>
      </c>
      <c r="G222" s="386">
        <f>Dashboard!$BA$34</f>
        <v/>
      </c>
      <c r="H222" s="386">
        <f>Dashboard!$BB$34</f>
        <v/>
      </c>
      <c r="I222" s="386">
        <f>Dashboard!$BC$34</f>
        <v/>
      </c>
      <c r="J222" s="387">
        <f>IFERROR(IF(E222=0,"",E222/D222),"")</f>
        <v/>
      </c>
      <c r="K222" s="387">
        <f>IFERROR(IF(E222=0,"",F222/E222),"")</f>
        <v/>
      </c>
      <c r="L222" s="385" t="n"/>
    </row>
    <row r="223" ht="30" customHeight="1" s="225">
      <c r="B223" s="388" t="inlineStr">
        <is>
          <t>Cuối (Final)</t>
        </is>
      </c>
      <c r="C223" s="389">
        <f>TEXT(Summary!$C$10,"DD/MM/YYYY")&amp;"  →  "&amp;TEXT(Summary!$C$11,"DD/MM/YYYY")</f>
        <v/>
      </c>
      <c r="D223" s="389">
        <f>Dashboard!$F$34</f>
        <v/>
      </c>
      <c r="E223" s="389">
        <f>Dashboard!$L$34</f>
        <v/>
      </c>
      <c r="F223" s="389">
        <f>Dashboard!$G$34</f>
        <v/>
      </c>
      <c r="G223" s="389">
        <f>Dashboard!$H$34</f>
        <v/>
      </c>
      <c r="H223" s="389">
        <f>Dashboard!$I$34</f>
        <v/>
      </c>
      <c r="I223" s="389">
        <f>Dashboard!$J$34</f>
        <v/>
      </c>
      <c r="J223" s="390">
        <f>IFERROR(E223/D223,0)</f>
        <v/>
      </c>
      <c r="K223" s="390">
        <f>IFERROR(F223/E223,0)</f>
        <v/>
      </c>
      <c r="L223" s="389" t="inlineStr">
        <is>
          <t>Toàn bộ chức năng A, B, C</t>
        </is>
      </c>
    </row>
    <row r="224" ht="15.75" customHeight="1" s="225">
      <c r="B224" s="391" t="n"/>
      <c r="C224" s="392" t="n"/>
      <c r="D224" s="392" t="n"/>
      <c r="E224" s="392" t="n"/>
      <c r="F224" s="393" t="n"/>
      <c r="G224" s="393" t="n"/>
      <c r="H224" s="249" t="n"/>
      <c r="I224" s="249" t="n"/>
      <c r="J224" s="249" t="n"/>
      <c r="K224" s="249" t="n"/>
    </row>
    <row r="225" ht="15.75" customHeight="1" s="225">
      <c r="B225" s="378" t="inlineStr">
        <is>
          <t>Xu hướng Bug theo Round (phát hiện vs đã đóng)</t>
        </is>
      </c>
      <c r="C225" s="379" t="n"/>
      <c r="D225" s="380" t="n"/>
      <c r="E225" s="249" t="n"/>
      <c r="F225" s="249" t="n"/>
      <c r="G225" s="249" t="n"/>
      <c r="H225" s="249" t="n"/>
      <c r="I225" s="249" t="n"/>
      <c r="J225" s="249" t="n"/>
      <c r="K225" s="249" t="n"/>
    </row>
    <row r="226" ht="15.75" customHeight="1" s="225">
      <c r="B226" s="381" t="inlineStr">
        <is>
          <t>Round</t>
        </is>
      </c>
      <c r="C226" s="381" t="inlineStr">
        <is>
          <t>Phát hiện</t>
        </is>
      </c>
      <c r="D226" s="381" t="inlineStr">
        <is>
          <t>Đã đóng</t>
        </is>
      </c>
      <c r="E226" s="249" t="n"/>
      <c r="F226" s="249" t="n"/>
      <c r="G226" s="249" t="n"/>
      <c r="H226" s="249" t="n"/>
      <c r="I226" s="249" t="n"/>
      <c r="J226" s="249" t="n"/>
      <c r="K226" s="249" t="n"/>
    </row>
    <row r="227" ht="15.75" customHeight="1" s="225">
      <c r="B227" s="394" t="n">
        <v>1</v>
      </c>
      <c r="C227" s="395">
        <f>COUNTIF('Bug Data'!$U:$U,$B227)</f>
        <v/>
      </c>
      <c r="D227" s="395">
        <f>COUNTIFS('Bug Data'!$U:$U,$B227,'Bug Data'!$O:$O,"Done")</f>
        <v/>
      </c>
      <c r="E227" s="249" t="n"/>
      <c r="F227" s="249" t="n"/>
      <c r="G227" s="249" t="n"/>
      <c r="H227" s="249" t="n"/>
      <c r="I227" s="249" t="n"/>
      <c r="J227" s="249" t="n"/>
      <c r="K227" s="249" t="n"/>
    </row>
    <row r="228" ht="15.75" customHeight="1" s="225">
      <c r="B228" s="394" t="n">
        <v>2</v>
      </c>
      <c r="C228" s="395">
        <f>COUNTIF('Bug Data'!$U:$U,$B228)</f>
        <v/>
      </c>
      <c r="D228" s="395">
        <f>COUNTIFS('Bug Data'!$U:$U,$B228,'Bug Data'!$O:$O,"Done")</f>
        <v/>
      </c>
      <c r="E228" s="249" t="n"/>
      <c r="F228" s="249" t="n"/>
      <c r="G228" s="249" t="n"/>
      <c r="H228" s="249" t="n"/>
      <c r="I228" s="249" t="n"/>
      <c r="J228" s="249" t="n"/>
      <c r="K228" s="249" t="n"/>
    </row>
    <row r="229" ht="15.75" customHeight="1" s="225">
      <c r="B229" s="394" t="n">
        <v>3</v>
      </c>
      <c r="C229" s="395">
        <f>COUNTIF('Bug Data'!$U:$U,$B229)</f>
        <v/>
      </c>
      <c r="D229" s="395">
        <f>COUNTIFS('Bug Data'!$U:$U,$B229,'Bug Data'!$O:$O,"Done")</f>
        <v/>
      </c>
      <c r="E229" s="249" t="n"/>
      <c r="F229" s="249" t="n"/>
      <c r="G229" s="249" t="n"/>
      <c r="H229" s="249" t="n"/>
      <c r="I229" s="249" t="n"/>
      <c r="J229" s="249" t="n"/>
      <c r="K229" s="249" t="n"/>
    </row>
    <row r="230" ht="15.75" customHeight="1" s="225">
      <c r="B230" s="396" t="n">
        <v>4</v>
      </c>
      <c r="C230" s="386">
        <f>COUNTIF('Bug Data'!$U:$U,$B230)</f>
        <v/>
      </c>
      <c r="D230" s="395">
        <f>COUNTIFS('Bug Data'!$U:$U,$B230,'Bug Data'!$O:$O,"Done")</f>
        <v/>
      </c>
      <c r="E230" s="249" t="n"/>
      <c r="F230" s="249" t="n"/>
      <c r="G230" s="249" t="n"/>
      <c r="H230" s="249" t="n"/>
      <c r="I230" s="249" t="n"/>
      <c r="J230" s="249" t="n"/>
      <c r="K230" s="249" t="n"/>
    </row>
    <row r="231" ht="15.75" customHeight="1" s="225">
      <c r="B231" s="396" t="n">
        <v>5</v>
      </c>
      <c r="C231" s="386">
        <f>COUNTIF('Bug Data'!$U:$U,$B231)</f>
        <v/>
      </c>
      <c r="D231" s="395">
        <f>COUNTIFS('Bug Data'!$U:$U,$B231,'Bug Data'!$O:$O,"Done")</f>
        <v/>
      </c>
      <c r="E231" s="249" t="n"/>
      <c r="F231" s="249" t="n"/>
      <c r="G231" s="249" t="n"/>
      <c r="H231" s="249" t="n"/>
      <c r="I231" s="249" t="n"/>
      <c r="J231" s="249" t="n"/>
      <c r="K231" s="249" t="n"/>
    </row>
    <row r="232" ht="15.75" customHeight="1" s="225">
      <c r="B232" s="397" t="inlineStr">
        <is>
          <t>Total</t>
        </is>
      </c>
      <c r="C232" s="397">
        <f>SUM(C227:C231)</f>
        <v/>
      </c>
      <c r="D232" s="398">
        <f>SUM(D227:D231)</f>
        <v/>
      </c>
      <c r="E232" s="249" t="n"/>
      <c r="F232" s="249" t="n"/>
      <c r="G232" s="249" t="n"/>
      <c r="H232" s="249" t="n"/>
      <c r="I232" s="249" t="n"/>
      <c r="J232" s="249" t="n"/>
      <c r="K232" s="249" t="n"/>
    </row>
    <row r="233" ht="15.75" customHeight="1" s="225">
      <c r="B233" s="399" t="inlineStr">
        <is>
          <t>Phát hiện = bug gắn Round ở sheet Bug Data. Đã đóng = bug của round đó đã Done. Total Phát hiện phải khớp Tổng số Bug ở mục 1.</t>
        </is>
      </c>
      <c r="C233" s="399" t="n"/>
      <c r="D233" s="399" t="n"/>
      <c r="E233" s="399" t="n"/>
      <c r="F233" s="399" t="n"/>
      <c r="G233" s="399" t="n"/>
      <c r="H233" s="399" t="n"/>
      <c r="I233" s="399" t="n"/>
      <c r="J233" s="399" t="n"/>
      <c r="K233" s="399" t="n"/>
    </row>
    <row r="234" ht="15.75" customHeight="1" s="225">
      <c r="B234" s="392" t="n"/>
      <c r="C234" s="392" t="n"/>
      <c r="D234" s="249" t="n"/>
      <c r="E234" s="249" t="n"/>
      <c r="F234" s="249" t="n"/>
      <c r="G234" s="249" t="n"/>
      <c r="H234" s="249" t="n"/>
      <c r="I234" s="249" t="n"/>
      <c r="J234" s="249" t="n"/>
      <c r="K234" s="249" t="n"/>
    </row>
    <row r="235" ht="15.75" customHeight="1" s="225">
      <c r="B235" s="392" t="n"/>
      <c r="C235" s="392" t="n"/>
      <c r="D235" s="249" t="n"/>
      <c r="E235" s="249" t="n"/>
      <c r="F235" s="249" t="n"/>
      <c r="G235" s="249" t="n"/>
      <c r="H235" s="249" t="n"/>
      <c r="I235" s="249" t="n"/>
      <c r="J235" s="249" t="n"/>
      <c r="K235" s="249" t="n"/>
    </row>
    <row r="236" ht="15.75" customHeight="1" s="225">
      <c r="B236" s="392" t="n"/>
      <c r="C236" s="392" t="n"/>
      <c r="D236" s="249" t="n"/>
      <c r="E236" s="249" t="n"/>
      <c r="F236" s="249" t="n"/>
      <c r="G236" s="249" t="n"/>
      <c r="H236" s="249" t="n"/>
      <c r="I236" s="249" t="n"/>
      <c r="J236" s="249" t="n"/>
      <c r="K236" s="249" t="n"/>
    </row>
    <row r="237" ht="15.75" customHeight="1" s="225">
      <c r="B237" s="392" t="n"/>
      <c r="C237" s="392" t="n"/>
      <c r="D237" s="249" t="n"/>
      <c r="E237" s="249" t="n"/>
      <c r="F237" s="249" t="n"/>
      <c r="G237" s="249" t="n"/>
      <c r="H237" s="249" t="n"/>
      <c r="I237" s="249" t="n"/>
      <c r="J237" s="249" t="n"/>
      <c r="K237" s="249" t="n"/>
    </row>
    <row r="238" ht="15.75" customHeight="1" s="225">
      <c r="B238" s="400" t="n"/>
      <c r="C238" s="392" t="n"/>
      <c r="D238" s="249" t="n"/>
      <c r="E238" s="249" t="n"/>
      <c r="F238" s="249" t="n"/>
      <c r="G238" s="249" t="n"/>
      <c r="H238" s="249" t="n"/>
      <c r="I238" s="249" t="n"/>
      <c r="J238" s="249" t="n"/>
      <c r="K238" s="249" t="n"/>
    </row>
    <row r="239" ht="15.75" customHeight="1" s="225">
      <c r="B239" s="401" t="n"/>
      <c r="C239" s="249" t="n"/>
      <c r="D239" s="249" t="n"/>
      <c r="E239" s="249" t="n"/>
      <c r="F239" s="249" t="n"/>
      <c r="G239" s="249" t="n"/>
      <c r="H239" s="249" t="n"/>
      <c r="I239" s="249" t="n"/>
      <c r="J239" s="249" t="n"/>
      <c r="K239" s="249" t="n"/>
    </row>
    <row r="240" ht="15.75" customHeight="1" s="225">
      <c r="B240" s="249" t="n"/>
      <c r="C240" s="249" t="n"/>
      <c r="D240" s="249" t="n"/>
      <c r="E240" s="249" t="n"/>
      <c r="F240" s="249" t="n"/>
      <c r="G240" s="249" t="n"/>
      <c r="H240" s="249" t="n"/>
      <c r="I240" s="249" t="n"/>
      <c r="J240" s="249" t="n"/>
      <c r="K240" s="249" t="n"/>
    </row>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57">
    <mergeCell ref="C6:D6"/>
    <mergeCell ref="F5:H5"/>
    <mergeCell ref="I6:J6"/>
    <mergeCell ref="F11:J11"/>
    <mergeCell ref="B165:C165"/>
    <mergeCell ref="B225:D225"/>
    <mergeCell ref="B54:I54"/>
    <mergeCell ref="C5:D5"/>
    <mergeCell ref="B57:G57"/>
    <mergeCell ref="F8:H8"/>
    <mergeCell ref="C141:D141"/>
    <mergeCell ref="B82:D82"/>
    <mergeCell ref="B149:C149"/>
    <mergeCell ref="B133:E133"/>
    <mergeCell ref="F3:H3"/>
    <mergeCell ref="B215:L215"/>
    <mergeCell ref="C4:D4"/>
    <mergeCell ref="B214:L214"/>
    <mergeCell ref="C143:D143"/>
    <mergeCell ref="C3:D3"/>
    <mergeCell ref="B106:E106"/>
    <mergeCell ref="I7:J7"/>
    <mergeCell ref="C134:D134"/>
    <mergeCell ref="C137:D137"/>
    <mergeCell ref="F9:H9"/>
    <mergeCell ref="C142:D142"/>
    <mergeCell ref="B181:C181"/>
    <mergeCell ref="I3:J3"/>
    <mergeCell ref="F2:J2"/>
    <mergeCell ref="B13:I13"/>
    <mergeCell ref="C139:D139"/>
    <mergeCell ref="C138:D138"/>
    <mergeCell ref="B63:G63"/>
    <mergeCell ref="B197:D197"/>
    <mergeCell ref="F4:H4"/>
    <mergeCell ref="I5:J5"/>
    <mergeCell ref="I8:J8"/>
    <mergeCell ref="C135:D135"/>
    <mergeCell ref="C144:D144"/>
    <mergeCell ref="B7:D9"/>
    <mergeCell ref="B40:I40"/>
    <mergeCell ref="B16:G16"/>
    <mergeCell ref="F10:H10"/>
    <mergeCell ref="I4:J4"/>
    <mergeCell ref="F6:H6"/>
    <mergeCell ref="B208:D208"/>
    <mergeCell ref="I10:J10"/>
    <mergeCell ref="B216:L216"/>
    <mergeCell ref="B114:I114"/>
    <mergeCell ref="I9:J9"/>
    <mergeCell ref="F7:H7"/>
    <mergeCell ref="C140:D140"/>
    <mergeCell ref="B21:G21"/>
    <mergeCell ref="C136:D136"/>
    <mergeCell ref="B99:E99"/>
    <mergeCell ref="B117:D117"/>
    <mergeCell ref="C145:D145"/>
  </mergeCell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filterMode="0">
    <outlinePr summaryBelow="1" summaryRight="1"/>
    <pageSetUpPr fitToPage="1"/>
  </sheetPr>
  <dimension ref="A1:AA250"/>
  <sheetViews>
    <sheetView showFormulas="0" showGridLines="0"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0" sqref="B3"/>
    </sheetView>
  </sheetViews>
  <sheetFormatPr baseColWidth="8" defaultColWidth="14.43359375" defaultRowHeight="15" customHeight="1" zeroHeight="0" outlineLevelRow="0"/>
  <cols>
    <col width="12" customWidth="1" style="224" min="1" max="1"/>
    <col width="9" customWidth="1" style="224" min="2" max="2"/>
    <col width="40" customWidth="1" style="224" min="3" max="3"/>
    <col width="14" customWidth="1" style="224" min="4" max="4"/>
    <col width="12" customWidth="1" style="224" min="5" max="10"/>
    <col width="10" customWidth="1" style="224" min="11" max="11"/>
    <col width="9" customWidth="1" style="224" min="12" max="12"/>
    <col width="13" customWidth="1" style="224" min="13" max="13"/>
    <col width="10" customWidth="1" style="224" min="14" max="14"/>
    <col width="12" customWidth="1" style="224" min="15" max="16"/>
    <col width="46" customWidth="1" style="224" min="17" max="17"/>
    <col width="13" customWidth="1" style="224" min="18" max="18"/>
    <col width="15" customWidth="1" style="224" min="19" max="19"/>
    <col width="13" customWidth="1" style="224" min="20" max="20"/>
    <col width="8" customWidth="1" style="224" min="21" max="21"/>
    <col width="14" customWidth="1" style="224" min="22" max="22"/>
    <col width="3" customWidth="1" style="224" min="24" max="24"/>
    <col width="60" customWidth="1" style="224" min="25" max="25"/>
    <col width="3" customWidth="1" style="224" min="26" max="26"/>
    <col width="66" customWidth="1" style="224" min="27" max="27"/>
  </cols>
  <sheetData>
    <row r="1" ht="27.75" customHeight="1" s="225">
      <c r="A1" s="402" t="inlineStr">
        <is>
          <t>Key</t>
        </is>
      </c>
      <c r="B1" s="402" t="inlineStr">
        <is>
          <t>Type</t>
        </is>
      </c>
      <c r="C1" s="402" t="inlineStr">
        <is>
          <t>Summary</t>
        </is>
      </c>
      <c r="D1" s="402" t="inlineStr">
        <is>
          <t>Status (Jira)</t>
        </is>
      </c>
      <c r="E1" s="402" t="inlineStr">
        <is>
          <t>Priority (Jira)</t>
        </is>
      </c>
      <c r="F1" s="402" t="inlineStr">
        <is>
          <t>Assignee</t>
        </is>
      </c>
      <c r="G1" s="402" t="inlineStr">
        <is>
          <t>Reporter</t>
        </is>
      </c>
      <c r="H1" s="402" t="inlineStr">
        <is>
          <t>Created</t>
        </is>
      </c>
      <c r="I1" s="402" t="inlineStr">
        <is>
          <t>Resolved</t>
        </is>
      </c>
      <c r="J1" s="402" t="inlineStr">
        <is>
          <t>Fix Version</t>
        </is>
      </c>
      <c r="K1" s="402" t="inlineStr">
        <is>
          <t>Sprint</t>
        </is>
      </c>
      <c r="L1" s="403" t="inlineStr">
        <is>
          <t>Severity</t>
        </is>
      </c>
      <c r="M1" s="403" t="inlineStr">
        <is>
          <t>Function</t>
        </is>
      </c>
      <c r="N1" s="403" t="inlineStr">
        <is>
          <t>Platform</t>
        </is>
      </c>
      <c r="O1" s="403" t="inlineStr">
        <is>
          <t>Bug Status</t>
        </is>
      </c>
      <c r="P1" s="403" t="inlineStr">
        <is>
          <t>Resolution</t>
        </is>
      </c>
      <c r="Q1" s="403" t="inlineStr">
        <is>
          <t>Won't Fix Reason</t>
        </is>
      </c>
      <c r="R1" s="403" t="inlineStr">
        <is>
          <t>Defect</t>
        </is>
      </c>
      <c r="S1" s="403" t="inlineStr">
        <is>
          <t>Effect</t>
        </is>
      </c>
      <c r="T1" s="403" t="inlineStr">
        <is>
          <t>Rework number</t>
        </is>
      </c>
      <c r="U1" s="403" t="inlineStr">
        <is>
          <t>Round</t>
        </is>
      </c>
      <c r="V1" s="403" t="inlineStr">
        <is>
          <t>Round closed bug</t>
        </is>
      </c>
      <c r="Y1" s="404" t="inlineStr">
        <is>
          <t>Danh mục Won't Fix Reason (nguồn dropdown cột Q)</t>
        </is>
      </c>
      <c r="AA1" s="405" t="inlineStr">
        <is>
          <t>HƯỚNG DẪN IMPORT TỪ JIRA</t>
        </is>
      </c>
    </row>
    <row r="2" ht="15.75" customHeight="1" s="225">
      <c r="A2" s="406" t="inlineStr">
        <is>
          <t>IP-101</t>
        </is>
      </c>
      <c r="B2" s="406" t="inlineStr">
        <is>
          <t>Bug</t>
        </is>
      </c>
      <c r="C2" s="263" t="inlineStr">
        <is>
          <t>Đăng nhập sai mật khẩu không báo lỗi</t>
        </is>
      </c>
      <c r="D2" s="406" t="inlineStr">
        <is>
          <t>Done</t>
        </is>
      </c>
      <c r="E2" s="406" t="inlineStr">
        <is>
          <t>Highest</t>
        </is>
      </c>
      <c r="F2" s="406" t="inlineStr">
        <is>
          <t>BinhPTH3</t>
        </is>
      </c>
      <c r="G2" s="406" t="inlineStr">
        <is>
          <t>PhucDN7</t>
        </is>
      </c>
      <c r="H2" s="406" t="inlineStr">
        <is>
          <t>01/06/2026</t>
        </is>
      </c>
      <c r="I2" s="406" t="inlineStr">
        <is>
          <t>03/06/2026</t>
        </is>
      </c>
      <c r="J2" s="406" t="inlineStr">
        <is>
          <t>v1.0</t>
        </is>
      </c>
      <c r="K2" s="406" t="inlineStr">
        <is>
          <t>R1</t>
        </is>
      </c>
      <c r="L2" s="406" t="n">
        <v>20</v>
      </c>
      <c r="M2" s="406" t="inlineStr">
        <is>
          <t>Function A</t>
        </is>
      </c>
      <c r="N2" s="406" t="inlineStr">
        <is>
          <t>Web</t>
        </is>
      </c>
      <c r="O2" s="407">
        <f>IF($D2="","",IF(OR($D2="Todo",$D2="To Do",$D2="In Progress",$D2="In Review"),"Open",IF($D2="Cancel","Cancel",IF($D2="Pending","Pending",IF($D2="Done","Done",$D2)))))</f>
        <v/>
      </c>
      <c r="P2" s="406" t="inlineStr">
        <is>
          <t>Fixed</t>
        </is>
      </c>
      <c r="Q2" s="263" t="n"/>
      <c r="R2" s="406" t="inlineStr">
        <is>
          <t>Logic</t>
        </is>
      </c>
      <c r="S2" s="406" t="inlineStr">
        <is>
          <t>Functionality</t>
        </is>
      </c>
      <c r="T2" s="406" t="n">
        <v>1</v>
      </c>
      <c r="U2" s="406" t="n">
        <v>1</v>
      </c>
      <c r="V2" s="406" t="n">
        <v>1</v>
      </c>
      <c r="Y2" s="408" t="inlineStr">
        <is>
          <t>1.1 QC miss thông tin/ nghiệp vụ</t>
        </is>
      </c>
      <c r="AA2" s="408" t="inlineStr">
        <is>
          <t>① KHỐI JIRA (cột A–K, nền vàng): export/CSV từ Jira rồi dán trực tiếp bắt đầu ô A2.</t>
        </is>
      </c>
    </row>
    <row r="3" ht="15.75" customHeight="1" s="225">
      <c r="A3" s="406" t="inlineStr">
        <is>
          <t>IP-102</t>
        </is>
      </c>
      <c r="B3" s="406" t="inlineStr">
        <is>
          <t>Bug</t>
        </is>
      </c>
      <c r="C3" s="263" t="inlineStr">
        <is>
          <t>Layout combo lệch trên mobile</t>
        </is>
      </c>
      <c r="D3" s="406" t="inlineStr">
        <is>
          <t>In Progress</t>
        </is>
      </c>
      <c r="E3" s="406" t="inlineStr">
        <is>
          <t>Medium</t>
        </is>
      </c>
      <c r="F3" s="406" t="inlineStr">
        <is>
          <t>QuanVH15</t>
        </is>
      </c>
      <c r="G3" s="406" t="inlineStr">
        <is>
          <t>ThuyenNT</t>
        </is>
      </c>
      <c r="H3" s="406" t="inlineStr">
        <is>
          <t>02/06/2026</t>
        </is>
      </c>
      <c r="I3" s="406" t="n"/>
      <c r="J3" s="406" t="inlineStr">
        <is>
          <t>v1.0</t>
        </is>
      </c>
      <c r="K3" s="406" t="inlineStr">
        <is>
          <t>R1</t>
        </is>
      </c>
      <c r="L3" s="406" t="n">
        <v>5</v>
      </c>
      <c r="M3" s="406" t="inlineStr">
        <is>
          <t>Function B</t>
        </is>
      </c>
      <c r="N3" s="406" t="inlineStr">
        <is>
          <t>Mobile</t>
        </is>
      </c>
      <c r="O3" s="407">
        <f>IF($D3="","",IF(OR($D3="Todo",$D3="To Do",$D3="In Progress",$D3="In Review"),"Open",IF($D3="Cancel","Cancel",IF($D3="Pending","Pending",IF($D3="Done","Done",$D3)))))</f>
        <v/>
      </c>
      <c r="P3" s="406" t="n"/>
      <c r="Q3" s="263" t="n"/>
      <c r="R3" s="406" t="inlineStr">
        <is>
          <t>Interface</t>
        </is>
      </c>
      <c r="S3" s="406" t="inlineStr">
        <is>
          <t>Usability</t>
        </is>
      </c>
      <c r="T3" s="406" t="n">
        <v>2</v>
      </c>
      <c r="U3" s="406" t="n">
        <v>1</v>
      </c>
      <c r="V3" s="406" t="n"/>
      <c r="Y3" s="408" t="inlineStr">
        <is>
          <t>1.2 QC post trùng bug</t>
        </is>
      </c>
      <c r="AA3" s="408" t="inlineStr">
        <is>
          <t xml:space="preserve">   • Board dự án: foxproject.atlassian.net (project key IP). Mỗi round = 1 Sprint.</t>
        </is>
      </c>
    </row>
    <row r="4" ht="15.75" customHeight="1" s="225">
      <c r="A4" s="406" t="inlineStr">
        <is>
          <t>IP-103</t>
        </is>
      </c>
      <c r="B4" s="406" t="inlineStr">
        <is>
          <t>Bug</t>
        </is>
      </c>
      <c r="C4" s="263" t="inlineStr">
        <is>
          <t>API timeout khi tải danh sách</t>
        </is>
      </c>
      <c r="D4" s="406" t="inlineStr">
        <is>
          <t>Pending</t>
        </is>
      </c>
      <c r="E4" s="406" t="inlineStr">
        <is>
          <t>High</t>
        </is>
      </c>
      <c r="F4" s="406" t="inlineStr">
        <is>
          <t>QuanVH16</t>
        </is>
      </c>
      <c r="G4" s="406" t="inlineStr">
        <is>
          <t>HaTTM</t>
        </is>
      </c>
      <c r="H4" s="406" t="inlineStr">
        <is>
          <t>03/06/2026</t>
        </is>
      </c>
      <c r="I4" s="406" t="n"/>
      <c r="J4" s="406" t="inlineStr">
        <is>
          <t>v1.0</t>
        </is>
      </c>
      <c r="K4" s="406" t="inlineStr">
        <is>
          <t>R1</t>
        </is>
      </c>
      <c r="L4" s="406" t="n">
        <v>10</v>
      </c>
      <c r="M4" s="406" t="inlineStr">
        <is>
          <t>Function C</t>
        </is>
      </c>
      <c r="N4" s="406" t="inlineStr">
        <is>
          <t>Mobile</t>
        </is>
      </c>
      <c r="O4" s="407">
        <f>IF($D4="","",IF(OR($D4="Todo",$D4="To Do",$D4="In Progress",$D4="In Review"),"Open",IF($D4="Cancel","Cancel",IF($D4="Pending","Pending",IF($D4="Done","Done",$D4)))))</f>
        <v/>
      </c>
      <c r="P4" s="406" t="inlineStr">
        <is>
          <t>Won't fix</t>
        </is>
      </c>
      <c r="Q4" s="263" t="inlineStr">
        <is>
          <t>3.2 Dev không fix do Phụ thuộc thông tin các bên liên quan ngoài ISC</t>
        </is>
      </c>
      <c r="R4" s="406" t="inlineStr">
        <is>
          <t>Server</t>
        </is>
      </c>
      <c r="S4" s="406" t="inlineStr">
        <is>
          <t>Performance</t>
        </is>
      </c>
      <c r="T4" s="406" t="n">
        <v>3</v>
      </c>
      <c r="U4" s="406" t="n">
        <v>1</v>
      </c>
      <c r="V4" s="406" t="n"/>
      <c r="Y4" s="408" t="inlineStr">
        <is>
          <t>1.3 QC không tái hiện được Bug</t>
        </is>
      </c>
      <c r="AA4" s="408" t="inlineStr">
        <is>
          <t xml:space="preserve">   • A Key, B Type, C Summary, D Status, E Priority, F Assignee, G Reporter,</t>
        </is>
      </c>
    </row>
    <row r="5" ht="15.75" customHeight="1" s="225">
      <c r="A5" s="406" t="inlineStr">
        <is>
          <t>IP-104</t>
        </is>
      </c>
      <c r="B5" s="406" t="inlineStr">
        <is>
          <t>Bug</t>
        </is>
      </c>
      <c r="C5" s="263" t="inlineStr">
        <is>
          <t>Sai thông báo khi validate ngày</t>
        </is>
      </c>
      <c r="D5" s="406" t="inlineStr">
        <is>
          <t>In Review</t>
        </is>
      </c>
      <c r="E5" s="406" t="inlineStr">
        <is>
          <t>High</t>
        </is>
      </c>
      <c r="F5" s="406" t="inlineStr">
        <is>
          <t>ChuyenNT5</t>
        </is>
      </c>
      <c r="G5" s="406" t="inlineStr">
        <is>
          <t>HuyenNHK</t>
        </is>
      </c>
      <c r="H5" s="406" t="inlineStr">
        <is>
          <t>04/06/2026</t>
        </is>
      </c>
      <c r="I5" s="406" t="n"/>
      <c r="J5" s="406" t="inlineStr">
        <is>
          <t>v1.0</t>
        </is>
      </c>
      <c r="K5" s="406" t="inlineStr">
        <is>
          <t>R1</t>
        </is>
      </c>
      <c r="L5" s="406" t="n">
        <v>10</v>
      </c>
      <c r="M5" s="406" t="inlineStr">
        <is>
          <t>Function A</t>
        </is>
      </c>
      <c r="N5" s="406" t="inlineStr">
        <is>
          <t>Web</t>
        </is>
      </c>
      <c r="O5" s="407">
        <f>IF($D5="","",IF(OR($D5="Todo",$D5="To Do",$D5="In Progress",$D5="In Review"),"Open",IF($D5="Cancel","Cancel",IF($D5="Pending","Pending",IF($D5="Done","Done",$D5)))))</f>
        <v/>
      </c>
      <c r="P5" s="406" t="n"/>
      <c r="Q5" s="263" t="n"/>
      <c r="R5" s="406" t="inlineStr">
        <is>
          <t>Logic</t>
        </is>
      </c>
      <c r="S5" s="406" t="inlineStr">
        <is>
          <t>Functionality</t>
        </is>
      </c>
      <c r="T5" s="406" t="n">
        <v>1</v>
      </c>
      <c r="U5" s="406" t="n">
        <v>1</v>
      </c>
      <c r="V5" s="406" t="n"/>
      <c r="Y5" s="408" t="inlineStr">
        <is>
          <t>2.1 BA miss luồng</t>
        </is>
      </c>
      <c r="AA5" s="408" t="inlineStr">
        <is>
          <t xml:space="preserve">     H Created, I Resolved, J Fix Version, K Sprint — khớp cột export mặc định của Jira.</t>
        </is>
      </c>
    </row>
    <row r="6" ht="15.75" customHeight="1" s="225">
      <c r="A6" s="406" t="inlineStr">
        <is>
          <t>IP-105</t>
        </is>
      </c>
      <c r="B6" s="406" t="inlineStr">
        <is>
          <t>Bug</t>
        </is>
      </c>
      <c r="C6" s="263" t="inlineStr">
        <is>
          <t>Phân quyền sai, user xem được dữ liệu cấm</t>
        </is>
      </c>
      <c r="D6" s="406" t="inlineStr">
        <is>
          <t>Done</t>
        </is>
      </c>
      <c r="E6" s="406" t="inlineStr">
        <is>
          <t>Highest</t>
        </is>
      </c>
      <c r="F6" s="406" t="inlineStr">
        <is>
          <t>VanMTT3</t>
        </is>
      </c>
      <c r="G6" s="406" t="inlineStr">
        <is>
          <t>PhucDN7</t>
        </is>
      </c>
      <c r="H6" s="406" t="inlineStr">
        <is>
          <t>05/06/2026</t>
        </is>
      </c>
      <c r="I6" s="406" t="inlineStr">
        <is>
          <t>09/06/2026</t>
        </is>
      </c>
      <c r="J6" s="406" t="inlineStr">
        <is>
          <t>v1.0</t>
        </is>
      </c>
      <c r="K6" s="406" t="inlineStr">
        <is>
          <t>R1</t>
        </is>
      </c>
      <c r="L6" s="406" t="n">
        <v>20</v>
      </c>
      <c r="M6" s="406" t="inlineStr">
        <is>
          <t>Function B</t>
        </is>
      </c>
      <c r="N6" s="406" t="inlineStr">
        <is>
          <t>Web</t>
        </is>
      </c>
      <c r="O6" s="407">
        <f>IF($D6="","",IF(OR($D6="Todo",$D6="To Do",$D6="In Progress",$D6="In Review"),"Open",IF($D6="Cancel","Cancel",IF($D6="Pending","Pending",IF($D6="Done","Done",$D6)))))</f>
        <v/>
      </c>
      <c r="P6" s="406" t="inlineStr">
        <is>
          <t>Fixed</t>
        </is>
      </c>
      <c r="Q6" s="263" t="n"/>
      <c r="R6" s="406" t="inlineStr">
        <is>
          <t>Server</t>
        </is>
      </c>
      <c r="S6" s="406" t="inlineStr">
        <is>
          <t>Security</t>
        </is>
      </c>
      <c r="T6" s="406" t="n">
        <v>1</v>
      </c>
      <c r="U6" s="406" t="n">
        <v>1</v>
      </c>
      <c r="V6" s="406" t="n">
        <v>1</v>
      </c>
      <c r="Y6" s="408" t="inlineStr">
        <is>
          <t>2.2 BA thiếu/ sai nghiệp vụ</t>
        </is>
      </c>
      <c r="AA6" s="408" t="inlineStr">
        <is>
          <t>② KHỐI QC PHÂN TÍCH (cột L–V, nền cam): QC tự điền, là nguồn cho biểu đồ sheet Report Test.</t>
        </is>
      </c>
    </row>
    <row r="7" ht="15.75" customHeight="1" s="225">
      <c r="A7" s="406" t="inlineStr">
        <is>
          <t>IP-106</t>
        </is>
      </c>
      <c r="B7" s="406" t="inlineStr">
        <is>
          <t>Bug</t>
        </is>
      </c>
      <c r="C7" s="263" t="inlineStr">
        <is>
          <t>Nút Lưu mờ không bấm được</t>
        </is>
      </c>
      <c r="D7" s="406" t="inlineStr">
        <is>
          <t>Cancel</t>
        </is>
      </c>
      <c r="E7" s="406" t="inlineStr">
        <is>
          <t>Low</t>
        </is>
      </c>
      <c r="F7" s="406" t="inlineStr">
        <is>
          <t>BinhPTH3</t>
        </is>
      </c>
      <c r="G7" s="406" t="inlineStr">
        <is>
          <t>ThuyenNT</t>
        </is>
      </c>
      <c r="H7" s="406" t="inlineStr">
        <is>
          <t>06/06/2026</t>
        </is>
      </c>
      <c r="I7" s="406" t="n"/>
      <c r="J7" s="406" t="inlineStr">
        <is>
          <t>v1.0</t>
        </is>
      </c>
      <c r="K7" s="406" t="inlineStr">
        <is>
          <t>R1</t>
        </is>
      </c>
      <c r="L7" s="406" t="n">
        <v>2</v>
      </c>
      <c r="M7" s="406" t="inlineStr">
        <is>
          <t>Function C</t>
        </is>
      </c>
      <c r="N7" s="406" t="inlineStr">
        <is>
          <t>Mobile</t>
        </is>
      </c>
      <c r="O7" s="407">
        <f>IF($D7="","",IF(OR($D7="Todo",$D7="To Do",$D7="In Progress",$D7="In Review"),"Open",IF($D7="Cancel","Cancel",IF($D7="Pending","Pending",IF($D7="Done","Done",$D7)))))</f>
        <v/>
      </c>
      <c r="P7" s="406" t="n"/>
      <c r="Q7" s="263" t="n"/>
      <c r="R7" s="406" t="inlineStr">
        <is>
          <t>Data</t>
        </is>
      </c>
      <c r="S7" s="406" t="inlineStr">
        <is>
          <t>Usability</t>
        </is>
      </c>
      <c r="T7" s="406" t="n">
        <v>4</v>
      </c>
      <c r="U7" s="406" t="n">
        <v>1</v>
      </c>
      <c r="V7" s="406" t="n"/>
      <c r="Y7" s="408" t="inlineStr">
        <is>
          <t>3.1 Dev không sửa do Ngoài scope dự án</t>
        </is>
      </c>
      <c r="AA7" s="408" t="inlineStr">
        <is>
          <t xml:space="preserve">   • L Severity (20=Critical,10=Major,5=Medium,2=Low) — map từ Priority/field Severity của Jira.</t>
        </is>
      </c>
    </row>
    <row r="8" ht="15.75" customHeight="1" s="225">
      <c r="A8" s="406" t="inlineStr">
        <is>
          <t>IP-107</t>
        </is>
      </c>
      <c r="B8" s="406" t="inlineStr">
        <is>
          <t>Bug</t>
        </is>
      </c>
      <c r="C8" s="263" t="inlineStr">
        <is>
          <t>Sai định dạng tiền tệ trên màn list</t>
        </is>
      </c>
      <c r="D8" s="406" t="inlineStr">
        <is>
          <t>Done</t>
        </is>
      </c>
      <c r="E8" s="406" t="inlineStr">
        <is>
          <t>Medium</t>
        </is>
      </c>
      <c r="F8" s="406" t="inlineStr">
        <is>
          <t>QuanVH15</t>
        </is>
      </c>
      <c r="G8" s="406" t="inlineStr">
        <is>
          <t>HaTTM</t>
        </is>
      </c>
      <c r="H8" s="406" t="inlineStr">
        <is>
          <t>07/06/2026</t>
        </is>
      </c>
      <c r="I8" s="406" t="inlineStr">
        <is>
          <t>10/06/2026</t>
        </is>
      </c>
      <c r="J8" s="406" t="inlineStr">
        <is>
          <t>v1.0</t>
        </is>
      </c>
      <c r="K8" s="406" t="inlineStr">
        <is>
          <t>R1</t>
        </is>
      </c>
      <c r="L8" s="406" t="n">
        <v>5</v>
      </c>
      <c r="M8" s="406" t="inlineStr">
        <is>
          <t>Function A</t>
        </is>
      </c>
      <c r="N8" s="406" t="inlineStr">
        <is>
          <t>Web</t>
        </is>
      </c>
      <c r="O8" s="407">
        <f>IF($D8="","",IF(OR($D8="Todo",$D8="To Do",$D8="In Progress",$D8="In Review"),"Open",IF($D8="Cancel","Cancel",IF($D8="Pending","Pending",IF($D8="Done","Done",$D8)))))</f>
        <v/>
      </c>
      <c r="P8" s="406" t="inlineStr">
        <is>
          <t>Fixed</t>
        </is>
      </c>
      <c r="Q8" s="263" t="n"/>
      <c r="R8" s="406" t="inlineStr">
        <is>
          <t>Interface</t>
        </is>
      </c>
      <c r="S8" s="406" t="inlineStr">
        <is>
          <t>Functionality</t>
        </is>
      </c>
      <c r="T8" s="406" t="n">
        <v>2</v>
      </c>
      <c r="U8" s="406" t="n">
        <v>1</v>
      </c>
      <c r="V8" s="406" t="n">
        <v>1</v>
      </c>
      <c r="Y8" s="408" t="inlineStr">
        <is>
          <t>3.2 Dev không fix do Phụ thuộc thông tin các bên liên quan ngoài ISC</t>
        </is>
      </c>
      <c r="AA8" s="408" t="inlineStr">
        <is>
          <t xml:space="preserve">   • O Bug Status: CÔNG THỨC tự tính từ D (To Do/In Progress/In Review→Open; Pending/Cancel/Done giữ nguyên). KHÔNG nhập tay.</t>
        </is>
      </c>
    </row>
    <row r="9" ht="15.75" customHeight="1" s="225">
      <c r="A9" s="406" t="inlineStr">
        <is>
          <t>IP-108</t>
        </is>
      </c>
      <c r="B9" s="406" t="inlineStr">
        <is>
          <t>Bug</t>
        </is>
      </c>
      <c r="C9" s="263" t="inlineStr">
        <is>
          <t>Tải trang chậm khi nhiều bản ghi</t>
        </is>
      </c>
      <c r="D9" s="406" t="inlineStr">
        <is>
          <t>To Do</t>
        </is>
      </c>
      <c r="E9" s="406" t="inlineStr">
        <is>
          <t>High</t>
        </is>
      </c>
      <c r="F9" s="406" t="inlineStr">
        <is>
          <t>QuanVH16</t>
        </is>
      </c>
      <c r="G9" s="406" t="inlineStr">
        <is>
          <t>HuyenNHK</t>
        </is>
      </c>
      <c r="H9" s="406" t="inlineStr">
        <is>
          <t>08/06/2026</t>
        </is>
      </c>
      <c r="I9" s="406" t="n"/>
      <c r="J9" s="406" t="inlineStr">
        <is>
          <t>v1.0</t>
        </is>
      </c>
      <c r="K9" s="406" t="inlineStr">
        <is>
          <t>R1</t>
        </is>
      </c>
      <c r="L9" s="406" t="n">
        <v>10</v>
      </c>
      <c r="M9" s="406" t="inlineStr">
        <is>
          <t>Function B</t>
        </is>
      </c>
      <c r="N9" s="406" t="inlineStr">
        <is>
          <t>Mobile</t>
        </is>
      </c>
      <c r="O9" s="407">
        <f>IF($D9="","",IF(OR($D9="Todo",$D9="To Do",$D9="In Progress",$D9="In Review"),"Open",IF($D9="Cancel","Cancel",IF($D9="Pending","Pending",IF($D9="Done","Done",$D9)))))</f>
        <v/>
      </c>
      <c r="P9" s="406" t="n"/>
      <c r="Q9" s="263" t="n"/>
      <c r="R9" s="406" t="inlineStr">
        <is>
          <t>Logic</t>
        </is>
      </c>
      <c r="S9" s="406" t="inlineStr">
        <is>
          <t>Performance</t>
        </is>
      </c>
      <c r="T9" s="406" t="n">
        <v>1</v>
      </c>
      <c r="U9" s="406" t="n">
        <v>1</v>
      </c>
      <c r="V9" s="406" t="n"/>
      <c r="Y9" s="408" t="inlineStr">
        <is>
          <t>3.3 Dev không fix do Điều kiện test không đáp ứng (Môi trường, cấu hình, dữ liệu, thiết bị,...)</t>
        </is>
      </c>
      <c r="AA9" s="408" t="inlineStr">
        <is>
          <t xml:space="preserve">   • U Round: round PHÁT HIỆN bug (1..5) — map từ Sprint (K). Là nguồn cho biểu đồ xu hướng theo Round.</t>
        </is>
      </c>
    </row>
    <row r="10" ht="15.75" customHeight="1" s="225">
      <c r="A10" s="406" t="inlineStr">
        <is>
          <t>IP-109</t>
        </is>
      </c>
      <c r="B10" s="406" t="inlineStr">
        <is>
          <t>Bug</t>
        </is>
      </c>
      <c r="C10" s="263" t="inlineStr">
        <is>
          <t>Mất dữ liệu khi submit 2 lần</t>
        </is>
      </c>
      <c r="D10" s="406" t="inlineStr">
        <is>
          <t>Done</t>
        </is>
      </c>
      <c r="E10" s="406" t="inlineStr">
        <is>
          <t>Highest</t>
        </is>
      </c>
      <c r="F10" s="406" t="inlineStr">
        <is>
          <t>ChuyenNT5</t>
        </is>
      </c>
      <c r="G10" s="406" t="inlineStr">
        <is>
          <t>PhucDN7</t>
        </is>
      </c>
      <c r="H10" s="406" t="inlineStr">
        <is>
          <t>09/06/2026</t>
        </is>
      </c>
      <c r="I10" s="406" t="inlineStr">
        <is>
          <t>16/06/2026</t>
        </is>
      </c>
      <c r="J10" s="406" t="inlineStr">
        <is>
          <t>v1.0</t>
        </is>
      </c>
      <c r="K10" s="406" t="inlineStr">
        <is>
          <t>R2</t>
        </is>
      </c>
      <c r="L10" s="406" t="n">
        <v>20</v>
      </c>
      <c r="M10" s="406" t="inlineStr">
        <is>
          <t>Function C</t>
        </is>
      </c>
      <c r="N10" s="406" t="inlineStr">
        <is>
          <t>Web</t>
        </is>
      </c>
      <c r="O10" s="407">
        <f>IF($D10="","",IF(OR($D10="Todo",$D10="To Do",$D10="In Progress",$D10="In Review"),"Open",IF($D10="Cancel","Cancel",IF($D10="Pending","Pending",IF($D10="Done","Done",$D10)))))</f>
        <v/>
      </c>
      <c r="P10" s="406" t="inlineStr">
        <is>
          <t>Fixed</t>
        </is>
      </c>
      <c r="Q10" s="263" t="n"/>
      <c r="R10" s="406" t="inlineStr">
        <is>
          <t>Server</t>
        </is>
      </c>
      <c r="S10" s="406" t="inlineStr">
        <is>
          <t>Functionality</t>
        </is>
      </c>
      <c r="T10" s="406" t="n">
        <v>1</v>
      </c>
      <c r="U10" s="406" t="n">
        <v>2</v>
      </c>
      <c r="V10" s="406" t="n">
        <v>2</v>
      </c>
      <c r="Y10" s="408" t="inlineStr">
        <is>
          <t>3.4 Dev miss thông tin</t>
        </is>
      </c>
      <c r="AA10" s="408" t="inlineStr">
        <is>
          <t xml:space="preserve">   • V Round closed bug: round ĐÓNG bug (1..5) — điền khi bug đã Done; để trống nếu chưa đóng.</t>
        </is>
      </c>
    </row>
    <row r="11" ht="15.75" customHeight="1" s="225">
      <c r="A11" s="406" t="inlineStr">
        <is>
          <t>IP-110</t>
        </is>
      </c>
      <c r="B11" s="406" t="inlineStr">
        <is>
          <t>Bug</t>
        </is>
      </c>
      <c r="C11" s="263" t="inlineStr">
        <is>
          <t>Hiển thị tiếng Việt lỗi font</t>
        </is>
      </c>
      <c r="D11" s="406" t="inlineStr">
        <is>
          <t>Pending</t>
        </is>
      </c>
      <c r="E11" s="406" t="inlineStr">
        <is>
          <t>Medium</t>
        </is>
      </c>
      <c r="F11" s="406" t="inlineStr">
        <is>
          <t>VanMTT3</t>
        </is>
      </c>
      <c r="G11" s="406" t="inlineStr">
        <is>
          <t>ThuyenNT</t>
        </is>
      </c>
      <c r="H11" s="406" t="inlineStr">
        <is>
          <t>10/06/2026</t>
        </is>
      </c>
      <c r="I11" s="406" t="n"/>
      <c r="J11" s="406" t="inlineStr">
        <is>
          <t>v1.0</t>
        </is>
      </c>
      <c r="K11" s="406" t="inlineStr">
        <is>
          <t>R2</t>
        </is>
      </c>
      <c r="L11" s="406" t="n">
        <v>5</v>
      </c>
      <c r="M11" s="406" t="inlineStr">
        <is>
          <t>Function A</t>
        </is>
      </c>
      <c r="N11" s="406" t="inlineStr">
        <is>
          <t>Mobile</t>
        </is>
      </c>
      <c r="O11" s="407">
        <f>IF($D11="","",IF(OR($D11="Todo",$D11="To Do",$D11="In Progress",$D11="In Review"),"Open",IF($D11="Cancel","Cancel",IF($D11="Pending","Pending",IF($D11="Done","Done",$D11)))))</f>
        <v/>
      </c>
      <c r="P11" s="406" t="inlineStr">
        <is>
          <t>Won't fix</t>
        </is>
      </c>
      <c r="Q11" s="263" t="inlineStr">
        <is>
          <t>1.3 QC không tái hiện được Bug</t>
        </is>
      </c>
      <c r="R11" s="406" t="inlineStr">
        <is>
          <t>Other</t>
        </is>
      </c>
      <c r="S11" s="406" t="inlineStr">
        <is>
          <t>Usability</t>
        </is>
      </c>
      <c r="T11" s="406" t="n">
        <v>5</v>
      </c>
      <c r="U11" s="406" t="n">
        <v>2</v>
      </c>
      <c r="V11" s="406" t="n"/>
      <c r="Y11" s="408" t="inlineStr">
        <is>
          <t>4.1 PM/PMO CR, QC không nhận thông tin</t>
        </is>
      </c>
      <c r="AA11" s="408" t="inlineStr">
        <is>
          <t xml:space="preserve">   • Q Won't Fix Reason: chọn theo danh mục (mã + lý do) ở cột Y.</t>
        </is>
      </c>
    </row>
    <row r="12" ht="15.75" customHeight="1" s="225">
      <c r="A12" s="406" t="inlineStr">
        <is>
          <t>IP-111</t>
        </is>
      </c>
      <c r="B12" s="406" t="inlineStr">
        <is>
          <t>Bug</t>
        </is>
      </c>
      <c r="C12" s="263" t="inlineStr">
        <is>
          <t>Tính tổng sai khi có chiết khấu</t>
        </is>
      </c>
      <c r="D12" s="406" t="inlineStr">
        <is>
          <t>Done</t>
        </is>
      </c>
      <c r="E12" s="406" t="inlineStr">
        <is>
          <t>High</t>
        </is>
      </c>
      <c r="F12" s="406" t="inlineStr">
        <is>
          <t>BinhPTH3</t>
        </is>
      </c>
      <c r="G12" s="406" t="inlineStr">
        <is>
          <t>HaTTM</t>
        </is>
      </c>
      <c r="H12" s="406" t="inlineStr">
        <is>
          <t>11/06/2026</t>
        </is>
      </c>
      <c r="I12" s="406" t="inlineStr">
        <is>
          <t>17/06/2026</t>
        </is>
      </c>
      <c r="J12" s="406" t="inlineStr">
        <is>
          <t>v1.0</t>
        </is>
      </c>
      <c r="K12" s="406" t="inlineStr">
        <is>
          <t>R2</t>
        </is>
      </c>
      <c r="L12" s="406" t="n">
        <v>10</v>
      </c>
      <c r="M12" s="406" t="inlineStr">
        <is>
          <t>Function B</t>
        </is>
      </c>
      <c r="N12" s="406" t="inlineStr">
        <is>
          <t>Web</t>
        </is>
      </c>
      <c r="O12" s="407">
        <f>IF($D12="","",IF(OR($D12="Todo",$D12="To Do",$D12="In Progress",$D12="In Review"),"Open",IF($D12="Cancel","Cancel",IF($D12="Pending","Pending",IF($D12="Done","Done",$D12)))))</f>
        <v/>
      </c>
      <c r="P12" s="406" t="inlineStr">
        <is>
          <t>Fixed</t>
        </is>
      </c>
      <c r="Q12" s="263" t="n"/>
      <c r="R12" s="406" t="inlineStr">
        <is>
          <t>Logic</t>
        </is>
      </c>
      <c r="S12" s="406" t="inlineStr">
        <is>
          <t>Functionality</t>
        </is>
      </c>
      <c r="T12" s="406" t="n">
        <v>1</v>
      </c>
      <c r="U12" s="406" t="n">
        <v>2</v>
      </c>
      <c r="V12" s="406" t="n">
        <v>2</v>
      </c>
      <c r="AA12" s="408" t="inlineStr">
        <is>
          <t>③ 13 dòng mẫu nền vàng/cam: xoá khi dùng dữ liệu thật. Chỉ dán vào khối Jira, khối QC điền tay.</t>
        </is>
      </c>
    </row>
    <row r="13" ht="15.75" customHeight="1" s="225">
      <c r="A13" s="406" t="inlineStr">
        <is>
          <t>IP-112</t>
        </is>
      </c>
      <c r="B13" s="406" t="inlineStr">
        <is>
          <t>Bug</t>
        </is>
      </c>
      <c r="C13" s="263" t="inlineStr">
        <is>
          <t>Log không ghi nhận thao tác xóa</t>
        </is>
      </c>
      <c r="D13" s="406" t="inlineStr">
        <is>
          <t>In Progress</t>
        </is>
      </c>
      <c r="E13" s="406" t="inlineStr">
        <is>
          <t>Low</t>
        </is>
      </c>
      <c r="F13" s="406" t="inlineStr">
        <is>
          <t>QuanVH15</t>
        </is>
      </c>
      <c r="G13" s="406" t="inlineStr">
        <is>
          <t>HuyenNHK</t>
        </is>
      </c>
      <c r="H13" s="406" t="inlineStr">
        <is>
          <t>12/06/2026</t>
        </is>
      </c>
      <c r="I13" s="406" t="n"/>
      <c r="J13" s="406" t="inlineStr">
        <is>
          <t>v1.0</t>
        </is>
      </c>
      <c r="K13" s="406" t="inlineStr">
        <is>
          <t>R3</t>
        </is>
      </c>
      <c r="L13" s="406" t="n">
        <v>2</v>
      </c>
      <c r="M13" s="406" t="inlineStr">
        <is>
          <t>Function C</t>
        </is>
      </c>
      <c r="N13" s="406" t="inlineStr">
        <is>
          <t>Mobile</t>
        </is>
      </c>
      <c r="O13" s="407">
        <f>IF($D13="","",IF(OR($D13="Todo",$D13="To Do",$D13="In Progress",$D13="In Review"),"Open",IF($D13="Cancel","Cancel",IF($D13="Pending","Pending",IF($D13="Done","Done",$D13)))))</f>
        <v/>
      </c>
      <c r="P13" s="406" t="n"/>
      <c r="Q13" s="263" t="n"/>
      <c r="R13" s="406" t="inlineStr">
        <is>
          <t>Data</t>
        </is>
      </c>
      <c r="S13" s="406" t="inlineStr">
        <is>
          <t>Serviceability</t>
        </is>
      </c>
      <c r="T13" s="406" t="n">
        <v>2</v>
      </c>
      <c r="U13" s="406" t="n">
        <v>3</v>
      </c>
      <c r="V13" s="406" t="n"/>
      <c r="AA13" s="408" t="inlineStr">
        <is>
          <t>Ghi chú: mapping theo cấu trúc export chuẩn của Jira; nếu dự án dùng custom field (Severity, Sprint) có thể chỉnh cột tương ứng.</t>
        </is>
      </c>
    </row>
    <row r="14" ht="15.75" customHeight="1" s="225">
      <c r="A14" s="406" t="inlineStr">
        <is>
          <t>IP-113</t>
        </is>
      </c>
      <c r="B14" s="406" t="inlineStr">
        <is>
          <t>Bug</t>
        </is>
      </c>
      <c r="C14" s="263" t="inlineStr">
        <is>
          <t>Token không hết hạn sau khi logout</t>
        </is>
      </c>
      <c r="D14" s="406" t="inlineStr">
        <is>
          <t>Done</t>
        </is>
      </c>
      <c r="E14" s="406" t="inlineStr">
        <is>
          <t>High</t>
        </is>
      </c>
      <c r="F14" s="406" t="inlineStr">
        <is>
          <t>QuanVH16</t>
        </is>
      </c>
      <c r="G14" s="406" t="inlineStr">
        <is>
          <t>PhucDN7</t>
        </is>
      </c>
      <c r="H14" s="406" t="inlineStr">
        <is>
          <t>13/06/2026</t>
        </is>
      </c>
      <c r="I14" s="406" t="inlineStr">
        <is>
          <t>18/06/2026</t>
        </is>
      </c>
      <c r="J14" s="406" t="inlineStr">
        <is>
          <t>v1.0</t>
        </is>
      </c>
      <c r="K14" s="406" t="inlineStr">
        <is>
          <t>R3</t>
        </is>
      </c>
      <c r="L14" s="406" t="n">
        <v>10</v>
      </c>
      <c r="M14" s="406" t="inlineStr">
        <is>
          <t>Function A</t>
        </is>
      </c>
      <c r="N14" s="406" t="inlineStr">
        <is>
          <t>Web</t>
        </is>
      </c>
      <c r="O14" s="407">
        <f>IF($D14="","",IF(OR($D14="Todo",$D14="To Do",$D14="In Progress",$D14="In Review"),"Open",IF($D14="Cancel","Cancel",IF($D14="Pending","Pending",IF($D14="Done","Done",$D14)))))</f>
        <v/>
      </c>
      <c r="P14" s="406" t="inlineStr">
        <is>
          <t>Fixed</t>
        </is>
      </c>
      <c r="Q14" s="263" t="n"/>
      <c r="R14" s="406" t="inlineStr">
        <is>
          <t>Interface</t>
        </is>
      </c>
      <c r="S14" s="406" t="inlineStr">
        <is>
          <t>Security</t>
        </is>
      </c>
      <c r="T14" s="406" t="n">
        <v>1</v>
      </c>
      <c r="U14" s="406" t="n">
        <v>3</v>
      </c>
      <c r="V14" s="406" t="n">
        <v>3</v>
      </c>
    </row>
    <row r="15" ht="15" customHeight="1" s="225">
      <c r="O15" s="407">
        <f>IF($D15="","",IF(OR($D15="Todo",$D15="To Do",$D15="In Progress",$D15="In Review"),"Open",IF($D15="Cancel","Cancel",IF($D15="Pending","Pending",IF($D15="Done","Done",$D15)))))</f>
        <v/>
      </c>
    </row>
    <row r="16" ht="15" customHeight="1" s="225">
      <c r="O16" s="407">
        <f>IF($D16="","",IF(OR($D16="Todo",$D16="To Do",$D16="In Progress",$D16="In Review"),"Open",IF($D16="Cancel","Cancel",IF($D16="Pending","Pending",IF($D16="Done","Done",$D16)))))</f>
        <v/>
      </c>
    </row>
    <row r="17" ht="15" customHeight="1" s="225">
      <c r="O17" s="407">
        <f>IF($D17="","",IF(OR($D17="Todo",$D17="To Do",$D17="In Progress",$D17="In Review"),"Open",IF($D17="Cancel","Cancel",IF($D17="Pending","Pending",IF($D17="Done","Done",$D17)))))</f>
        <v/>
      </c>
    </row>
    <row r="18" ht="15" customHeight="1" s="225">
      <c r="O18" s="407">
        <f>IF($D18="","",IF(OR($D18="Todo",$D18="To Do",$D18="In Progress",$D18="In Review"),"Open",IF($D18="Cancel","Cancel",IF($D18="Pending","Pending",IF($D18="Done","Done",$D18)))))</f>
        <v/>
      </c>
    </row>
    <row r="19" ht="15" customHeight="1" s="225">
      <c r="O19" s="407">
        <f>IF($D19="","",IF(OR($D19="Todo",$D19="To Do",$D19="In Progress",$D19="In Review"),"Open",IF($D19="Cancel","Cancel",IF($D19="Pending","Pending",IF($D19="Done","Done",$D19)))))</f>
        <v/>
      </c>
    </row>
    <row r="20" ht="15" customHeight="1" s="225">
      <c r="O20" s="407">
        <f>IF($D20="","",IF(OR($D20="Todo",$D20="To Do",$D20="In Progress",$D20="In Review"),"Open",IF($D20="Cancel","Cancel",IF($D20="Pending","Pending",IF($D20="Done","Done",$D20)))))</f>
        <v/>
      </c>
    </row>
    <row r="21" ht="15.75" customHeight="1" s="225">
      <c r="O21" s="407">
        <f>IF($D21="","",IF(OR($D21="Todo",$D21="To Do",$D21="In Progress",$D21="In Review"),"Open",IF($D21="Cancel","Cancel",IF($D21="Pending","Pending",IF($D21="Done","Done",$D21)))))</f>
        <v/>
      </c>
    </row>
    <row r="22" ht="15.75" customHeight="1" s="225">
      <c r="O22" s="407">
        <f>IF($D22="","",IF(OR($D22="Todo",$D22="To Do",$D22="In Progress",$D22="In Review"),"Open",IF($D22="Cancel","Cancel",IF($D22="Pending","Pending",IF($D22="Done","Done",$D22)))))</f>
        <v/>
      </c>
    </row>
    <row r="23" ht="15.75" customHeight="1" s="225">
      <c r="O23" s="407">
        <f>IF($D23="","",IF(OR($D23="Todo",$D23="To Do",$D23="In Progress",$D23="In Review"),"Open",IF($D23="Cancel","Cancel",IF($D23="Pending","Pending",IF($D23="Done","Done",$D23)))))</f>
        <v/>
      </c>
    </row>
    <row r="24" ht="15.75" customHeight="1" s="225">
      <c r="O24" s="407">
        <f>IF($D24="","",IF(OR($D24="Todo",$D24="To Do",$D24="In Progress",$D24="In Review"),"Open",IF($D24="Cancel","Cancel",IF($D24="Pending","Pending",IF($D24="Done","Done",$D24)))))</f>
        <v/>
      </c>
    </row>
    <row r="25" ht="15.75" customHeight="1" s="225">
      <c r="O25" s="407">
        <f>IF($D25="","",IF(OR($D25="Todo",$D25="To Do",$D25="In Progress",$D25="In Review"),"Open",IF($D25="Cancel","Cancel",IF($D25="Pending","Pending",IF($D25="Done","Done",$D25)))))</f>
        <v/>
      </c>
    </row>
    <row r="26" ht="15.75" customHeight="1" s="225">
      <c r="O26" s="407">
        <f>IF($D26="","",IF(OR($D26="Todo",$D26="To Do",$D26="In Progress",$D26="In Review"),"Open",IF($D26="Cancel","Cancel",IF($D26="Pending","Pending",IF($D26="Done","Done",$D26)))))</f>
        <v/>
      </c>
    </row>
    <row r="27" ht="15.75" customHeight="1" s="225">
      <c r="O27" s="407">
        <f>IF($D27="","",IF(OR($D27="Todo",$D27="To Do",$D27="In Progress",$D27="In Review"),"Open",IF($D27="Cancel","Cancel",IF($D27="Pending","Pending",IF($D27="Done","Done",$D27)))))</f>
        <v/>
      </c>
    </row>
    <row r="28" ht="15.75" customHeight="1" s="225">
      <c r="O28" s="407">
        <f>IF($D28="","",IF(OR($D28="Todo",$D28="To Do",$D28="In Progress",$D28="In Review"),"Open",IF($D28="Cancel","Cancel",IF($D28="Pending","Pending",IF($D28="Done","Done",$D28)))))</f>
        <v/>
      </c>
    </row>
    <row r="29" ht="15.75" customHeight="1" s="225">
      <c r="O29" s="407">
        <f>IF($D29="","",IF(OR($D29="Todo",$D29="To Do",$D29="In Progress",$D29="In Review"),"Open",IF($D29="Cancel","Cancel",IF($D29="Pending","Pending",IF($D29="Done","Done",$D29)))))</f>
        <v/>
      </c>
    </row>
    <row r="30" ht="15.75" customHeight="1" s="225">
      <c r="O30" s="407">
        <f>IF($D30="","",IF(OR($D30="Todo",$D30="To Do",$D30="In Progress",$D30="In Review"),"Open",IF($D30="Cancel","Cancel",IF($D30="Pending","Pending",IF($D30="Done","Done",$D30)))))</f>
        <v/>
      </c>
    </row>
    <row r="31" ht="15.75" customHeight="1" s="225">
      <c r="O31" s="407">
        <f>IF($D31="","",IF(OR($D31="Todo",$D31="To Do",$D31="In Progress",$D31="In Review"),"Open",IF($D31="Cancel","Cancel",IF($D31="Pending","Pending",IF($D31="Done","Done",$D31)))))</f>
        <v/>
      </c>
    </row>
    <row r="32" ht="15.75" customHeight="1" s="225">
      <c r="O32" s="407">
        <f>IF($D32="","",IF(OR($D32="Todo",$D32="To Do",$D32="In Progress",$D32="In Review"),"Open",IF($D32="Cancel","Cancel",IF($D32="Pending","Pending",IF($D32="Done","Done",$D32)))))</f>
        <v/>
      </c>
    </row>
    <row r="33" ht="15.75" customHeight="1" s="225">
      <c r="O33" s="407">
        <f>IF($D33="","",IF(OR($D33="Todo",$D33="To Do",$D33="In Progress",$D33="In Review"),"Open",IF($D33="Cancel","Cancel",IF($D33="Pending","Pending",IF($D33="Done","Done",$D33)))))</f>
        <v/>
      </c>
    </row>
    <row r="34" ht="15.75" customHeight="1" s="225">
      <c r="O34" s="407">
        <f>IF($D34="","",IF(OR($D34="Todo",$D34="To Do",$D34="In Progress",$D34="In Review"),"Open",IF($D34="Cancel","Cancel",IF($D34="Pending","Pending",IF($D34="Done","Done",$D34)))))</f>
        <v/>
      </c>
    </row>
    <row r="35" ht="15.75" customHeight="1" s="225">
      <c r="O35" s="407">
        <f>IF($D35="","",IF(OR($D35="Todo",$D35="To Do",$D35="In Progress",$D35="In Review"),"Open",IF($D35="Cancel","Cancel",IF($D35="Pending","Pending",IF($D35="Done","Done",$D35)))))</f>
        <v/>
      </c>
    </row>
    <row r="36" ht="15.75" customHeight="1" s="225">
      <c r="O36" s="407">
        <f>IF($D36="","",IF(OR($D36="Todo",$D36="To Do",$D36="In Progress",$D36="In Review"),"Open",IF($D36="Cancel","Cancel",IF($D36="Pending","Pending",IF($D36="Done","Done",$D36)))))</f>
        <v/>
      </c>
    </row>
    <row r="37" ht="15.75" customHeight="1" s="225">
      <c r="O37" s="407">
        <f>IF($D37="","",IF(OR($D37="Todo",$D37="To Do",$D37="In Progress",$D37="In Review"),"Open",IF($D37="Cancel","Cancel",IF($D37="Pending","Pending",IF($D37="Done","Done",$D37)))))</f>
        <v/>
      </c>
    </row>
    <row r="38" ht="15.75" customHeight="1" s="225">
      <c r="O38" s="407">
        <f>IF($D38="","",IF(OR($D38="Todo",$D38="To Do",$D38="In Progress",$D38="In Review"),"Open",IF($D38="Cancel","Cancel",IF($D38="Pending","Pending",IF($D38="Done","Done",$D38)))))</f>
        <v/>
      </c>
    </row>
    <row r="39" ht="15.75" customHeight="1" s="225">
      <c r="O39" s="407">
        <f>IF($D39="","",IF(OR($D39="Todo",$D39="To Do",$D39="In Progress",$D39="In Review"),"Open",IF($D39="Cancel","Cancel",IF($D39="Pending","Pending",IF($D39="Done","Done",$D39)))))</f>
        <v/>
      </c>
    </row>
    <row r="40" ht="15.75" customHeight="1" s="225">
      <c r="O40" s="407">
        <f>IF($D40="","",IF(OR($D40="Todo",$D40="To Do",$D40="In Progress",$D40="In Review"),"Open",IF($D40="Cancel","Cancel",IF($D40="Pending","Pending",IF($D40="Done","Done",$D40)))))</f>
        <v/>
      </c>
    </row>
    <row r="41" ht="15.75" customHeight="1" s="225">
      <c r="O41" s="407">
        <f>IF($D41="","",IF(OR($D41="Todo",$D41="To Do",$D41="In Progress",$D41="In Review"),"Open",IF($D41="Cancel","Cancel",IF($D41="Pending","Pending",IF($D41="Done","Done",$D41)))))</f>
        <v/>
      </c>
    </row>
    <row r="42" ht="15.75" customHeight="1" s="225">
      <c r="O42" s="407">
        <f>IF($D42="","",IF(OR($D42="Todo",$D42="To Do",$D42="In Progress",$D42="In Review"),"Open",IF($D42="Cancel","Cancel",IF($D42="Pending","Pending",IF($D42="Done","Done",$D42)))))</f>
        <v/>
      </c>
    </row>
    <row r="43" ht="15.75" customHeight="1" s="225">
      <c r="O43" s="407">
        <f>IF($D43="","",IF(OR($D43="Todo",$D43="To Do",$D43="In Progress",$D43="In Review"),"Open",IF($D43="Cancel","Cancel",IF($D43="Pending","Pending",IF($D43="Done","Done",$D43)))))</f>
        <v/>
      </c>
    </row>
    <row r="44" ht="15.75" customHeight="1" s="225">
      <c r="O44" s="407">
        <f>IF($D44="","",IF(OR($D44="Todo",$D44="To Do",$D44="In Progress",$D44="In Review"),"Open",IF($D44="Cancel","Cancel",IF($D44="Pending","Pending",IF($D44="Done","Done",$D44)))))</f>
        <v/>
      </c>
    </row>
    <row r="45" ht="15.75" customHeight="1" s="225">
      <c r="O45" s="407">
        <f>IF($D45="","",IF(OR($D45="Todo",$D45="To Do",$D45="In Progress",$D45="In Review"),"Open",IF($D45="Cancel","Cancel",IF($D45="Pending","Pending",IF($D45="Done","Done",$D45)))))</f>
        <v/>
      </c>
    </row>
    <row r="46" ht="15.75" customHeight="1" s="225">
      <c r="O46" s="407">
        <f>IF($D46="","",IF(OR($D46="Todo",$D46="To Do",$D46="In Progress",$D46="In Review"),"Open",IF($D46="Cancel","Cancel",IF($D46="Pending","Pending",IF($D46="Done","Done",$D46)))))</f>
        <v/>
      </c>
    </row>
    <row r="47" ht="15.75" customHeight="1" s="225">
      <c r="O47" s="407">
        <f>IF($D47="","",IF(OR($D47="Todo",$D47="To Do",$D47="In Progress",$D47="In Review"),"Open",IF($D47="Cancel","Cancel",IF($D47="Pending","Pending",IF($D47="Done","Done",$D47)))))</f>
        <v/>
      </c>
    </row>
    <row r="48" ht="15.75" customHeight="1" s="225">
      <c r="O48" s="407">
        <f>IF($D48="","",IF(OR($D48="Todo",$D48="To Do",$D48="In Progress",$D48="In Review"),"Open",IF($D48="Cancel","Cancel",IF($D48="Pending","Pending",IF($D48="Done","Done",$D48)))))</f>
        <v/>
      </c>
    </row>
    <row r="49" ht="15.75" customHeight="1" s="225">
      <c r="O49" s="407">
        <f>IF($D49="","",IF(OR($D49="Todo",$D49="To Do",$D49="In Progress",$D49="In Review"),"Open",IF($D49="Cancel","Cancel",IF($D49="Pending","Pending",IF($D49="Done","Done",$D49)))))</f>
        <v/>
      </c>
    </row>
    <row r="50" ht="15.75" customHeight="1" s="225">
      <c r="O50" s="407">
        <f>IF($D50="","",IF(OR($D50="Todo",$D50="To Do",$D50="In Progress",$D50="In Review"),"Open",IF($D50="Cancel","Cancel",IF($D50="Pending","Pending",IF($D50="Done","Done",$D50)))))</f>
        <v/>
      </c>
    </row>
    <row r="51" ht="15.75" customHeight="1" s="225">
      <c r="O51" s="407">
        <f>IF($D51="","",IF(OR($D51="Todo",$D51="To Do",$D51="In Progress",$D51="In Review"),"Open",IF($D51="Cancel","Cancel",IF($D51="Pending","Pending",IF($D51="Done","Done",$D51)))))</f>
        <v/>
      </c>
    </row>
    <row r="52" ht="15.75" customHeight="1" s="225">
      <c r="O52" s="407">
        <f>IF($D52="","",IF(OR($D52="Todo",$D52="To Do",$D52="In Progress",$D52="In Review"),"Open",IF($D52="Cancel","Cancel",IF($D52="Pending","Pending",IF($D52="Done","Done",$D52)))))</f>
        <v/>
      </c>
    </row>
    <row r="53" ht="15.75" customHeight="1" s="225">
      <c r="O53" s="407">
        <f>IF($D53="","",IF(OR($D53="Todo",$D53="To Do",$D53="In Progress",$D53="In Review"),"Open",IF($D53="Cancel","Cancel",IF($D53="Pending","Pending",IF($D53="Done","Done",$D53)))))</f>
        <v/>
      </c>
    </row>
    <row r="54" ht="15.75" customHeight="1" s="225">
      <c r="O54" s="407">
        <f>IF($D54="","",IF(OR($D54="Todo",$D54="To Do",$D54="In Progress",$D54="In Review"),"Open",IF($D54="Cancel","Cancel",IF($D54="Pending","Pending",IF($D54="Done","Done",$D54)))))</f>
        <v/>
      </c>
    </row>
    <row r="55" ht="15.75" customHeight="1" s="225">
      <c r="O55" s="407">
        <f>IF($D55="","",IF(OR($D55="Todo",$D55="To Do",$D55="In Progress",$D55="In Review"),"Open",IF($D55="Cancel","Cancel",IF($D55="Pending","Pending",IF($D55="Done","Done",$D55)))))</f>
        <v/>
      </c>
    </row>
    <row r="56" ht="15.75" customHeight="1" s="225">
      <c r="O56" s="407">
        <f>IF($D56="","",IF(OR($D56="Todo",$D56="To Do",$D56="In Progress",$D56="In Review"),"Open",IF($D56="Cancel","Cancel",IF($D56="Pending","Pending",IF($D56="Done","Done",$D56)))))</f>
        <v/>
      </c>
    </row>
    <row r="57" ht="15.75" customHeight="1" s="225">
      <c r="O57" s="407">
        <f>IF($D57="","",IF(OR($D57="Todo",$D57="To Do",$D57="In Progress",$D57="In Review"),"Open",IF($D57="Cancel","Cancel",IF($D57="Pending","Pending",IF($D57="Done","Done",$D57)))))</f>
        <v/>
      </c>
    </row>
    <row r="58" ht="15.75" customHeight="1" s="225">
      <c r="O58" s="407">
        <f>IF($D58="","",IF(OR($D58="Todo",$D58="To Do",$D58="In Progress",$D58="In Review"),"Open",IF($D58="Cancel","Cancel",IF($D58="Pending","Pending",IF($D58="Done","Done",$D58)))))</f>
        <v/>
      </c>
    </row>
    <row r="59" ht="15.75" customHeight="1" s="225">
      <c r="O59" s="407">
        <f>IF($D59="","",IF(OR($D59="Todo",$D59="To Do",$D59="In Progress",$D59="In Review"),"Open",IF($D59="Cancel","Cancel",IF($D59="Pending","Pending",IF($D59="Done","Done",$D59)))))</f>
        <v/>
      </c>
    </row>
    <row r="60" ht="15.75" customHeight="1" s="225">
      <c r="O60" s="407">
        <f>IF($D60="","",IF(OR($D60="Todo",$D60="To Do",$D60="In Progress",$D60="In Review"),"Open",IF($D60="Cancel","Cancel",IF($D60="Pending","Pending",IF($D60="Done","Done",$D60)))))</f>
        <v/>
      </c>
    </row>
    <row r="61" ht="15.75" customHeight="1" s="225">
      <c r="O61" s="407">
        <f>IF($D61="","",IF(OR($D61="Todo",$D61="To Do",$D61="In Progress",$D61="In Review"),"Open",IF($D61="Cancel","Cancel",IF($D61="Pending","Pending",IF($D61="Done","Done",$D61)))))</f>
        <v/>
      </c>
    </row>
    <row r="62" ht="15.75" customHeight="1" s="225">
      <c r="O62" s="407">
        <f>IF($D62="","",IF(OR($D62="Todo",$D62="To Do",$D62="In Progress",$D62="In Review"),"Open",IF($D62="Cancel","Cancel",IF($D62="Pending","Pending",IF($D62="Done","Done",$D62)))))</f>
        <v/>
      </c>
    </row>
    <row r="63" ht="15.75" customHeight="1" s="225">
      <c r="O63" s="407">
        <f>IF($D63="","",IF(OR($D63="Todo",$D63="To Do",$D63="In Progress",$D63="In Review"),"Open",IF($D63="Cancel","Cancel",IF($D63="Pending","Pending",IF($D63="Done","Done",$D63)))))</f>
        <v/>
      </c>
    </row>
    <row r="64" ht="15.75" customHeight="1" s="225">
      <c r="O64" s="407">
        <f>IF($D64="","",IF(OR($D64="Todo",$D64="To Do",$D64="In Progress",$D64="In Review"),"Open",IF($D64="Cancel","Cancel",IF($D64="Pending","Pending",IF($D64="Done","Done",$D64)))))</f>
        <v/>
      </c>
    </row>
    <row r="65" ht="15.75" customHeight="1" s="225">
      <c r="O65" s="407">
        <f>IF($D65="","",IF(OR($D65="Todo",$D65="To Do",$D65="In Progress",$D65="In Review"),"Open",IF($D65="Cancel","Cancel",IF($D65="Pending","Pending",IF($D65="Done","Done",$D65)))))</f>
        <v/>
      </c>
    </row>
    <row r="66" ht="15.75" customHeight="1" s="225">
      <c r="O66" s="407">
        <f>IF($D66="","",IF(OR($D66="Todo",$D66="To Do",$D66="In Progress",$D66="In Review"),"Open",IF($D66="Cancel","Cancel",IF($D66="Pending","Pending",IF($D66="Done","Done",$D66)))))</f>
        <v/>
      </c>
    </row>
    <row r="67" ht="15.75" customHeight="1" s="225">
      <c r="O67" s="407">
        <f>IF($D67="","",IF(OR($D67="Todo",$D67="To Do",$D67="In Progress",$D67="In Review"),"Open",IF($D67="Cancel","Cancel",IF($D67="Pending","Pending",IF($D67="Done","Done",$D67)))))</f>
        <v/>
      </c>
    </row>
    <row r="68" ht="15.75" customHeight="1" s="225">
      <c r="O68" s="407">
        <f>IF($D68="","",IF(OR($D68="Todo",$D68="To Do",$D68="In Progress",$D68="In Review"),"Open",IF($D68="Cancel","Cancel",IF($D68="Pending","Pending",IF($D68="Done","Done",$D68)))))</f>
        <v/>
      </c>
    </row>
    <row r="69" ht="15.75" customHeight="1" s="225">
      <c r="O69" s="407">
        <f>IF($D69="","",IF(OR($D69="Todo",$D69="To Do",$D69="In Progress",$D69="In Review"),"Open",IF($D69="Cancel","Cancel",IF($D69="Pending","Pending",IF($D69="Done","Done",$D69)))))</f>
        <v/>
      </c>
    </row>
    <row r="70" ht="15.75" customHeight="1" s="225">
      <c r="O70" s="407">
        <f>IF($D70="","",IF(OR($D70="Todo",$D70="To Do",$D70="In Progress",$D70="In Review"),"Open",IF($D70="Cancel","Cancel",IF($D70="Pending","Pending",IF($D70="Done","Done",$D70)))))</f>
        <v/>
      </c>
    </row>
    <row r="71" ht="15.75" customHeight="1" s="225">
      <c r="O71" s="407">
        <f>IF($D71="","",IF(OR($D71="Todo",$D71="To Do",$D71="In Progress",$D71="In Review"),"Open",IF($D71="Cancel","Cancel",IF($D71="Pending","Pending",IF($D71="Done","Done",$D71)))))</f>
        <v/>
      </c>
    </row>
    <row r="72" ht="15.75" customHeight="1" s="225">
      <c r="O72" s="407">
        <f>IF($D72="","",IF(OR($D72="Todo",$D72="To Do",$D72="In Progress",$D72="In Review"),"Open",IF($D72="Cancel","Cancel",IF($D72="Pending","Pending",IF($D72="Done","Done",$D72)))))</f>
        <v/>
      </c>
    </row>
    <row r="73" ht="15.75" customHeight="1" s="225">
      <c r="O73" s="407">
        <f>IF($D73="","",IF(OR($D73="Todo",$D73="To Do",$D73="In Progress",$D73="In Review"),"Open",IF($D73="Cancel","Cancel",IF($D73="Pending","Pending",IF($D73="Done","Done",$D73)))))</f>
        <v/>
      </c>
    </row>
    <row r="74" ht="15.75" customHeight="1" s="225">
      <c r="O74" s="407">
        <f>IF($D74="","",IF(OR($D74="Todo",$D74="To Do",$D74="In Progress",$D74="In Review"),"Open",IF($D74="Cancel","Cancel",IF($D74="Pending","Pending",IF($D74="Done","Done",$D74)))))</f>
        <v/>
      </c>
    </row>
    <row r="75" ht="15.75" customHeight="1" s="225">
      <c r="O75" s="407">
        <f>IF($D75="","",IF(OR($D75="Todo",$D75="To Do",$D75="In Progress",$D75="In Review"),"Open",IF($D75="Cancel","Cancel",IF($D75="Pending","Pending",IF($D75="Done","Done",$D75)))))</f>
        <v/>
      </c>
    </row>
    <row r="76" ht="15.75" customHeight="1" s="225">
      <c r="O76" s="407">
        <f>IF($D76="","",IF(OR($D76="Todo",$D76="To Do",$D76="In Progress",$D76="In Review"),"Open",IF($D76="Cancel","Cancel",IF($D76="Pending","Pending",IF($D76="Done","Done",$D76)))))</f>
        <v/>
      </c>
    </row>
    <row r="77" ht="15.75" customHeight="1" s="225">
      <c r="O77" s="407">
        <f>IF($D77="","",IF(OR($D77="Todo",$D77="To Do",$D77="In Progress",$D77="In Review"),"Open",IF($D77="Cancel","Cancel",IF($D77="Pending","Pending",IF($D77="Done","Done",$D77)))))</f>
        <v/>
      </c>
    </row>
    <row r="78" ht="15.75" customHeight="1" s="225">
      <c r="O78" s="407">
        <f>IF($D78="","",IF(OR($D78="Todo",$D78="To Do",$D78="In Progress",$D78="In Review"),"Open",IF($D78="Cancel","Cancel",IF($D78="Pending","Pending",IF($D78="Done","Done",$D78)))))</f>
        <v/>
      </c>
    </row>
    <row r="79" ht="15.75" customHeight="1" s="225">
      <c r="O79" s="407">
        <f>IF($D79="","",IF(OR($D79="Todo",$D79="To Do",$D79="In Progress",$D79="In Review"),"Open",IF($D79="Cancel","Cancel",IF($D79="Pending","Pending",IF($D79="Done","Done",$D79)))))</f>
        <v/>
      </c>
    </row>
    <row r="80" ht="15.75" customHeight="1" s="225">
      <c r="O80" s="407">
        <f>IF($D80="","",IF(OR($D80="Todo",$D80="To Do",$D80="In Progress",$D80="In Review"),"Open",IF($D80="Cancel","Cancel",IF($D80="Pending","Pending",IF($D80="Done","Done",$D80)))))</f>
        <v/>
      </c>
    </row>
    <row r="81" ht="15.75" customHeight="1" s="225">
      <c r="O81" s="407">
        <f>IF($D81="","",IF(OR($D81="Todo",$D81="To Do",$D81="In Progress",$D81="In Review"),"Open",IF($D81="Cancel","Cancel",IF($D81="Pending","Pending",IF($D81="Done","Done",$D81)))))</f>
        <v/>
      </c>
    </row>
    <row r="82" ht="15.75" customHeight="1" s="225">
      <c r="O82" s="407">
        <f>IF($D82="","",IF(OR($D82="Todo",$D82="To Do",$D82="In Progress",$D82="In Review"),"Open",IF($D82="Cancel","Cancel",IF($D82="Pending","Pending",IF($D82="Done","Done",$D82)))))</f>
        <v/>
      </c>
    </row>
    <row r="83" ht="15.75" customHeight="1" s="225">
      <c r="O83" s="407">
        <f>IF($D83="","",IF(OR($D83="Todo",$D83="To Do",$D83="In Progress",$D83="In Review"),"Open",IF($D83="Cancel","Cancel",IF($D83="Pending","Pending",IF($D83="Done","Done",$D83)))))</f>
        <v/>
      </c>
    </row>
    <row r="84" ht="15.75" customHeight="1" s="225">
      <c r="O84" s="407">
        <f>IF($D84="","",IF(OR($D84="Todo",$D84="To Do",$D84="In Progress",$D84="In Review"),"Open",IF($D84="Cancel","Cancel",IF($D84="Pending","Pending",IF($D84="Done","Done",$D84)))))</f>
        <v/>
      </c>
    </row>
    <row r="85" ht="15.75" customHeight="1" s="225">
      <c r="O85" s="407">
        <f>IF($D85="","",IF(OR($D85="Todo",$D85="To Do",$D85="In Progress",$D85="In Review"),"Open",IF($D85="Cancel","Cancel",IF($D85="Pending","Pending",IF($D85="Done","Done",$D85)))))</f>
        <v/>
      </c>
    </row>
    <row r="86" ht="15.75" customHeight="1" s="225">
      <c r="O86" s="407">
        <f>IF($D86="","",IF(OR($D86="Todo",$D86="To Do",$D86="In Progress",$D86="In Review"),"Open",IF($D86="Cancel","Cancel",IF($D86="Pending","Pending",IF($D86="Done","Done",$D86)))))</f>
        <v/>
      </c>
    </row>
    <row r="87" ht="15.75" customHeight="1" s="225">
      <c r="O87" s="407">
        <f>IF($D87="","",IF(OR($D87="Todo",$D87="To Do",$D87="In Progress",$D87="In Review"),"Open",IF($D87="Cancel","Cancel",IF($D87="Pending","Pending",IF($D87="Done","Done",$D87)))))</f>
        <v/>
      </c>
    </row>
    <row r="88" ht="15.75" customHeight="1" s="225">
      <c r="O88" s="407">
        <f>IF($D88="","",IF(OR($D88="Todo",$D88="To Do",$D88="In Progress",$D88="In Review"),"Open",IF($D88="Cancel","Cancel",IF($D88="Pending","Pending",IF($D88="Done","Done",$D88)))))</f>
        <v/>
      </c>
    </row>
    <row r="89" ht="15.75" customHeight="1" s="225">
      <c r="O89" s="407">
        <f>IF($D89="","",IF(OR($D89="Todo",$D89="To Do",$D89="In Progress",$D89="In Review"),"Open",IF($D89="Cancel","Cancel",IF($D89="Pending","Pending",IF($D89="Done","Done",$D89)))))</f>
        <v/>
      </c>
    </row>
    <row r="90" ht="15.75" customHeight="1" s="225">
      <c r="O90" s="407">
        <f>IF($D90="","",IF(OR($D90="Todo",$D90="To Do",$D90="In Progress",$D90="In Review"),"Open",IF($D90="Cancel","Cancel",IF($D90="Pending","Pending",IF($D90="Done","Done",$D90)))))</f>
        <v/>
      </c>
    </row>
    <row r="91" ht="15.75" customHeight="1" s="225">
      <c r="O91" s="407">
        <f>IF($D91="","",IF(OR($D91="Todo",$D91="To Do",$D91="In Progress",$D91="In Review"),"Open",IF($D91="Cancel","Cancel",IF($D91="Pending","Pending",IF($D91="Done","Done",$D91)))))</f>
        <v/>
      </c>
    </row>
    <row r="92" ht="15.75" customHeight="1" s="225">
      <c r="O92" s="407">
        <f>IF($D92="","",IF(OR($D92="Todo",$D92="To Do",$D92="In Progress",$D92="In Review"),"Open",IF($D92="Cancel","Cancel",IF($D92="Pending","Pending",IF($D92="Done","Done",$D92)))))</f>
        <v/>
      </c>
    </row>
    <row r="93" ht="15.75" customHeight="1" s="225">
      <c r="O93" s="407">
        <f>IF($D93="","",IF(OR($D93="Todo",$D93="To Do",$D93="In Progress",$D93="In Review"),"Open",IF($D93="Cancel","Cancel",IF($D93="Pending","Pending",IF($D93="Done","Done",$D93)))))</f>
        <v/>
      </c>
    </row>
    <row r="94" ht="15.75" customHeight="1" s="225">
      <c r="O94" s="407">
        <f>IF($D94="","",IF(OR($D94="Todo",$D94="To Do",$D94="In Progress",$D94="In Review"),"Open",IF($D94="Cancel","Cancel",IF($D94="Pending","Pending",IF($D94="Done","Done",$D94)))))</f>
        <v/>
      </c>
    </row>
    <row r="95" ht="15.75" customHeight="1" s="225">
      <c r="O95" s="407">
        <f>IF($D95="","",IF(OR($D95="Todo",$D95="To Do",$D95="In Progress",$D95="In Review"),"Open",IF($D95="Cancel","Cancel",IF($D95="Pending","Pending",IF($D95="Done","Done",$D95)))))</f>
        <v/>
      </c>
    </row>
    <row r="96" ht="15.75" customHeight="1" s="225">
      <c r="O96" s="407">
        <f>IF($D96="","",IF(OR($D96="Todo",$D96="To Do",$D96="In Progress",$D96="In Review"),"Open",IF($D96="Cancel","Cancel",IF($D96="Pending","Pending",IF($D96="Done","Done",$D96)))))</f>
        <v/>
      </c>
    </row>
    <row r="97" ht="15.75" customHeight="1" s="225">
      <c r="O97" s="407">
        <f>IF($D97="","",IF(OR($D97="Todo",$D97="To Do",$D97="In Progress",$D97="In Review"),"Open",IF($D97="Cancel","Cancel",IF($D97="Pending","Pending",IF($D97="Done","Done",$D97)))))</f>
        <v/>
      </c>
    </row>
    <row r="98" ht="15.75" customHeight="1" s="225">
      <c r="O98" s="407">
        <f>IF($D98="","",IF(OR($D98="Todo",$D98="To Do",$D98="In Progress",$D98="In Review"),"Open",IF($D98="Cancel","Cancel",IF($D98="Pending","Pending",IF($D98="Done","Done",$D98)))))</f>
        <v/>
      </c>
    </row>
    <row r="99" ht="15.75" customHeight="1" s="225">
      <c r="O99" s="407">
        <f>IF($D99="","",IF(OR($D99="Todo",$D99="To Do",$D99="In Progress",$D99="In Review"),"Open",IF($D99="Cancel","Cancel",IF($D99="Pending","Pending",IF($D99="Done","Done",$D99)))))</f>
        <v/>
      </c>
    </row>
    <row r="100" ht="15.75" customHeight="1" s="225">
      <c r="O100" s="407">
        <f>IF($D100="","",IF(OR($D100="Todo",$D100="To Do",$D100="In Progress",$D100="In Review"),"Open",IF($D100="Cancel","Cancel",IF($D100="Pending","Pending",IF($D100="Done","Done",$D100)))))</f>
        <v/>
      </c>
    </row>
    <row r="101" ht="15.75" customHeight="1" s="225">
      <c r="O101" s="407">
        <f>IF($D101="","",IF(OR($D101="Todo",$D101="To Do",$D101="In Progress",$D101="In Review"),"Open",IF($D101="Cancel","Cancel",IF($D101="Pending","Pending",IF($D101="Done","Done",$D101)))))</f>
        <v/>
      </c>
    </row>
    <row r="102" ht="15.75" customHeight="1" s="225">
      <c r="O102" s="407">
        <f>IF($D102="","",IF(OR($D102="Todo",$D102="To Do",$D102="In Progress",$D102="In Review"),"Open",IF($D102="Cancel","Cancel",IF($D102="Pending","Pending",IF($D102="Done","Done",$D102)))))</f>
        <v/>
      </c>
    </row>
    <row r="103" ht="15.75" customHeight="1" s="225">
      <c r="O103" s="407">
        <f>IF($D103="","",IF(OR($D103="Todo",$D103="To Do",$D103="In Progress",$D103="In Review"),"Open",IF($D103="Cancel","Cancel",IF($D103="Pending","Pending",IF($D103="Done","Done",$D103)))))</f>
        <v/>
      </c>
    </row>
    <row r="104" ht="15.75" customHeight="1" s="225">
      <c r="O104" s="407">
        <f>IF($D104="","",IF(OR($D104="Todo",$D104="To Do",$D104="In Progress",$D104="In Review"),"Open",IF($D104="Cancel","Cancel",IF($D104="Pending","Pending",IF($D104="Done","Done",$D104)))))</f>
        <v/>
      </c>
    </row>
    <row r="105" ht="15.75" customHeight="1" s="225">
      <c r="O105" s="407">
        <f>IF($D105="","",IF(OR($D105="Todo",$D105="To Do",$D105="In Progress",$D105="In Review"),"Open",IF($D105="Cancel","Cancel",IF($D105="Pending","Pending",IF($D105="Done","Done",$D105)))))</f>
        <v/>
      </c>
    </row>
    <row r="106" ht="15.75" customHeight="1" s="225">
      <c r="O106" s="407">
        <f>IF($D106="","",IF(OR($D106="Todo",$D106="To Do",$D106="In Progress",$D106="In Review"),"Open",IF($D106="Cancel","Cancel",IF($D106="Pending","Pending",IF($D106="Done","Done",$D106)))))</f>
        <v/>
      </c>
    </row>
    <row r="107" ht="15.75" customHeight="1" s="225">
      <c r="O107" s="407">
        <f>IF($D107="","",IF(OR($D107="Todo",$D107="To Do",$D107="In Progress",$D107="In Review"),"Open",IF($D107="Cancel","Cancel",IF($D107="Pending","Pending",IF($D107="Done","Done",$D107)))))</f>
        <v/>
      </c>
    </row>
    <row r="108" ht="15.75" customHeight="1" s="225">
      <c r="O108" s="407">
        <f>IF($D108="","",IF(OR($D108="Todo",$D108="To Do",$D108="In Progress",$D108="In Review"),"Open",IF($D108="Cancel","Cancel",IF($D108="Pending","Pending",IF($D108="Done","Done",$D108)))))</f>
        <v/>
      </c>
    </row>
    <row r="109" ht="15.75" customHeight="1" s="225">
      <c r="O109" s="407">
        <f>IF($D109="","",IF(OR($D109="Todo",$D109="To Do",$D109="In Progress",$D109="In Review"),"Open",IF($D109="Cancel","Cancel",IF($D109="Pending","Pending",IF($D109="Done","Done",$D109)))))</f>
        <v/>
      </c>
    </row>
    <row r="110" ht="15.75" customHeight="1" s="225">
      <c r="O110" s="407">
        <f>IF($D110="","",IF(OR($D110="Todo",$D110="To Do",$D110="In Progress",$D110="In Review"),"Open",IF($D110="Cancel","Cancel",IF($D110="Pending","Pending",IF($D110="Done","Done",$D110)))))</f>
        <v/>
      </c>
    </row>
    <row r="111" ht="15.75" customHeight="1" s="225">
      <c r="O111" s="407">
        <f>IF($D111="","",IF(OR($D111="Todo",$D111="To Do",$D111="In Progress",$D111="In Review"),"Open",IF($D111="Cancel","Cancel",IF($D111="Pending","Pending",IF($D111="Done","Done",$D111)))))</f>
        <v/>
      </c>
    </row>
    <row r="112" ht="15.75" customHeight="1" s="225">
      <c r="O112" s="407">
        <f>IF($D112="","",IF(OR($D112="Todo",$D112="To Do",$D112="In Progress",$D112="In Review"),"Open",IF($D112="Cancel","Cancel",IF($D112="Pending","Pending",IF($D112="Done","Done",$D112)))))</f>
        <v/>
      </c>
    </row>
    <row r="113" ht="15.75" customHeight="1" s="225">
      <c r="O113" s="407">
        <f>IF($D113="","",IF(OR($D113="Todo",$D113="To Do",$D113="In Progress",$D113="In Review"),"Open",IF($D113="Cancel","Cancel",IF($D113="Pending","Pending",IF($D113="Done","Done",$D113)))))</f>
        <v/>
      </c>
    </row>
    <row r="114" ht="15.75" customHeight="1" s="225">
      <c r="O114" s="407">
        <f>IF($D114="","",IF(OR($D114="Todo",$D114="To Do",$D114="In Progress",$D114="In Review"),"Open",IF($D114="Cancel","Cancel",IF($D114="Pending","Pending",IF($D114="Done","Done",$D114)))))</f>
        <v/>
      </c>
    </row>
    <row r="115" ht="15.75" customHeight="1" s="225">
      <c r="O115" s="407">
        <f>IF($D115="","",IF(OR($D115="Todo",$D115="To Do",$D115="In Progress",$D115="In Review"),"Open",IF($D115="Cancel","Cancel",IF($D115="Pending","Pending",IF($D115="Done","Done",$D115)))))</f>
        <v/>
      </c>
    </row>
    <row r="116" ht="15.75" customHeight="1" s="225">
      <c r="O116" s="407">
        <f>IF($D116="","",IF(OR($D116="Todo",$D116="To Do",$D116="In Progress",$D116="In Review"),"Open",IF($D116="Cancel","Cancel",IF($D116="Pending","Pending",IF($D116="Done","Done",$D116)))))</f>
        <v/>
      </c>
    </row>
    <row r="117" ht="15.75" customHeight="1" s="225">
      <c r="O117" s="407">
        <f>IF($D117="","",IF(OR($D117="Todo",$D117="To Do",$D117="In Progress",$D117="In Review"),"Open",IF($D117="Cancel","Cancel",IF($D117="Pending","Pending",IF($D117="Done","Done",$D117)))))</f>
        <v/>
      </c>
    </row>
    <row r="118" ht="15.75" customHeight="1" s="225">
      <c r="O118" s="407">
        <f>IF($D118="","",IF(OR($D118="Todo",$D118="To Do",$D118="In Progress",$D118="In Review"),"Open",IF($D118="Cancel","Cancel",IF($D118="Pending","Pending",IF($D118="Done","Done",$D118)))))</f>
        <v/>
      </c>
    </row>
    <row r="119" ht="15.75" customHeight="1" s="225">
      <c r="O119" s="407">
        <f>IF($D119="","",IF(OR($D119="Todo",$D119="To Do",$D119="In Progress",$D119="In Review"),"Open",IF($D119="Cancel","Cancel",IF($D119="Pending","Pending",IF($D119="Done","Done",$D119)))))</f>
        <v/>
      </c>
    </row>
    <row r="120" ht="15.75" customHeight="1" s="225">
      <c r="O120" s="407">
        <f>IF($D120="","",IF(OR($D120="Todo",$D120="To Do",$D120="In Progress",$D120="In Review"),"Open",IF($D120="Cancel","Cancel",IF($D120="Pending","Pending",IF($D120="Done","Done",$D120)))))</f>
        <v/>
      </c>
    </row>
    <row r="121" ht="15.75" customHeight="1" s="225">
      <c r="O121" s="407">
        <f>IF($D121="","",IF(OR($D121="Todo",$D121="To Do",$D121="In Progress",$D121="In Review"),"Open",IF($D121="Cancel","Cancel",IF($D121="Pending","Pending",IF($D121="Done","Done",$D121)))))</f>
        <v/>
      </c>
    </row>
    <row r="122" ht="15.75" customHeight="1" s="225">
      <c r="O122" s="407">
        <f>IF($D122="","",IF(OR($D122="Todo",$D122="To Do",$D122="In Progress",$D122="In Review"),"Open",IF($D122="Cancel","Cancel",IF($D122="Pending","Pending",IF($D122="Done","Done",$D122)))))</f>
        <v/>
      </c>
    </row>
    <row r="123" ht="15.75" customHeight="1" s="225">
      <c r="O123" s="407">
        <f>IF($D123="","",IF(OR($D123="Todo",$D123="To Do",$D123="In Progress",$D123="In Review"),"Open",IF($D123="Cancel","Cancel",IF($D123="Pending","Pending",IF($D123="Done","Done",$D123)))))</f>
        <v/>
      </c>
    </row>
    <row r="124" ht="15.75" customHeight="1" s="225">
      <c r="O124" s="407">
        <f>IF($D124="","",IF(OR($D124="Todo",$D124="To Do",$D124="In Progress",$D124="In Review"),"Open",IF($D124="Cancel","Cancel",IF($D124="Pending","Pending",IF($D124="Done","Done",$D124)))))</f>
        <v/>
      </c>
    </row>
    <row r="125" ht="15.75" customHeight="1" s="225">
      <c r="O125" s="407">
        <f>IF($D125="","",IF(OR($D125="Todo",$D125="To Do",$D125="In Progress",$D125="In Review"),"Open",IF($D125="Cancel","Cancel",IF($D125="Pending","Pending",IF($D125="Done","Done",$D125)))))</f>
        <v/>
      </c>
    </row>
    <row r="126" ht="15.75" customHeight="1" s="225">
      <c r="O126" s="407">
        <f>IF($D126="","",IF(OR($D126="Todo",$D126="To Do",$D126="In Progress",$D126="In Review"),"Open",IF($D126="Cancel","Cancel",IF($D126="Pending","Pending",IF($D126="Done","Done",$D126)))))</f>
        <v/>
      </c>
    </row>
    <row r="127" ht="15.75" customHeight="1" s="225">
      <c r="O127" s="407">
        <f>IF($D127="","",IF(OR($D127="Todo",$D127="To Do",$D127="In Progress",$D127="In Review"),"Open",IF($D127="Cancel","Cancel",IF($D127="Pending","Pending",IF($D127="Done","Done",$D127)))))</f>
        <v/>
      </c>
    </row>
    <row r="128" ht="15.75" customHeight="1" s="225">
      <c r="O128" s="407">
        <f>IF($D128="","",IF(OR($D128="Todo",$D128="To Do",$D128="In Progress",$D128="In Review"),"Open",IF($D128="Cancel","Cancel",IF($D128="Pending","Pending",IF($D128="Done","Done",$D128)))))</f>
        <v/>
      </c>
    </row>
    <row r="129" ht="15.75" customHeight="1" s="225">
      <c r="O129" s="407">
        <f>IF($D129="","",IF(OR($D129="Todo",$D129="To Do",$D129="In Progress",$D129="In Review"),"Open",IF($D129="Cancel","Cancel",IF($D129="Pending","Pending",IF($D129="Done","Done",$D129)))))</f>
        <v/>
      </c>
    </row>
    <row r="130" ht="15.75" customHeight="1" s="225">
      <c r="O130" s="407">
        <f>IF($D130="","",IF(OR($D130="Todo",$D130="To Do",$D130="In Progress",$D130="In Review"),"Open",IF($D130="Cancel","Cancel",IF($D130="Pending","Pending",IF($D130="Done","Done",$D130)))))</f>
        <v/>
      </c>
    </row>
    <row r="131" ht="15.75" customHeight="1" s="225">
      <c r="O131" s="407">
        <f>IF($D131="","",IF(OR($D131="Todo",$D131="To Do",$D131="In Progress",$D131="In Review"),"Open",IF($D131="Cancel","Cancel",IF($D131="Pending","Pending",IF($D131="Done","Done",$D131)))))</f>
        <v/>
      </c>
    </row>
    <row r="132" ht="15.75" customHeight="1" s="225">
      <c r="O132" s="407">
        <f>IF($D132="","",IF(OR($D132="Todo",$D132="To Do",$D132="In Progress",$D132="In Review"),"Open",IF($D132="Cancel","Cancel",IF($D132="Pending","Pending",IF($D132="Done","Done",$D132)))))</f>
        <v/>
      </c>
    </row>
    <row r="133" ht="15.75" customHeight="1" s="225">
      <c r="O133" s="407">
        <f>IF($D133="","",IF(OR($D133="Todo",$D133="To Do",$D133="In Progress",$D133="In Review"),"Open",IF($D133="Cancel","Cancel",IF($D133="Pending","Pending",IF($D133="Done","Done",$D133)))))</f>
        <v/>
      </c>
    </row>
    <row r="134" ht="15.75" customHeight="1" s="225">
      <c r="O134" s="407">
        <f>IF($D134="","",IF(OR($D134="Todo",$D134="To Do",$D134="In Progress",$D134="In Review"),"Open",IF($D134="Cancel","Cancel",IF($D134="Pending","Pending",IF($D134="Done","Done",$D134)))))</f>
        <v/>
      </c>
    </row>
    <row r="135" ht="15.75" customHeight="1" s="225">
      <c r="O135" s="407">
        <f>IF($D135="","",IF(OR($D135="Todo",$D135="To Do",$D135="In Progress",$D135="In Review"),"Open",IF($D135="Cancel","Cancel",IF($D135="Pending","Pending",IF($D135="Done","Done",$D135)))))</f>
        <v/>
      </c>
    </row>
    <row r="136" ht="15.75" customHeight="1" s="225">
      <c r="O136" s="407">
        <f>IF($D136="","",IF(OR($D136="Todo",$D136="To Do",$D136="In Progress",$D136="In Review"),"Open",IF($D136="Cancel","Cancel",IF($D136="Pending","Pending",IF($D136="Done","Done",$D136)))))</f>
        <v/>
      </c>
    </row>
    <row r="137" ht="15.75" customHeight="1" s="225">
      <c r="O137" s="407">
        <f>IF($D137="","",IF(OR($D137="Todo",$D137="To Do",$D137="In Progress",$D137="In Review"),"Open",IF($D137="Cancel","Cancel",IF($D137="Pending","Pending",IF($D137="Done","Done",$D137)))))</f>
        <v/>
      </c>
    </row>
    <row r="138" ht="15.75" customHeight="1" s="225">
      <c r="O138" s="407">
        <f>IF($D138="","",IF(OR($D138="Todo",$D138="To Do",$D138="In Progress",$D138="In Review"),"Open",IF($D138="Cancel","Cancel",IF($D138="Pending","Pending",IF($D138="Done","Done",$D138)))))</f>
        <v/>
      </c>
    </row>
    <row r="139" ht="15.75" customHeight="1" s="225">
      <c r="O139" s="407">
        <f>IF($D139="","",IF(OR($D139="Todo",$D139="To Do",$D139="In Progress",$D139="In Review"),"Open",IF($D139="Cancel","Cancel",IF($D139="Pending","Pending",IF($D139="Done","Done",$D139)))))</f>
        <v/>
      </c>
    </row>
    <row r="140" ht="15.75" customHeight="1" s="225">
      <c r="O140" s="407">
        <f>IF($D140="","",IF(OR($D140="Todo",$D140="To Do",$D140="In Progress",$D140="In Review"),"Open",IF($D140="Cancel","Cancel",IF($D140="Pending","Pending",IF($D140="Done","Done",$D140)))))</f>
        <v/>
      </c>
    </row>
    <row r="141" ht="15.75" customHeight="1" s="225">
      <c r="O141" s="407">
        <f>IF($D141="","",IF(OR($D141="Todo",$D141="To Do",$D141="In Progress",$D141="In Review"),"Open",IF($D141="Cancel","Cancel",IF($D141="Pending","Pending",IF($D141="Done","Done",$D141)))))</f>
        <v/>
      </c>
    </row>
    <row r="142" ht="15.75" customHeight="1" s="225">
      <c r="O142" s="407">
        <f>IF($D142="","",IF(OR($D142="Todo",$D142="To Do",$D142="In Progress",$D142="In Review"),"Open",IF($D142="Cancel","Cancel",IF($D142="Pending","Pending",IF($D142="Done","Done",$D142)))))</f>
        <v/>
      </c>
    </row>
    <row r="143" ht="15.75" customHeight="1" s="225">
      <c r="O143" s="407">
        <f>IF($D143="","",IF(OR($D143="Todo",$D143="To Do",$D143="In Progress",$D143="In Review"),"Open",IF($D143="Cancel","Cancel",IF($D143="Pending","Pending",IF($D143="Done","Done",$D143)))))</f>
        <v/>
      </c>
    </row>
    <row r="144" ht="15.75" customHeight="1" s="225">
      <c r="O144" s="407">
        <f>IF($D144="","",IF(OR($D144="Todo",$D144="To Do",$D144="In Progress",$D144="In Review"),"Open",IF($D144="Cancel","Cancel",IF($D144="Pending","Pending",IF($D144="Done","Done",$D144)))))</f>
        <v/>
      </c>
    </row>
    <row r="145" ht="15.75" customHeight="1" s="225">
      <c r="O145" s="407">
        <f>IF($D145="","",IF(OR($D145="Todo",$D145="To Do",$D145="In Progress",$D145="In Review"),"Open",IF($D145="Cancel","Cancel",IF($D145="Pending","Pending",IF($D145="Done","Done",$D145)))))</f>
        <v/>
      </c>
    </row>
    <row r="146" ht="15.75" customHeight="1" s="225">
      <c r="O146" s="407">
        <f>IF($D146="","",IF(OR($D146="Todo",$D146="To Do",$D146="In Progress",$D146="In Review"),"Open",IF($D146="Cancel","Cancel",IF($D146="Pending","Pending",IF($D146="Done","Done",$D146)))))</f>
        <v/>
      </c>
    </row>
    <row r="147" ht="15.75" customHeight="1" s="225">
      <c r="O147" s="407">
        <f>IF($D147="","",IF(OR($D147="Todo",$D147="To Do",$D147="In Progress",$D147="In Review"),"Open",IF($D147="Cancel","Cancel",IF($D147="Pending","Pending",IF($D147="Done","Done",$D147)))))</f>
        <v/>
      </c>
    </row>
    <row r="148" ht="15.75" customHeight="1" s="225">
      <c r="O148" s="407">
        <f>IF($D148="","",IF(OR($D148="Todo",$D148="To Do",$D148="In Progress",$D148="In Review"),"Open",IF($D148="Cancel","Cancel",IF($D148="Pending","Pending",IF($D148="Done","Done",$D148)))))</f>
        <v/>
      </c>
    </row>
    <row r="149" ht="15.75" customHeight="1" s="225">
      <c r="O149" s="407">
        <f>IF($D149="","",IF(OR($D149="Todo",$D149="To Do",$D149="In Progress",$D149="In Review"),"Open",IF($D149="Cancel","Cancel",IF($D149="Pending","Pending",IF($D149="Done","Done",$D149)))))</f>
        <v/>
      </c>
    </row>
    <row r="150" ht="15.75" customHeight="1" s="225">
      <c r="O150" s="407">
        <f>IF($D150="","",IF(OR($D150="Todo",$D150="To Do",$D150="In Progress",$D150="In Review"),"Open",IF($D150="Cancel","Cancel",IF($D150="Pending","Pending",IF($D150="Done","Done",$D150)))))</f>
        <v/>
      </c>
    </row>
    <row r="151" ht="15.75" customHeight="1" s="225">
      <c r="O151" s="407">
        <f>IF($D151="","",IF(OR($D151="Todo",$D151="To Do",$D151="In Progress",$D151="In Review"),"Open",IF($D151="Cancel","Cancel",IF($D151="Pending","Pending",IF($D151="Done","Done",$D151)))))</f>
        <v/>
      </c>
    </row>
    <row r="152" ht="15.75" customHeight="1" s="225">
      <c r="O152" s="407">
        <f>IF($D152="","",IF(OR($D152="Todo",$D152="To Do",$D152="In Progress",$D152="In Review"),"Open",IF($D152="Cancel","Cancel",IF($D152="Pending","Pending",IF($D152="Done","Done",$D152)))))</f>
        <v/>
      </c>
    </row>
    <row r="153" ht="15.75" customHeight="1" s="225">
      <c r="O153" s="407">
        <f>IF($D153="","",IF(OR($D153="Todo",$D153="To Do",$D153="In Progress",$D153="In Review"),"Open",IF($D153="Cancel","Cancel",IF($D153="Pending","Pending",IF($D153="Done","Done",$D153)))))</f>
        <v/>
      </c>
    </row>
    <row r="154" ht="15.75" customHeight="1" s="225">
      <c r="O154" s="407">
        <f>IF($D154="","",IF(OR($D154="Todo",$D154="To Do",$D154="In Progress",$D154="In Review"),"Open",IF($D154="Cancel","Cancel",IF($D154="Pending","Pending",IF($D154="Done","Done",$D154)))))</f>
        <v/>
      </c>
    </row>
    <row r="155" ht="15.75" customHeight="1" s="225">
      <c r="O155" s="407">
        <f>IF($D155="","",IF(OR($D155="Todo",$D155="To Do",$D155="In Progress",$D155="In Review"),"Open",IF($D155="Cancel","Cancel",IF($D155="Pending","Pending",IF($D155="Done","Done",$D155)))))</f>
        <v/>
      </c>
    </row>
    <row r="156" ht="15.75" customHeight="1" s="225">
      <c r="O156" s="407">
        <f>IF($D156="","",IF(OR($D156="Todo",$D156="To Do",$D156="In Progress",$D156="In Review"),"Open",IF($D156="Cancel","Cancel",IF($D156="Pending","Pending",IF($D156="Done","Done",$D156)))))</f>
        <v/>
      </c>
    </row>
    <row r="157" ht="15.75" customHeight="1" s="225">
      <c r="O157" s="407">
        <f>IF($D157="","",IF(OR($D157="Todo",$D157="To Do",$D157="In Progress",$D157="In Review"),"Open",IF($D157="Cancel","Cancel",IF($D157="Pending","Pending",IF($D157="Done","Done",$D157)))))</f>
        <v/>
      </c>
    </row>
    <row r="158" ht="15.75" customHeight="1" s="225">
      <c r="O158" s="407">
        <f>IF($D158="","",IF(OR($D158="Todo",$D158="To Do",$D158="In Progress",$D158="In Review"),"Open",IF($D158="Cancel","Cancel",IF($D158="Pending","Pending",IF($D158="Done","Done",$D158)))))</f>
        <v/>
      </c>
    </row>
    <row r="159" ht="15.75" customHeight="1" s="225">
      <c r="O159" s="407">
        <f>IF($D159="","",IF(OR($D159="Todo",$D159="To Do",$D159="In Progress",$D159="In Review"),"Open",IF($D159="Cancel","Cancel",IF($D159="Pending","Pending",IF($D159="Done","Done",$D159)))))</f>
        <v/>
      </c>
    </row>
    <row r="160" ht="15.75" customHeight="1" s="225">
      <c r="O160" s="407">
        <f>IF($D160="","",IF(OR($D160="Todo",$D160="To Do",$D160="In Progress",$D160="In Review"),"Open",IF($D160="Cancel","Cancel",IF($D160="Pending","Pending",IF($D160="Done","Done",$D160)))))</f>
        <v/>
      </c>
    </row>
    <row r="161" ht="15.75" customHeight="1" s="225">
      <c r="O161" s="407">
        <f>IF($D161="","",IF(OR($D161="Todo",$D161="To Do",$D161="In Progress",$D161="In Review"),"Open",IF($D161="Cancel","Cancel",IF($D161="Pending","Pending",IF($D161="Done","Done",$D161)))))</f>
        <v/>
      </c>
    </row>
    <row r="162" ht="15.75" customHeight="1" s="225">
      <c r="O162" s="407">
        <f>IF($D162="","",IF(OR($D162="Todo",$D162="To Do",$D162="In Progress",$D162="In Review"),"Open",IF($D162="Cancel","Cancel",IF($D162="Pending","Pending",IF($D162="Done","Done",$D162)))))</f>
        <v/>
      </c>
    </row>
    <row r="163" ht="15.75" customHeight="1" s="225">
      <c r="O163" s="407">
        <f>IF($D163="","",IF(OR($D163="Todo",$D163="To Do",$D163="In Progress",$D163="In Review"),"Open",IF($D163="Cancel","Cancel",IF($D163="Pending","Pending",IF($D163="Done","Done",$D163)))))</f>
        <v/>
      </c>
    </row>
    <row r="164" ht="15.75" customHeight="1" s="225">
      <c r="O164" s="407">
        <f>IF($D164="","",IF(OR($D164="Todo",$D164="To Do",$D164="In Progress",$D164="In Review"),"Open",IF($D164="Cancel","Cancel",IF($D164="Pending","Pending",IF($D164="Done","Done",$D164)))))</f>
        <v/>
      </c>
    </row>
    <row r="165" ht="15.75" customHeight="1" s="225">
      <c r="O165" s="407">
        <f>IF($D165="","",IF(OR($D165="Todo",$D165="To Do",$D165="In Progress",$D165="In Review"),"Open",IF($D165="Cancel","Cancel",IF($D165="Pending","Pending",IF($D165="Done","Done",$D165)))))</f>
        <v/>
      </c>
    </row>
    <row r="166" ht="15.75" customHeight="1" s="225">
      <c r="O166" s="407">
        <f>IF($D166="","",IF(OR($D166="Todo",$D166="To Do",$D166="In Progress",$D166="In Review"),"Open",IF($D166="Cancel","Cancel",IF($D166="Pending","Pending",IF($D166="Done","Done",$D166)))))</f>
        <v/>
      </c>
    </row>
    <row r="167" ht="15.75" customHeight="1" s="225">
      <c r="O167" s="407">
        <f>IF($D167="","",IF(OR($D167="Todo",$D167="To Do",$D167="In Progress",$D167="In Review"),"Open",IF($D167="Cancel","Cancel",IF($D167="Pending","Pending",IF($D167="Done","Done",$D167)))))</f>
        <v/>
      </c>
    </row>
    <row r="168" ht="15.75" customHeight="1" s="225">
      <c r="O168" s="407">
        <f>IF($D168="","",IF(OR($D168="Todo",$D168="To Do",$D168="In Progress",$D168="In Review"),"Open",IF($D168="Cancel","Cancel",IF($D168="Pending","Pending",IF($D168="Done","Done",$D168)))))</f>
        <v/>
      </c>
    </row>
    <row r="169" ht="15.75" customHeight="1" s="225">
      <c r="O169" s="407">
        <f>IF($D169="","",IF(OR($D169="Todo",$D169="To Do",$D169="In Progress",$D169="In Review"),"Open",IF($D169="Cancel","Cancel",IF($D169="Pending","Pending",IF($D169="Done","Done",$D169)))))</f>
        <v/>
      </c>
    </row>
    <row r="170" ht="15.75" customHeight="1" s="225">
      <c r="O170" s="407">
        <f>IF($D170="","",IF(OR($D170="Todo",$D170="To Do",$D170="In Progress",$D170="In Review"),"Open",IF($D170="Cancel","Cancel",IF($D170="Pending","Pending",IF($D170="Done","Done",$D170)))))</f>
        <v/>
      </c>
    </row>
    <row r="171" ht="15.75" customHeight="1" s="225">
      <c r="O171" s="407">
        <f>IF($D171="","",IF(OR($D171="Todo",$D171="To Do",$D171="In Progress",$D171="In Review"),"Open",IF($D171="Cancel","Cancel",IF($D171="Pending","Pending",IF($D171="Done","Done",$D171)))))</f>
        <v/>
      </c>
    </row>
    <row r="172" ht="15.75" customHeight="1" s="225">
      <c r="O172" s="407">
        <f>IF($D172="","",IF(OR($D172="Todo",$D172="To Do",$D172="In Progress",$D172="In Review"),"Open",IF($D172="Cancel","Cancel",IF($D172="Pending","Pending",IF($D172="Done","Done",$D172)))))</f>
        <v/>
      </c>
    </row>
    <row r="173" ht="15.75" customHeight="1" s="225">
      <c r="O173" s="407">
        <f>IF($D173="","",IF(OR($D173="Todo",$D173="To Do",$D173="In Progress",$D173="In Review"),"Open",IF($D173="Cancel","Cancel",IF($D173="Pending","Pending",IF($D173="Done","Done",$D173)))))</f>
        <v/>
      </c>
    </row>
    <row r="174" ht="15.75" customHeight="1" s="225">
      <c r="O174" s="407">
        <f>IF($D174="","",IF(OR($D174="Todo",$D174="To Do",$D174="In Progress",$D174="In Review"),"Open",IF($D174="Cancel","Cancel",IF($D174="Pending","Pending",IF($D174="Done","Done",$D174)))))</f>
        <v/>
      </c>
    </row>
    <row r="175" ht="15.75" customHeight="1" s="225">
      <c r="O175" s="407">
        <f>IF($D175="","",IF(OR($D175="Todo",$D175="To Do",$D175="In Progress",$D175="In Review"),"Open",IF($D175="Cancel","Cancel",IF($D175="Pending","Pending",IF($D175="Done","Done",$D175)))))</f>
        <v/>
      </c>
    </row>
    <row r="176" ht="15.75" customHeight="1" s="225">
      <c r="O176" s="407">
        <f>IF($D176="","",IF(OR($D176="Todo",$D176="To Do",$D176="In Progress",$D176="In Review"),"Open",IF($D176="Cancel","Cancel",IF($D176="Pending","Pending",IF($D176="Done","Done",$D176)))))</f>
        <v/>
      </c>
    </row>
    <row r="177" ht="15.75" customHeight="1" s="225">
      <c r="O177" s="407">
        <f>IF($D177="","",IF(OR($D177="Todo",$D177="To Do",$D177="In Progress",$D177="In Review"),"Open",IF($D177="Cancel","Cancel",IF($D177="Pending","Pending",IF($D177="Done","Done",$D177)))))</f>
        <v/>
      </c>
    </row>
    <row r="178" ht="15.75" customHeight="1" s="225">
      <c r="O178" s="407">
        <f>IF($D178="","",IF(OR($D178="Todo",$D178="To Do",$D178="In Progress",$D178="In Review"),"Open",IF($D178="Cancel","Cancel",IF($D178="Pending","Pending",IF($D178="Done","Done",$D178)))))</f>
        <v/>
      </c>
    </row>
    <row r="179" ht="15.75" customHeight="1" s="225">
      <c r="O179" s="407">
        <f>IF($D179="","",IF(OR($D179="Todo",$D179="To Do",$D179="In Progress",$D179="In Review"),"Open",IF($D179="Cancel","Cancel",IF($D179="Pending","Pending",IF($D179="Done","Done",$D179)))))</f>
        <v/>
      </c>
    </row>
    <row r="180" ht="15.75" customHeight="1" s="225">
      <c r="O180" s="407">
        <f>IF($D180="","",IF(OR($D180="Todo",$D180="To Do",$D180="In Progress",$D180="In Review"),"Open",IF($D180="Cancel","Cancel",IF($D180="Pending","Pending",IF($D180="Done","Done",$D180)))))</f>
        <v/>
      </c>
    </row>
    <row r="181" ht="15.75" customHeight="1" s="225">
      <c r="O181" s="407">
        <f>IF($D181="","",IF(OR($D181="Todo",$D181="To Do",$D181="In Progress",$D181="In Review"),"Open",IF($D181="Cancel","Cancel",IF($D181="Pending","Pending",IF($D181="Done","Done",$D181)))))</f>
        <v/>
      </c>
    </row>
    <row r="182" ht="15.75" customHeight="1" s="225">
      <c r="O182" s="407">
        <f>IF($D182="","",IF(OR($D182="Todo",$D182="To Do",$D182="In Progress",$D182="In Review"),"Open",IF($D182="Cancel","Cancel",IF($D182="Pending","Pending",IF($D182="Done","Done",$D182)))))</f>
        <v/>
      </c>
    </row>
    <row r="183" ht="15.75" customHeight="1" s="225">
      <c r="O183" s="407">
        <f>IF($D183="","",IF(OR($D183="Todo",$D183="To Do",$D183="In Progress",$D183="In Review"),"Open",IF($D183="Cancel","Cancel",IF($D183="Pending","Pending",IF($D183="Done","Done",$D183)))))</f>
        <v/>
      </c>
    </row>
    <row r="184" ht="15.75" customHeight="1" s="225">
      <c r="O184" s="407">
        <f>IF($D184="","",IF(OR($D184="Todo",$D184="To Do",$D184="In Progress",$D184="In Review"),"Open",IF($D184="Cancel","Cancel",IF($D184="Pending","Pending",IF($D184="Done","Done",$D184)))))</f>
        <v/>
      </c>
    </row>
    <row r="185" ht="15.75" customHeight="1" s="225">
      <c r="O185" s="407">
        <f>IF($D185="","",IF(OR($D185="Todo",$D185="To Do",$D185="In Progress",$D185="In Review"),"Open",IF($D185="Cancel","Cancel",IF($D185="Pending","Pending",IF($D185="Done","Done",$D185)))))</f>
        <v/>
      </c>
    </row>
    <row r="186" ht="15.75" customHeight="1" s="225">
      <c r="O186" s="407">
        <f>IF($D186="","",IF(OR($D186="Todo",$D186="To Do",$D186="In Progress",$D186="In Review"),"Open",IF($D186="Cancel","Cancel",IF($D186="Pending","Pending",IF($D186="Done","Done",$D186)))))</f>
        <v/>
      </c>
    </row>
    <row r="187" ht="15.75" customHeight="1" s="225">
      <c r="O187" s="407">
        <f>IF($D187="","",IF(OR($D187="Todo",$D187="To Do",$D187="In Progress",$D187="In Review"),"Open",IF($D187="Cancel","Cancel",IF($D187="Pending","Pending",IF($D187="Done","Done",$D187)))))</f>
        <v/>
      </c>
    </row>
    <row r="188" ht="15.75" customHeight="1" s="225">
      <c r="O188" s="407">
        <f>IF($D188="","",IF(OR($D188="Todo",$D188="To Do",$D188="In Progress",$D188="In Review"),"Open",IF($D188="Cancel","Cancel",IF($D188="Pending","Pending",IF($D188="Done","Done",$D188)))))</f>
        <v/>
      </c>
    </row>
    <row r="189" ht="15.75" customHeight="1" s="225">
      <c r="O189" s="407">
        <f>IF($D189="","",IF(OR($D189="Todo",$D189="To Do",$D189="In Progress",$D189="In Review"),"Open",IF($D189="Cancel","Cancel",IF($D189="Pending","Pending",IF($D189="Done","Done",$D189)))))</f>
        <v/>
      </c>
    </row>
    <row r="190" ht="15.75" customHeight="1" s="225">
      <c r="O190" s="407">
        <f>IF($D190="","",IF(OR($D190="Todo",$D190="To Do",$D190="In Progress",$D190="In Review"),"Open",IF($D190="Cancel","Cancel",IF($D190="Pending","Pending",IF($D190="Done","Done",$D190)))))</f>
        <v/>
      </c>
    </row>
    <row r="191" ht="15.75" customHeight="1" s="225">
      <c r="O191" s="407">
        <f>IF($D191="","",IF(OR($D191="Todo",$D191="To Do",$D191="In Progress",$D191="In Review"),"Open",IF($D191="Cancel","Cancel",IF($D191="Pending","Pending",IF($D191="Done","Done",$D191)))))</f>
        <v/>
      </c>
    </row>
    <row r="192" ht="15.75" customHeight="1" s="225">
      <c r="O192" s="407">
        <f>IF($D192="","",IF(OR($D192="Todo",$D192="To Do",$D192="In Progress",$D192="In Review"),"Open",IF($D192="Cancel","Cancel",IF($D192="Pending","Pending",IF($D192="Done","Done",$D192)))))</f>
        <v/>
      </c>
    </row>
    <row r="193" ht="15.75" customHeight="1" s="225">
      <c r="O193" s="407">
        <f>IF($D193="","",IF(OR($D193="Todo",$D193="To Do",$D193="In Progress",$D193="In Review"),"Open",IF($D193="Cancel","Cancel",IF($D193="Pending","Pending",IF($D193="Done","Done",$D193)))))</f>
        <v/>
      </c>
    </row>
    <row r="194" ht="15.75" customHeight="1" s="225">
      <c r="O194" s="407">
        <f>IF($D194="","",IF(OR($D194="Todo",$D194="To Do",$D194="In Progress",$D194="In Review"),"Open",IF($D194="Cancel","Cancel",IF($D194="Pending","Pending",IF($D194="Done","Done",$D194)))))</f>
        <v/>
      </c>
    </row>
    <row r="195" ht="15.75" customHeight="1" s="225">
      <c r="O195" s="407">
        <f>IF($D195="","",IF(OR($D195="Todo",$D195="To Do",$D195="In Progress",$D195="In Review"),"Open",IF($D195="Cancel","Cancel",IF($D195="Pending","Pending",IF($D195="Done","Done",$D195)))))</f>
        <v/>
      </c>
    </row>
    <row r="196" ht="15.75" customHeight="1" s="225">
      <c r="O196" s="407">
        <f>IF($D196="","",IF(OR($D196="Todo",$D196="To Do",$D196="In Progress",$D196="In Review"),"Open",IF($D196="Cancel","Cancel",IF($D196="Pending","Pending",IF($D196="Done","Done",$D196)))))</f>
        <v/>
      </c>
    </row>
    <row r="197" ht="15.75" customHeight="1" s="225">
      <c r="O197" s="407">
        <f>IF($D197="","",IF(OR($D197="Todo",$D197="To Do",$D197="In Progress",$D197="In Review"),"Open",IF($D197="Cancel","Cancel",IF($D197="Pending","Pending",IF($D197="Done","Done",$D197)))))</f>
        <v/>
      </c>
    </row>
    <row r="198" ht="15.75" customHeight="1" s="225">
      <c r="O198" s="407">
        <f>IF($D198="","",IF(OR($D198="Todo",$D198="To Do",$D198="In Progress",$D198="In Review"),"Open",IF($D198="Cancel","Cancel",IF($D198="Pending","Pending",IF($D198="Done","Done",$D198)))))</f>
        <v/>
      </c>
    </row>
    <row r="199" ht="15.75" customHeight="1" s="225">
      <c r="O199" s="407">
        <f>IF($D199="","",IF(OR($D199="Todo",$D199="To Do",$D199="In Progress",$D199="In Review"),"Open",IF($D199="Cancel","Cancel",IF($D199="Pending","Pending",IF($D199="Done","Done",$D199)))))</f>
        <v/>
      </c>
    </row>
    <row r="200" ht="15.75" customHeight="1" s="225">
      <c r="O200" s="407">
        <f>IF($D200="","",IF(OR($D200="Todo",$D200="To Do",$D200="In Progress",$D200="In Review"),"Open",IF($D200="Cancel","Cancel",IF($D200="Pending","Pending",IF($D200="Done","Done",$D200)))))</f>
        <v/>
      </c>
    </row>
    <row r="201" ht="15.75" customHeight="1" s="225">
      <c r="O201" s="407">
        <f>IF($D201="","",IF(OR($D201="Todo",$D201="To Do",$D201="In Progress",$D201="In Review"),"Open",IF($D201="Cancel","Cancel",IF($D201="Pending","Pending",IF($D201="Done","Done",$D201)))))</f>
        <v/>
      </c>
    </row>
    <row r="202" ht="15.75" customHeight="1" s="225">
      <c r="O202" s="407">
        <f>IF($D202="","",IF(OR($D202="Todo",$D202="To Do",$D202="In Progress",$D202="In Review"),"Open",IF($D202="Cancel","Cancel",IF($D202="Pending","Pending",IF($D202="Done","Done",$D202)))))</f>
        <v/>
      </c>
    </row>
    <row r="203" ht="15.75" customHeight="1" s="225">
      <c r="O203" s="407">
        <f>IF($D203="","",IF(OR($D203="Todo",$D203="To Do",$D203="In Progress",$D203="In Review"),"Open",IF($D203="Cancel","Cancel",IF($D203="Pending","Pending",IF($D203="Done","Done",$D203)))))</f>
        <v/>
      </c>
    </row>
    <row r="204" ht="15.75" customHeight="1" s="225">
      <c r="O204" s="407">
        <f>IF($D204="","",IF(OR($D204="Todo",$D204="To Do",$D204="In Progress",$D204="In Review"),"Open",IF($D204="Cancel","Cancel",IF($D204="Pending","Pending",IF($D204="Done","Done",$D204)))))</f>
        <v/>
      </c>
    </row>
    <row r="205" ht="15.75" customHeight="1" s="225">
      <c r="O205" s="407">
        <f>IF($D205="","",IF(OR($D205="Todo",$D205="To Do",$D205="In Progress",$D205="In Review"),"Open",IF($D205="Cancel","Cancel",IF($D205="Pending","Pending",IF($D205="Done","Done",$D205)))))</f>
        <v/>
      </c>
    </row>
    <row r="206" ht="15.75" customHeight="1" s="225">
      <c r="O206" s="407">
        <f>IF($D206="","",IF(OR($D206="Todo",$D206="To Do",$D206="In Progress",$D206="In Review"),"Open",IF($D206="Cancel","Cancel",IF($D206="Pending","Pending",IF($D206="Done","Done",$D206)))))</f>
        <v/>
      </c>
    </row>
    <row r="207" ht="15.75" customHeight="1" s="225">
      <c r="O207" s="407">
        <f>IF($D207="","",IF(OR($D207="Todo",$D207="To Do",$D207="In Progress",$D207="In Review"),"Open",IF($D207="Cancel","Cancel",IF($D207="Pending","Pending",IF($D207="Done","Done",$D207)))))</f>
        <v/>
      </c>
    </row>
    <row r="208" ht="15.75" customHeight="1" s="225">
      <c r="O208" s="407">
        <f>IF($D208="","",IF(OR($D208="Todo",$D208="To Do",$D208="In Progress",$D208="In Review"),"Open",IF($D208="Cancel","Cancel",IF($D208="Pending","Pending",IF($D208="Done","Done",$D208)))))</f>
        <v/>
      </c>
    </row>
    <row r="209" ht="15.75" customHeight="1" s="225">
      <c r="O209" s="407">
        <f>IF($D209="","",IF(OR($D209="Todo",$D209="To Do",$D209="In Progress",$D209="In Review"),"Open",IF($D209="Cancel","Cancel",IF($D209="Pending","Pending",IF($D209="Done","Done",$D209)))))</f>
        <v/>
      </c>
    </row>
    <row r="210" ht="15.75" customHeight="1" s="225">
      <c r="O210" s="407">
        <f>IF($D210="","",IF(OR($D210="Todo",$D210="To Do",$D210="In Progress",$D210="In Review"),"Open",IF($D210="Cancel","Cancel",IF($D210="Pending","Pending",IF($D210="Done","Done",$D210)))))</f>
        <v/>
      </c>
    </row>
    <row r="211" ht="15.75" customHeight="1" s="225">
      <c r="O211" s="407">
        <f>IF($D211="","",IF(OR($D211="Todo",$D211="To Do",$D211="In Progress",$D211="In Review"),"Open",IF($D211="Cancel","Cancel",IF($D211="Pending","Pending",IF($D211="Done","Done",$D211)))))</f>
        <v/>
      </c>
    </row>
    <row r="212" ht="15.75" customHeight="1" s="225">
      <c r="O212" s="407">
        <f>IF($D212="","",IF(OR($D212="Todo",$D212="To Do",$D212="In Progress",$D212="In Review"),"Open",IF($D212="Cancel","Cancel",IF($D212="Pending","Pending",IF($D212="Done","Done",$D212)))))</f>
        <v/>
      </c>
    </row>
    <row r="213" ht="15.75" customHeight="1" s="225">
      <c r="O213" s="407">
        <f>IF($D213="","",IF(OR($D213="Todo",$D213="To Do",$D213="In Progress",$D213="In Review"),"Open",IF($D213="Cancel","Cancel",IF($D213="Pending","Pending",IF($D213="Done","Done",$D213)))))</f>
        <v/>
      </c>
    </row>
    <row r="214" ht="15.75" customHeight="1" s="225">
      <c r="O214" s="407">
        <f>IF($D214="","",IF(OR($D214="Todo",$D214="To Do",$D214="In Progress",$D214="In Review"),"Open",IF($D214="Cancel","Cancel",IF($D214="Pending","Pending",IF($D214="Done","Done",$D214)))))</f>
        <v/>
      </c>
    </row>
    <row r="215" ht="15.75" customHeight="1" s="225">
      <c r="O215" s="407">
        <f>IF($D215="","",IF(OR($D215="Todo",$D215="To Do",$D215="In Progress",$D215="In Review"),"Open",IF($D215="Cancel","Cancel",IF($D215="Pending","Pending",IF($D215="Done","Done",$D215)))))</f>
        <v/>
      </c>
    </row>
    <row r="216" ht="15.75" customHeight="1" s="225">
      <c r="O216" s="407">
        <f>IF($D216="","",IF(OR($D216="Todo",$D216="To Do",$D216="In Progress",$D216="In Review"),"Open",IF($D216="Cancel","Cancel",IF($D216="Pending","Pending",IF($D216="Done","Done",$D216)))))</f>
        <v/>
      </c>
    </row>
    <row r="217" ht="15.75" customHeight="1" s="225">
      <c r="O217" s="407">
        <f>IF($D217="","",IF(OR($D217="Todo",$D217="To Do",$D217="In Progress",$D217="In Review"),"Open",IF($D217="Cancel","Cancel",IF($D217="Pending","Pending",IF($D217="Done","Done",$D217)))))</f>
        <v/>
      </c>
    </row>
    <row r="218" ht="15.75" customHeight="1" s="225">
      <c r="O218" s="407">
        <f>IF($D218="","",IF(OR($D218="Todo",$D218="To Do",$D218="In Progress",$D218="In Review"),"Open",IF($D218="Cancel","Cancel",IF($D218="Pending","Pending",IF($D218="Done","Done",$D218)))))</f>
        <v/>
      </c>
    </row>
    <row r="219" ht="15.75" customHeight="1" s="225">
      <c r="O219" s="407">
        <f>IF($D219="","",IF(OR($D219="Todo",$D219="To Do",$D219="In Progress",$D219="In Review"),"Open",IF($D219="Cancel","Cancel",IF($D219="Pending","Pending",IF($D219="Done","Done",$D219)))))</f>
        <v/>
      </c>
    </row>
    <row r="220" ht="15.75" customHeight="1" s="225">
      <c r="O220" s="407">
        <f>IF($D220="","",IF(OR($D220="Todo",$D220="To Do",$D220="In Progress",$D220="In Review"),"Open",IF($D220="Cancel","Cancel",IF($D220="Pending","Pending",IF($D220="Done","Done",$D220)))))</f>
        <v/>
      </c>
    </row>
    <row r="221" ht="15.75" customHeight="1" s="225">
      <c r="O221" s="407">
        <f>IF($D221="","",IF(OR($D221="Todo",$D221="To Do",$D221="In Progress",$D221="In Review"),"Open",IF($D221="Cancel","Cancel",IF($D221="Pending","Pending",IF($D221="Done","Done",$D221)))))</f>
        <v/>
      </c>
    </row>
    <row r="222" ht="15.75" customHeight="1" s="225">
      <c r="O222" s="407">
        <f>IF($D222="","",IF(OR($D222="Todo",$D222="To Do",$D222="In Progress",$D222="In Review"),"Open",IF($D222="Cancel","Cancel",IF($D222="Pending","Pending",IF($D222="Done","Done",$D222)))))</f>
        <v/>
      </c>
    </row>
    <row r="223" ht="15.75" customHeight="1" s="225">
      <c r="O223" s="407">
        <f>IF($D223="","",IF(OR($D223="Todo",$D223="To Do",$D223="In Progress",$D223="In Review"),"Open",IF($D223="Cancel","Cancel",IF($D223="Pending","Pending",IF($D223="Done","Done",$D223)))))</f>
        <v/>
      </c>
    </row>
    <row r="224" ht="15.75" customHeight="1" s="225">
      <c r="O224" s="407">
        <f>IF($D224="","",IF(OR($D224="Todo",$D224="To Do",$D224="In Progress",$D224="In Review"),"Open",IF($D224="Cancel","Cancel",IF($D224="Pending","Pending",IF($D224="Done","Done",$D224)))))</f>
        <v/>
      </c>
    </row>
    <row r="225" ht="15.75" customHeight="1" s="225">
      <c r="O225" s="407">
        <f>IF($D225="","",IF(OR($D225="Todo",$D225="To Do",$D225="In Progress",$D225="In Review"),"Open",IF($D225="Cancel","Cancel",IF($D225="Pending","Pending",IF($D225="Done","Done",$D225)))))</f>
        <v/>
      </c>
    </row>
    <row r="226" ht="15.75" customHeight="1" s="225">
      <c r="O226" s="407">
        <f>IF($D226="","",IF(OR($D226="Todo",$D226="To Do",$D226="In Progress",$D226="In Review"),"Open",IF($D226="Cancel","Cancel",IF($D226="Pending","Pending",IF($D226="Done","Done",$D226)))))</f>
        <v/>
      </c>
    </row>
    <row r="227" ht="15.75" customHeight="1" s="225">
      <c r="O227" s="407">
        <f>IF($D227="","",IF(OR($D227="Todo",$D227="To Do",$D227="In Progress",$D227="In Review"),"Open",IF($D227="Cancel","Cancel",IF($D227="Pending","Pending",IF($D227="Done","Done",$D227)))))</f>
        <v/>
      </c>
    </row>
    <row r="228" ht="15.75" customHeight="1" s="225">
      <c r="O228" s="407">
        <f>IF($D228="","",IF(OR($D228="Todo",$D228="To Do",$D228="In Progress",$D228="In Review"),"Open",IF($D228="Cancel","Cancel",IF($D228="Pending","Pending",IF($D228="Done","Done",$D228)))))</f>
        <v/>
      </c>
    </row>
    <row r="229" ht="15.75" customHeight="1" s="225">
      <c r="O229" s="407">
        <f>IF($D229="","",IF(OR($D229="Todo",$D229="To Do",$D229="In Progress",$D229="In Review"),"Open",IF($D229="Cancel","Cancel",IF($D229="Pending","Pending",IF($D229="Done","Done",$D229)))))</f>
        <v/>
      </c>
    </row>
    <row r="230" ht="15.75" customHeight="1" s="225">
      <c r="O230" s="407">
        <f>IF($D230="","",IF(OR($D230="Todo",$D230="To Do",$D230="In Progress",$D230="In Review"),"Open",IF($D230="Cancel","Cancel",IF($D230="Pending","Pending",IF($D230="Done","Done",$D230)))))</f>
        <v/>
      </c>
    </row>
    <row r="231" ht="15.75" customHeight="1" s="225">
      <c r="O231" s="407">
        <f>IF($D231="","",IF(OR($D231="Todo",$D231="To Do",$D231="In Progress",$D231="In Review"),"Open",IF($D231="Cancel","Cancel",IF($D231="Pending","Pending",IF($D231="Done","Done",$D231)))))</f>
        <v/>
      </c>
    </row>
    <row r="232" ht="15.75" customHeight="1" s="225">
      <c r="O232" s="407">
        <f>IF($D232="","",IF(OR($D232="Todo",$D232="To Do",$D232="In Progress",$D232="In Review"),"Open",IF($D232="Cancel","Cancel",IF($D232="Pending","Pending",IF($D232="Done","Done",$D232)))))</f>
        <v/>
      </c>
    </row>
    <row r="233" ht="15.75" customHeight="1" s="225">
      <c r="O233" s="407">
        <f>IF($D233="","",IF(OR($D233="Todo",$D233="To Do",$D233="In Progress",$D233="In Review"),"Open",IF($D233="Cancel","Cancel",IF($D233="Pending","Pending",IF($D233="Done","Done",$D233)))))</f>
        <v/>
      </c>
    </row>
    <row r="234" ht="15.75" customHeight="1" s="225">
      <c r="O234" s="407">
        <f>IF($D234="","",IF(OR($D234="Todo",$D234="To Do",$D234="In Progress",$D234="In Review"),"Open",IF($D234="Cancel","Cancel",IF($D234="Pending","Pending",IF($D234="Done","Done",$D234)))))</f>
        <v/>
      </c>
    </row>
    <row r="235" ht="15.75" customHeight="1" s="225">
      <c r="O235" s="407">
        <f>IF($D235="","",IF(OR($D235="Todo",$D235="To Do",$D235="In Progress",$D235="In Review"),"Open",IF($D235="Cancel","Cancel",IF($D235="Pending","Pending",IF($D235="Done","Done",$D235)))))</f>
        <v/>
      </c>
    </row>
    <row r="236" ht="15.75" customHeight="1" s="225">
      <c r="O236" s="407">
        <f>IF($D236="","",IF(OR($D236="Todo",$D236="To Do",$D236="In Progress",$D236="In Review"),"Open",IF($D236="Cancel","Cancel",IF($D236="Pending","Pending",IF($D236="Done","Done",$D236)))))</f>
        <v/>
      </c>
    </row>
    <row r="237" ht="15.75" customHeight="1" s="225">
      <c r="O237" s="407">
        <f>IF($D237="","",IF(OR($D237="Todo",$D237="To Do",$D237="In Progress",$D237="In Review"),"Open",IF($D237="Cancel","Cancel",IF($D237="Pending","Pending",IF($D237="Done","Done",$D237)))))</f>
        <v/>
      </c>
    </row>
    <row r="238" ht="15.75" customHeight="1" s="225">
      <c r="O238" s="407">
        <f>IF($D238="","",IF(OR($D238="Todo",$D238="To Do",$D238="In Progress",$D238="In Review"),"Open",IF($D238="Cancel","Cancel",IF($D238="Pending","Pending",IF($D238="Done","Done",$D238)))))</f>
        <v/>
      </c>
    </row>
    <row r="239" ht="15.75" customHeight="1" s="225">
      <c r="O239" s="407">
        <f>IF($D239="","",IF(OR($D239="Todo",$D239="To Do",$D239="In Progress",$D239="In Review"),"Open",IF($D239="Cancel","Cancel",IF($D239="Pending","Pending",IF($D239="Done","Done",$D239)))))</f>
        <v/>
      </c>
    </row>
    <row r="240" ht="15.75" customHeight="1" s="225">
      <c r="O240" s="407">
        <f>IF($D240="","",IF(OR($D240="Todo",$D240="To Do",$D240="In Progress",$D240="In Review"),"Open",IF($D240="Cancel","Cancel",IF($D240="Pending","Pending",IF($D240="Done","Done",$D240)))))</f>
        <v/>
      </c>
    </row>
    <row r="241" ht="15.75" customHeight="1" s="225">
      <c r="O241" s="407">
        <f>IF($D241="","",IF(OR($D241="Todo",$D241="To Do",$D241="In Progress",$D241="In Review"),"Open",IF($D241="Cancel","Cancel",IF($D241="Pending","Pending",IF($D241="Done","Done",$D241)))))</f>
        <v/>
      </c>
    </row>
    <row r="242" ht="15.75" customHeight="1" s="225">
      <c r="O242" s="407">
        <f>IF($D242="","",IF(OR($D242="Todo",$D242="To Do",$D242="In Progress",$D242="In Review"),"Open",IF($D242="Cancel","Cancel",IF($D242="Pending","Pending",IF($D242="Done","Done",$D242)))))</f>
        <v/>
      </c>
    </row>
    <row r="243" ht="15.75" customHeight="1" s="225">
      <c r="O243" s="407">
        <f>IF($D243="","",IF(OR($D243="Todo",$D243="To Do",$D243="In Progress",$D243="In Review"),"Open",IF($D243="Cancel","Cancel",IF($D243="Pending","Pending",IF($D243="Done","Done",$D243)))))</f>
        <v/>
      </c>
    </row>
    <row r="244" ht="15.75" customHeight="1" s="225">
      <c r="O244" s="407">
        <f>IF($D244="","",IF(OR($D244="Todo",$D244="To Do",$D244="In Progress",$D244="In Review"),"Open",IF($D244="Cancel","Cancel",IF($D244="Pending","Pending",IF($D244="Done","Done",$D244)))))</f>
        <v/>
      </c>
    </row>
    <row r="245" ht="15.75" customHeight="1" s="225">
      <c r="O245" s="407">
        <f>IF($D245="","",IF(OR($D245="Todo",$D245="To Do",$D245="In Progress",$D245="In Review"),"Open",IF($D245="Cancel","Cancel",IF($D245="Pending","Pending",IF($D245="Done","Done",$D245)))))</f>
        <v/>
      </c>
    </row>
    <row r="246" ht="15.75" customHeight="1" s="225">
      <c r="O246" s="407">
        <f>IF($D246="","",IF(OR($D246="Todo",$D246="To Do",$D246="In Progress",$D246="In Review"),"Open",IF($D246="Cancel","Cancel",IF($D246="Pending","Pending",IF($D246="Done","Done",$D246)))))</f>
        <v/>
      </c>
    </row>
    <row r="247" ht="15.75" customHeight="1" s="225">
      <c r="O247" s="407">
        <f>IF($D247="","",IF(OR($D247="Todo",$D247="To Do",$D247="In Progress",$D247="In Review"),"Open",IF($D247="Cancel","Cancel",IF($D247="Pending","Pending",IF($D247="Done","Done",$D247)))))</f>
        <v/>
      </c>
    </row>
    <row r="248" ht="15.75" customHeight="1" s="225">
      <c r="O248" s="407">
        <f>IF($D248="","",IF(OR($D248="Todo",$D248="To Do",$D248="In Progress",$D248="In Review"),"Open",IF($D248="Cancel","Cancel",IF($D248="Pending","Pending",IF($D248="Done","Done",$D248)))))</f>
        <v/>
      </c>
    </row>
    <row r="249" ht="15.75" customHeight="1" s="225">
      <c r="O249" s="407">
        <f>IF($D249="","",IF(OR($D249="Todo",$D249="To Do",$D249="In Progress",$D249="In Review"),"Open",IF($D249="Cancel","Cancel",IF($D249="Pending","Pending",IF($D249="Done","Done",$D249)))))</f>
        <v/>
      </c>
    </row>
    <row r="250" ht="15.75" customHeight="1" s="225">
      <c r="O250" s="407">
        <f>IF($D250="","",IF(OR($D250="Todo",$D250="To Do",$D250="In Progress",$D250="In Review"),"Open",IF($D250="Cancel","Cancel",IF($D250="Pending","Pending",IF($D250="Done","Done",$D250)))))</f>
        <v/>
      </c>
    </row>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dataValidations count="10">
    <dataValidation sqref="U2:V250" showDropDown="0" showInputMessage="0" showErrorMessage="0" allowBlank="1" type="list" errorStyle="stop" operator="between">
      <formula1>"1,2,3,4,5"</formula1>
      <formula2>0</formula2>
    </dataValidation>
    <dataValidation sqref="R2:R250" showDropDown="0" showInputMessage="0" showErrorMessage="0" allowBlank="1" type="list" errorStyle="stop" operator="between">
      <formula1>"Data,Interface,Logic,Requirement,Server,Other"</formula1>
      <formula2>0</formula2>
    </dataValidation>
    <dataValidation sqref="Q2:Q250" showDropDown="0" showInputMessage="0" showErrorMessage="0" allowBlank="1" type="list" errorStyle="stop" operator="between">
      <formula1>$Y$2:$Y$11</formula1>
      <formula2>0</formula2>
    </dataValidation>
    <dataValidation sqref="B2:B250" showDropDown="0" showInputMessage="0" showErrorMessage="0" allowBlank="1" type="list" errorStyle="stop" operator="between">
      <formula1>"Bug,Story,Task,Sub-task"</formula1>
      <formula2>0</formula2>
    </dataValidation>
    <dataValidation sqref="P2:P250" showDropDown="0" showInputMessage="0" showErrorMessage="0" allowBlank="1" type="list" errorStyle="stop" operator="between">
      <formula1>"Fixed,Won't fix"</formula1>
      <formula2>0</formula2>
    </dataValidation>
    <dataValidation sqref="D2:D250" showDropDown="0" showInputMessage="0" showErrorMessage="0" allowBlank="1" type="list" errorStyle="stop" operator="between">
      <formula1>"To Do,In Progress,In Review,Pending,Cancel,Done"</formula1>
      <formula2>0</formula2>
    </dataValidation>
    <dataValidation sqref="S2:S250" showDropDown="0" showInputMessage="0" showErrorMessage="0" allowBlank="1" type="list" errorStyle="stop" operator="between">
      <formula1>"Functionality,Performance,Security,Serviceability,Usability"</formula1>
      <formula2>0</formula2>
    </dataValidation>
    <dataValidation sqref="E2:E250" showDropDown="0" showInputMessage="0" showErrorMessage="0" allowBlank="1" type="list" errorStyle="stop" operator="between">
      <formula1>"Highest,High,Medium,Low,Lowest"</formula1>
      <formula2>0</formula2>
    </dataValidation>
    <dataValidation sqref="N2:N250" showDropDown="0" showInputMessage="0" showErrorMessage="0" allowBlank="1" type="list" errorStyle="stop" operator="between">
      <formula1>"Web,Mobile"</formula1>
      <formula2>0</formula2>
    </dataValidation>
    <dataValidation sqref="L2:L250" showDropDown="0" showInputMessage="0" showErrorMessage="0" allowBlank="1" type="list" errorStyle="stop" operator="between">
      <formula1>"20,10,5,2"</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1"/>
  </sheetPr>
  <dimension ref="B2:J54"/>
  <sheetViews>
    <sheetView showFormulas="0" showGridLines="0" showRowColHeaders="1" showZeros="1" rightToLeft="0" tabSelected="0"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baseColWidth="8" defaultColWidth="14.43359375" defaultRowHeight="15" customHeight="1" zeroHeight="0" outlineLevelRow="0"/>
  <cols>
    <col width="3" customWidth="1" style="224" min="1" max="1"/>
    <col width="14" customWidth="1" style="224" min="2" max="2"/>
    <col width="42" customWidth="1" style="224" min="3" max="3"/>
    <col width="15" customWidth="1" style="224" min="4" max="4"/>
    <col width="8" customWidth="1" style="224" min="5" max="5"/>
    <col width="9" customWidth="1" style="224" min="6" max="6"/>
    <col width="7" customWidth="1" style="224" min="7" max="8"/>
    <col width="9" customWidth="1" style="224" min="9" max="9"/>
    <col width="20" customWidth="1" style="224" min="10" max="10"/>
  </cols>
  <sheetData>
    <row r="2" ht="18" customHeight="1" s="225">
      <c r="B2" s="409" t="inlineStr">
        <is>
          <t>RTM — MA TRẬN TRUY VẾT YÊU CẦU (Requirement Traceability Matrix)</t>
        </is>
      </c>
    </row>
    <row r="3" ht="15" customHeight="1" s="225">
      <c r="B3" s="410" t="inlineStr">
        <is>
          <t>Mỗi dòng = 1 yêu cầu (Req ID). Số liệu tự đếm từ sheet Test Cases. Yêu cầu có 0 TC = LỖ HỔNG phủ (gap).</t>
        </is>
      </c>
    </row>
    <row r="5" ht="15" customHeight="1" s="225">
      <c r="B5" s="283" t="inlineStr">
        <is>
          <t>Req ID</t>
        </is>
      </c>
      <c r="C5" s="283" t="inlineStr">
        <is>
          <t>Yêu cầu (mô tả)</t>
        </is>
      </c>
      <c r="D5" s="283" t="inlineStr">
        <is>
          <t>Nguồn (DOC)</t>
        </is>
      </c>
      <c r="E5" s="283" t="inlineStr">
        <is>
          <t>Số TC</t>
        </is>
      </c>
      <c r="F5" s="283" t="inlineStr">
        <is>
          <t>Đã chạy</t>
        </is>
      </c>
      <c r="G5" s="283" t="inlineStr">
        <is>
          <t>Pass</t>
        </is>
      </c>
      <c r="H5" s="283" t="inlineStr">
        <is>
          <t>Fail</t>
        </is>
      </c>
      <c r="I5" s="283" t="inlineStr">
        <is>
          <t>% phủ</t>
        </is>
      </c>
      <c r="J5" s="283" t="inlineStr">
        <is>
          <t>Trạng thái</t>
        </is>
      </c>
    </row>
    <row r="6" ht="15" customHeight="1" s="225">
      <c r="B6" s="411" t="inlineStr">
        <is>
          <t>REQ-USR-002</t>
        </is>
      </c>
      <c r="C6" s="278" t="inlineStr">
        <is>
          <t>Xem hồ sơ cá nhân (view-only — xem C-USR-03)</t>
        </is>
      </c>
      <c r="D6" s="354" t="inlineStr">
        <is>
          <t>USR-02 · DOC-v1.0-01 §A6</t>
        </is>
      </c>
      <c r="E6" s="276">
        <f>COUNTIF('Hoạt động'!$B$8:$B$502,"*"&amp;$B6&amp;"*")+COUNTIF('Cá nhân'!$B$8:$B$502,"*"&amp;$B6&amp;"*")+COUNTIF('Thông báo'!$B$8:$B$502,"*"&amp;$B6&amp;"*")+COUNTIF('Đăng tin'!$B$8:$B$502,"*"&amp;$B6&amp;"*")+COUNTIF('Trang chủ'!$B$8:$B$502,"*"&amp;$B6&amp;"*")+COUNTIF('Bảng tin &amp; Chi tiết tin'!$B$8:$B$502,"*"&amp;$B6&amp;"*")+COUNTIF('Theo dõi đơn'!$B$8:$B$502,"*"&amp;$B6&amp;"*")+COUNTIF('Huỷ đơn'!$B$8:$B$502,"*"&amp;$B6&amp;"*")+COUNTIF('Tặng quà'!$B$8:$B$502,"*"&amp;$B6&amp;"*")</f>
        <v/>
      </c>
      <c r="F6" s="276">
        <f>SUMPRODUCT(ISNUMBER(SEARCH($B6,'Hoạt động'!$B$8:$B$502))*('Hoạt động'!$AO$8:$AO$502&lt;&gt;""))+SUMPRODUCT(ISNUMBER(SEARCH($B6,'Cá nhân'!$B$8:$B$502))*('Cá nhân'!$AO$8:$AO$502&lt;&gt;""))+SUMPRODUCT(ISNUMBER(SEARCH($B6,'Thông báo'!$B$8:$B$502))*('Thông báo'!$AO$8:$AO$502&lt;&gt;""))+SUMPRODUCT(ISNUMBER(SEARCH($B6,'Đăng tin'!$B$8:$B$502))*('Đăng tin'!$AO$8:$AO$502&lt;&gt;""))+SUMPRODUCT(ISNUMBER(SEARCH($B6,'Trang chủ'!$B$8:$B$502))*('Trang chủ'!$AO$8:$AO$502&lt;&gt;""))+SUMPRODUCT(ISNUMBER(SEARCH($B6,'Bảng tin &amp; Chi tiết tin'!$B$8:$B$502))*('Bảng tin &amp; Chi tiết tin'!$AO$8:$AO$502&lt;&gt;""))+SUMPRODUCT(ISNUMBER(SEARCH($B6,'Theo dõi đơn'!$B$8:$B$502))*('Theo dõi đơn'!$AO$8:$AO$502&lt;&gt;""))+SUMPRODUCT(ISNUMBER(SEARCH($B6,'Huỷ đơn'!$B$8:$B$502))*('Huỷ đơn'!$AO$8:$AO$502&lt;&gt;""))+SUMPRODUCT(ISNUMBER(SEARCH($B6,'Tặng quà'!$B$8:$B$502))*('Tặng quà'!$AO$8:$AO$502&lt;&gt;""))</f>
        <v/>
      </c>
      <c r="G6" s="276">
        <f>COUNTIFS('Hoạt động'!$B$8:$B$502,"*"&amp;$B6&amp;"*",'Hoạt động'!$AO$8:$AO$502,"Pass")+COUNTIFS('Cá nhân'!$B$8:$B$502,"*"&amp;$B6&amp;"*",'Cá nhân'!$AO$8:$AO$502,"Pass")+COUNTIFS('Thông báo'!$B$8:$B$502,"*"&amp;$B6&amp;"*",'Thông báo'!$AO$8:$AO$502,"Pass")+COUNTIFS('Đăng tin'!$B$8:$B$502,"*"&amp;$B6&amp;"*",'Đăng tin'!$AO$8:$AO$502,"Pass")+COUNTIFS('Trang chủ'!$B$8:$B$502,"*"&amp;$B6&amp;"*",'Trang chủ'!$AO$8:$AO$502,"Pass")+COUNTIFS('Bảng tin &amp; Chi tiết tin'!$B$8:$B$502,"*"&amp;$B6&amp;"*",'Bảng tin &amp; Chi tiết tin'!$AO$8:$AO$502,"Pass")+COUNTIFS('Theo dõi đơn'!$B$8:$B$502,"*"&amp;$B6&amp;"*",'Theo dõi đơn'!$AO$8:$AO$502,"Pass")+COUNTIFS('Huỷ đơn'!$B$8:$B$502,"*"&amp;$B6&amp;"*",'Huỷ đơn'!$AO$8:$AO$502,"Pass")+COUNTIFS('Tặng quà'!$B$8:$B$502,"*"&amp;$B6&amp;"*",'Tặng quà'!$AO$8:$AO$502,"Pass")</f>
        <v/>
      </c>
      <c r="H6" s="276">
        <f>COUNTIFS('Hoạt động'!$B$8:$B$502,"*"&amp;$B6&amp;"*",'Hoạt động'!$AO$8:$AO$502,"Fail")+COUNTIFS('Cá nhân'!$B$8:$B$502,"*"&amp;$B6&amp;"*",'Cá nhân'!$AO$8:$AO$502,"Fail")+COUNTIFS('Thông báo'!$B$8:$B$502,"*"&amp;$B6&amp;"*",'Thông báo'!$AO$8:$AO$502,"Fail")+COUNTIFS('Đăng tin'!$B$8:$B$502,"*"&amp;$B6&amp;"*",'Đăng tin'!$AO$8:$AO$502,"Fail")+COUNTIFS('Trang chủ'!$B$8:$B$502,"*"&amp;$B6&amp;"*",'Trang chủ'!$AO$8:$AO$502,"Fail")+COUNTIFS('Bảng tin &amp; Chi tiết tin'!$B$8:$B$502,"*"&amp;$B6&amp;"*",'Bảng tin &amp; Chi tiết tin'!$AO$8:$AO$502,"Fail")+COUNTIFS('Theo dõi đơn'!$B$8:$B$502,"*"&amp;$B6&amp;"*",'Theo dõi đơn'!$AO$8:$AO$502,"Fail")+COUNTIFS('Huỷ đơn'!$B$8:$B$502,"*"&amp;$B6&amp;"*",'Huỷ đơn'!$AO$8:$AO$502,"Fail")+COUNTIFS('Tặng quà'!$B$8:$B$502,"*"&amp;$B6&amp;"*",'Tặng quà'!$AO$8:$AO$502,"Fail")</f>
        <v/>
      </c>
      <c r="I6" s="277">
        <f>IFERROR(F6/E6,0)</f>
        <v/>
      </c>
      <c r="J6" s="354">
        <f>IF(E6=0,"Chưa có TC (gap)",IF(H6&gt;0,"Có lỗi (Fail)",IF(F6&gt;=E6,"Đã test xong","Đang test")))</f>
        <v/>
      </c>
    </row>
    <row r="7" ht="15" customHeight="1" s="225">
      <c r="B7" s="411" t="inlineStr">
        <is>
          <t>REQ-USR-003</t>
        </is>
      </c>
      <c r="C7" s="278" t="inlineStr">
        <is>
          <t>Hiển thị phòng ban + khu vực/tỉnh</t>
        </is>
      </c>
      <c r="D7" s="354" t="inlineStr">
        <is>
          <t>USR-04 · DOC-v1.0-01 §A6</t>
        </is>
      </c>
      <c r="E7" s="276">
        <f>COUNTIF('Hoạt động'!$B$8:$B$502,"*"&amp;$B7&amp;"*")+COUNTIF('Cá nhân'!$B$8:$B$502,"*"&amp;$B7&amp;"*")+COUNTIF('Thông báo'!$B$8:$B$502,"*"&amp;$B7&amp;"*")+COUNTIF('Đăng tin'!$B$8:$B$502,"*"&amp;$B7&amp;"*")+COUNTIF('Trang chủ'!$B$8:$B$502,"*"&amp;$B7&amp;"*")+COUNTIF('Bảng tin &amp; Chi tiết tin'!$B$8:$B$502,"*"&amp;$B7&amp;"*")+COUNTIF('Theo dõi đơn'!$B$8:$B$502,"*"&amp;$B7&amp;"*")+COUNTIF('Huỷ đơn'!$B$8:$B$502,"*"&amp;$B7&amp;"*")+COUNTIF('Tặng quà'!$B$8:$B$502,"*"&amp;$B7&amp;"*")</f>
        <v/>
      </c>
      <c r="F7" s="276">
        <f>SUMPRODUCT(ISNUMBER(SEARCH($B7,'Hoạt động'!$B$8:$B$502))*('Hoạt động'!$AO$8:$AO$502&lt;&gt;""))+SUMPRODUCT(ISNUMBER(SEARCH($B7,'Cá nhân'!$B$8:$B$502))*('Cá nhân'!$AO$8:$AO$502&lt;&gt;""))+SUMPRODUCT(ISNUMBER(SEARCH($B7,'Thông báo'!$B$8:$B$502))*('Thông báo'!$AO$8:$AO$502&lt;&gt;""))+SUMPRODUCT(ISNUMBER(SEARCH($B7,'Đăng tin'!$B$8:$B$502))*('Đăng tin'!$AO$8:$AO$502&lt;&gt;""))+SUMPRODUCT(ISNUMBER(SEARCH($B7,'Trang chủ'!$B$8:$B$502))*('Trang chủ'!$AO$8:$AO$502&lt;&gt;""))+SUMPRODUCT(ISNUMBER(SEARCH($B7,'Bảng tin &amp; Chi tiết tin'!$B$8:$B$502))*('Bảng tin &amp; Chi tiết tin'!$AO$8:$AO$502&lt;&gt;""))+SUMPRODUCT(ISNUMBER(SEARCH($B7,'Theo dõi đơn'!$B$8:$B$502))*('Theo dõi đơn'!$AO$8:$AO$502&lt;&gt;""))+SUMPRODUCT(ISNUMBER(SEARCH($B7,'Huỷ đơn'!$B$8:$B$502))*('Huỷ đơn'!$AO$8:$AO$502&lt;&gt;""))+SUMPRODUCT(ISNUMBER(SEARCH($B7,'Tặng quà'!$B$8:$B$502))*('Tặng quà'!$AO$8:$AO$502&lt;&gt;""))</f>
        <v/>
      </c>
      <c r="G7" s="276">
        <f>COUNTIFS('Hoạt động'!$B$8:$B$502,"*"&amp;$B7&amp;"*",'Hoạt động'!$AO$8:$AO$502,"Pass")+COUNTIFS('Cá nhân'!$B$8:$B$502,"*"&amp;$B7&amp;"*",'Cá nhân'!$AO$8:$AO$502,"Pass")+COUNTIFS('Thông báo'!$B$8:$B$502,"*"&amp;$B7&amp;"*",'Thông báo'!$AO$8:$AO$502,"Pass")+COUNTIFS('Đăng tin'!$B$8:$B$502,"*"&amp;$B7&amp;"*",'Đăng tin'!$AO$8:$AO$502,"Pass")+COUNTIFS('Trang chủ'!$B$8:$B$502,"*"&amp;$B7&amp;"*",'Trang chủ'!$AO$8:$AO$502,"Pass")+COUNTIFS('Bảng tin &amp; Chi tiết tin'!$B$8:$B$502,"*"&amp;$B7&amp;"*",'Bảng tin &amp; Chi tiết tin'!$AO$8:$AO$502,"Pass")+COUNTIFS('Theo dõi đơn'!$B$8:$B$502,"*"&amp;$B7&amp;"*",'Theo dõi đơn'!$AO$8:$AO$502,"Pass")+COUNTIFS('Huỷ đơn'!$B$8:$B$502,"*"&amp;$B7&amp;"*",'Huỷ đơn'!$AO$8:$AO$502,"Pass")+COUNTIFS('Tặng quà'!$B$8:$B$502,"*"&amp;$B7&amp;"*",'Tặng quà'!$AO$8:$AO$502,"Pass")</f>
        <v/>
      </c>
      <c r="H7" s="276">
        <f>COUNTIFS('Hoạt động'!$B$8:$B$502,"*"&amp;$B7&amp;"*",'Hoạt động'!$AO$8:$AO$502,"Fail")+COUNTIFS('Cá nhân'!$B$8:$B$502,"*"&amp;$B7&amp;"*",'Cá nhân'!$AO$8:$AO$502,"Fail")+COUNTIFS('Thông báo'!$B$8:$B$502,"*"&amp;$B7&amp;"*",'Thông báo'!$AO$8:$AO$502,"Fail")+COUNTIFS('Đăng tin'!$B$8:$B$502,"*"&amp;$B7&amp;"*",'Đăng tin'!$AO$8:$AO$502,"Fail")+COUNTIFS('Trang chủ'!$B$8:$B$502,"*"&amp;$B7&amp;"*",'Trang chủ'!$AO$8:$AO$502,"Fail")+COUNTIFS('Bảng tin &amp; Chi tiết tin'!$B$8:$B$502,"*"&amp;$B7&amp;"*",'Bảng tin &amp; Chi tiết tin'!$AO$8:$AO$502,"Fail")+COUNTIFS('Theo dõi đơn'!$B$8:$B$502,"*"&amp;$B7&amp;"*",'Theo dõi đơn'!$AO$8:$AO$502,"Fail")+COUNTIFS('Huỷ đơn'!$B$8:$B$502,"*"&amp;$B7&amp;"*",'Huỷ đơn'!$AO$8:$AO$502,"Fail")+COUNTIFS('Tặng quà'!$B$8:$B$502,"*"&amp;$B7&amp;"*",'Tặng quà'!$AO$8:$AO$502,"Fail")</f>
        <v/>
      </c>
      <c r="I7" s="277">
        <f>IFERROR(F7/E7,0)</f>
        <v/>
      </c>
      <c r="J7" s="354">
        <f>IF(E7=0,"Chưa có TC (gap)",IF(H7&gt;0,"Có lỗi (Fail)",IF(F7&gt;=E7,"Đã test xong","Đang test")))</f>
        <v/>
      </c>
    </row>
    <row r="8" ht="15" customHeight="1" s="225">
      <c r="B8" s="411" t="inlineStr">
        <is>
          <t>REQ-USR-004</t>
        </is>
      </c>
      <c r="C8" s="278" t="inlineStr">
        <is>
          <t>Hiển thị tổng đơn đã giúp + tổng quà ảo nhận (không tính điểm/CO₂)</t>
        </is>
      </c>
      <c r="D8" s="354" t="inlineStr">
        <is>
          <t>USR-05 · DOC-v1.0-01 §A6, §A7 + DOC-v1.0-04</t>
        </is>
      </c>
      <c r="E8" s="276">
        <f>COUNTIF('Hoạt động'!$B$8:$B$502,"*"&amp;$B8&amp;"*")+COUNTIF('Cá nhân'!$B$8:$B$502,"*"&amp;$B8&amp;"*")+COUNTIF('Thông báo'!$B$8:$B$502,"*"&amp;$B8&amp;"*")+COUNTIF('Đăng tin'!$B$8:$B$502,"*"&amp;$B8&amp;"*")+COUNTIF('Trang chủ'!$B$8:$B$502,"*"&amp;$B8&amp;"*")+COUNTIF('Bảng tin &amp; Chi tiết tin'!$B$8:$B$502,"*"&amp;$B8&amp;"*")+COUNTIF('Theo dõi đơn'!$B$8:$B$502,"*"&amp;$B8&amp;"*")+COUNTIF('Huỷ đơn'!$B$8:$B$502,"*"&amp;$B8&amp;"*")+COUNTIF('Tặng quà'!$B$8:$B$502,"*"&amp;$B8&amp;"*")</f>
        <v/>
      </c>
      <c r="F8" s="276">
        <f>SUMPRODUCT(ISNUMBER(SEARCH($B8,'Hoạt động'!$B$8:$B$502))*('Hoạt động'!$AO$8:$AO$502&lt;&gt;""))+SUMPRODUCT(ISNUMBER(SEARCH($B8,'Cá nhân'!$B$8:$B$502))*('Cá nhân'!$AO$8:$AO$502&lt;&gt;""))+SUMPRODUCT(ISNUMBER(SEARCH($B8,'Thông báo'!$B$8:$B$502))*('Thông báo'!$AO$8:$AO$502&lt;&gt;""))+SUMPRODUCT(ISNUMBER(SEARCH($B8,'Đăng tin'!$B$8:$B$502))*('Đăng tin'!$AO$8:$AO$502&lt;&gt;""))+SUMPRODUCT(ISNUMBER(SEARCH($B8,'Trang chủ'!$B$8:$B$502))*('Trang chủ'!$AO$8:$AO$502&lt;&gt;""))+SUMPRODUCT(ISNUMBER(SEARCH($B8,'Bảng tin &amp; Chi tiết tin'!$B$8:$B$502))*('Bảng tin &amp; Chi tiết tin'!$AO$8:$AO$502&lt;&gt;""))+SUMPRODUCT(ISNUMBER(SEARCH($B8,'Theo dõi đơn'!$B$8:$B$502))*('Theo dõi đơn'!$AO$8:$AO$502&lt;&gt;""))+SUMPRODUCT(ISNUMBER(SEARCH($B8,'Huỷ đơn'!$B$8:$B$502))*('Huỷ đơn'!$AO$8:$AO$502&lt;&gt;""))+SUMPRODUCT(ISNUMBER(SEARCH($B8,'Tặng quà'!$B$8:$B$502))*('Tặng quà'!$AO$8:$AO$502&lt;&gt;""))</f>
        <v/>
      </c>
      <c r="G8" s="276">
        <f>COUNTIFS('Hoạt động'!$B$8:$B$502,"*"&amp;$B8&amp;"*",'Hoạt động'!$AO$8:$AO$502,"Pass")+COUNTIFS('Cá nhân'!$B$8:$B$502,"*"&amp;$B8&amp;"*",'Cá nhân'!$AO$8:$AO$502,"Pass")+COUNTIFS('Thông báo'!$B$8:$B$502,"*"&amp;$B8&amp;"*",'Thông báo'!$AO$8:$AO$502,"Pass")+COUNTIFS('Đăng tin'!$B$8:$B$502,"*"&amp;$B8&amp;"*",'Đăng tin'!$AO$8:$AO$502,"Pass")+COUNTIFS('Trang chủ'!$B$8:$B$502,"*"&amp;$B8&amp;"*",'Trang chủ'!$AO$8:$AO$502,"Pass")+COUNTIFS('Bảng tin &amp; Chi tiết tin'!$B$8:$B$502,"*"&amp;$B8&amp;"*",'Bảng tin &amp; Chi tiết tin'!$AO$8:$AO$502,"Pass")+COUNTIFS('Theo dõi đơn'!$B$8:$B$502,"*"&amp;$B8&amp;"*",'Theo dõi đơn'!$AO$8:$AO$502,"Pass")+COUNTIFS('Huỷ đơn'!$B$8:$B$502,"*"&amp;$B8&amp;"*",'Huỷ đơn'!$AO$8:$AO$502,"Pass")+COUNTIFS('Tặng quà'!$B$8:$B$502,"*"&amp;$B8&amp;"*",'Tặng quà'!$AO$8:$AO$502,"Pass")</f>
        <v/>
      </c>
      <c r="H8" s="276">
        <f>COUNTIFS('Hoạt động'!$B$8:$B$502,"*"&amp;$B8&amp;"*",'Hoạt động'!$AO$8:$AO$502,"Fail")+COUNTIFS('Cá nhân'!$B$8:$B$502,"*"&amp;$B8&amp;"*",'Cá nhân'!$AO$8:$AO$502,"Fail")+COUNTIFS('Thông báo'!$B$8:$B$502,"*"&amp;$B8&amp;"*",'Thông báo'!$AO$8:$AO$502,"Fail")+COUNTIFS('Đăng tin'!$B$8:$B$502,"*"&amp;$B8&amp;"*",'Đăng tin'!$AO$8:$AO$502,"Fail")+COUNTIFS('Trang chủ'!$B$8:$B$502,"*"&amp;$B8&amp;"*",'Trang chủ'!$AO$8:$AO$502,"Fail")+COUNTIFS('Bảng tin &amp; Chi tiết tin'!$B$8:$B$502,"*"&amp;$B8&amp;"*",'Bảng tin &amp; Chi tiết tin'!$AO$8:$AO$502,"Fail")+COUNTIFS('Theo dõi đơn'!$B$8:$B$502,"*"&amp;$B8&amp;"*",'Theo dõi đơn'!$AO$8:$AO$502,"Fail")+COUNTIFS('Huỷ đơn'!$B$8:$B$502,"*"&amp;$B8&amp;"*",'Huỷ đơn'!$AO$8:$AO$502,"Fail")+COUNTIFS('Tặng quà'!$B$8:$B$502,"*"&amp;$B8&amp;"*",'Tặng quà'!$AO$8:$AO$502,"Fail")</f>
        <v/>
      </c>
      <c r="I8" s="277">
        <f>IFERROR(F8/E8,0)</f>
        <v/>
      </c>
      <c r="J8" s="354">
        <f>IF(E8=0,"Chưa có TC (gap)",IF(H8&gt;0,"Có lỗi (Fail)",IF(F8&gt;=E8,"Đã test xong","Đang test")))</f>
        <v/>
      </c>
    </row>
    <row r="9" ht="15" customHeight="1" s="225">
      <c r="B9" s="411" t="inlineStr">
        <is>
          <t>REQ-USR-005</t>
        </is>
      </c>
      <c r="C9" s="278" t="inlineStr">
        <is>
          <t>Cấu hình kênh liên hệ sẽ lộ</t>
        </is>
      </c>
      <c r="D9" s="354" t="inlineStr">
        <is>
          <t>USR-07 · DOC-v1.0-01 §A6</t>
        </is>
      </c>
      <c r="E9" s="276">
        <f>COUNTIF('Hoạt động'!$B$8:$B$502,"*"&amp;$B9&amp;"*")+COUNTIF('Cá nhân'!$B$8:$B$502,"*"&amp;$B9&amp;"*")+COUNTIF('Thông báo'!$B$8:$B$502,"*"&amp;$B9&amp;"*")+COUNTIF('Đăng tin'!$B$8:$B$502,"*"&amp;$B9&amp;"*")+COUNTIF('Trang chủ'!$B$8:$B$502,"*"&amp;$B9&amp;"*")+COUNTIF('Bảng tin &amp; Chi tiết tin'!$B$8:$B$502,"*"&amp;$B9&amp;"*")+COUNTIF('Theo dõi đơn'!$B$8:$B$502,"*"&amp;$B9&amp;"*")+COUNTIF('Huỷ đơn'!$B$8:$B$502,"*"&amp;$B9&amp;"*")+COUNTIF('Tặng quà'!$B$8:$B$502,"*"&amp;$B9&amp;"*")</f>
        <v/>
      </c>
      <c r="F9" s="276">
        <f>SUMPRODUCT(ISNUMBER(SEARCH($B9,'Hoạt động'!$B$8:$B$502))*('Hoạt động'!$AO$8:$AO$502&lt;&gt;""))+SUMPRODUCT(ISNUMBER(SEARCH($B9,'Cá nhân'!$B$8:$B$502))*('Cá nhân'!$AO$8:$AO$502&lt;&gt;""))+SUMPRODUCT(ISNUMBER(SEARCH($B9,'Thông báo'!$B$8:$B$502))*('Thông báo'!$AO$8:$AO$502&lt;&gt;""))+SUMPRODUCT(ISNUMBER(SEARCH($B9,'Đăng tin'!$B$8:$B$502))*('Đăng tin'!$AO$8:$AO$502&lt;&gt;""))+SUMPRODUCT(ISNUMBER(SEARCH($B9,'Trang chủ'!$B$8:$B$502))*('Trang chủ'!$AO$8:$AO$502&lt;&gt;""))+SUMPRODUCT(ISNUMBER(SEARCH($B9,'Bảng tin &amp; Chi tiết tin'!$B$8:$B$502))*('Bảng tin &amp; Chi tiết tin'!$AO$8:$AO$502&lt;&gt;""))+SUMPRODUCT(ISNUMBER(SEARCH($B9,'Theo dõi đơn'!$B$8:$B$502))*('Theo dõi đơn'!$AO$8:$AO$502&lt;&gt;""))+SUMPRODUCT(ISNUMBER(SEARCH($B9,'Huỷ đơn'!$B$8:$B$502))*('Huỷ đơn'!$AO$8:$AO$502&lt;&gt;""))+SUMPRODUCT(ISNUMBER(SEARCH($B9,'Tặng quà'!$B$8:$B$502))*('Tặng quà'!$AO$8:$AO$502&lt;&gt;""))</f>
        <v/>
      </c>
      <c r="G9" s="276">
        <f>COUNTIFS('Hoạt động'!$B$8:$B$502,"*"&amp;$B9&amp;"*",'Hoạt động'!$AO$8:$AO$502,"Pass")+COUNTIFS('Cá nhân'!$B$8:$B$502,"*"&amp;$B9&amp;"*",'Cá nhân'!$AO$8:$AO$502,"Pass")+COUNTIFS('Thông báo'!$B$8:$B$502,"*"&amp;$B9&amp;"*",'Thông báo'!$AO$8:$AO$502,"Pass")+COUNTIFS('Đăng tin'!$B$8:$B$502,"*"&amp;$B9&amp;"*",'Đăng tin'!$AO$8:$AO$502,"Pass")+COUNTIFS('Trang chủ'!$B$8:$B$502,"*"&amp;$B9&amp;"*",'Trang chủ'!$AO$8:$AO$502,"Pass")+COUNTIFS('Bảng tin &amp; Chi tiết tin'!$B$8:$B$502,"*"&amp;$B9&amp;"*",'Bảng tin &amp; Chi tiết tin'!$AO$8:$AO$502,"Pass")+COUNTIFS('Theo dõi đơn'!$B$8:$B$502,"*"&amp;$B9&amp;"*",'Theo dõi đơn'!$AO$8:$AO$502,"Pass")+COUNTIFS('Huỷ đơn'!$B$8:$B$502,"*"&amp;$B9&amp;"*",'Huỷ đơn'!$AO$8:$AO$502,"Pass")+COUNTIFS('Tặng quà'!$B$8:$B$502,"*"&amp;$B9&amp;"*",'Tặng quà'!$AO$8:$AO$502,"Pass")</f>
        <v/>
      </c>
      <c r="H9" s="276">
        <f>COUNTIFS('Hoạt động'!$B$8:$B$502,"*"&amp;$B9&amp;"*",'Hoạt động'!$AO$8:$AO$502,"Fail")+COUNTIFS('Cá nhân'!$B$8:$B$502,"*"&amp;$B9&amp;"*",'Cá nhân'!$AO$8:$AO$502,"Fail")+COUNTIFS('Thông báo'!$B$8:$B$502,"*"&amp;$B9&amp;"*",'Thông báo'!$AO$8:$AO$502,"Fail")+COUNTIFS('Đăng tin'!$B$8:$B$502,"*"&amp;$B9&amp;"*",'Đăng tin'!$AO$8:$AO$502,"Fail")+COUNTIFS('Trang chủ'!$B$8:$B$502,"*"&amp;$B9&amp;"*",'Trang chủ'!$AO$8:$AO$502,"Fail")+COUNTIFS('Bảng tin &amp; Chi tiết tin'!$B$8:$B$502,"*"&amp;$B9&amp;"*",'Bảng tin &amp; Chi tiết tin'!$AO$8:$AO$502,"Fail")+COUNTIFS('Theo dõi đơn'!$B$8:$B$502,"*"&amp;$B9&amp;"*",'Theo dõi đơn'!$AO$8:$AO$502,"Fail")+COUNTIFS('Huỷ đơn'!$B$8:$B$502,"*"&amp;$B9&amp;"*",'Huỷ đơn'!$AO$8:$AO$502,"Fail")+COUNTIFS('Tặng quà'!$B$8:$B$502,"*"&amp;$B9&amp;"*",'Tặng quà'!$AO$8:$AO$502,"Fail")</f>
        <v/>
      </c>
      <c r="I9" s="277">
        <f>IFERROR(F9/E9,0)</f>
        <v/>
      </c>
      <c r="J9" s="354">
        <f>IF(E9=0,"Chưa có TC (gap)",IF(H9&gt;0,"Có lỗi (Fail)",IF(F9&gt;=E9,"Đã test xong","Đang test")))</f>
        <v/>
      </c>
    </row>
    <row r="10" ht="15" customHeight="1" s="225">
      <c r="B10" s="411" t="inlineStr">
        <is>
          <t>REQ-ORD-004</t>
        </is>
      </c>
      <c r="C10" s="278" t="inlineStr">
        <is>
          <t>Tin hết hạn tự động</t>
        </is>
      </c>
      <c r="D10" s="354" t="inlineStr">
        <is>
          <t>ORD-06, US-D04 · DOC-v1.0-01 §D3, §D1b</t>
        </is>
      </c>
      <c r="E10" s="276">
        <f>COUNTIF('Hoạt động'!$B$8:$B$502,"*"&amp;$B10&amp;"*")+COUNTIF('Cá nhân'!$B$8:$B$502,"*"&amp;$B10&amp;"*")+COUNTIF('Thông báo'!$B$8:$B$502,"*"&amp;$B10&amp;"*")+COUNTIF('Đăng tin'!$B$8:$B$502,"*"&amp;$B10&amp;"*")+COUNTIF('Trang chủ'!$B$8:$B$502,"*"&amp;$B10&amp;"*")+COUNTIF('Bảng tin &amp; Chi tiết tin'!$B$8:$B$502,"*"&amp;$B10&amp;"*")+COUNTIF('Theo dõi đơn'!$B$8:$B$502,"*"&amp;$B10&amp;"*")+COUNTIF('Huỷ đơn'!$B$8:$B$502,"*"&amp;$B10&amp;"*")+COUNTIF('Tặng quà'!$B$8:$B$502,"*"&amp;$B10&amp;"*")</f>
        <v/>
      </c>
      <c r="F10" s="276">
        <f>SUMPRODUCT(ISNUMBER(SEARCH($B10,'Hoạt động'!$B$8:$B$502))*('Hoạt động'!$AO$8:$AO$502&lt;&gt;""))+SUMPRODUCT(ISNUMBER(SEARCH($B10,'Cá nhân'!$B$8:$B$502))*('Cá nhân'!$AO$8:$AO$502&lt;&gt;""))+SUMPRODUCT(ISNUMBER(SEARCH($B10,'Thông báo'!$B$8:$B$502))*('Thông báo'!$AO$8:$AO$502&lt;&gt;""))+SUMPRODUCT(ISNUMBER(SEARCH($B10,'Đăng tin'!$B$8:$B$502))*('Đăng tin'!$AO$8:$AO$502&lt;&gt;""))+SUMPRODUCT(ISNUMBER(SEARCH($B10,'Trang chủ'!$B$8:$B$502))*('Trang chủ'!$AO$8:$AO$502&lt;&gt;""))+SUMPRODUCT(ISNUMBER(SEARCH($B10,'Bảng tin &amp; Chi tiết tin'!$B$8:$B$502))*('Bảng tin &amp; Chi tiết tin'!$AO$8:$AO$502&lt;&gt;""))+SUMPRODUCT(ISNUMBER(SEARCH($B10,'Theo dõi đơn'!$B$8:$B$502))*('Theo dõi đơn'!$AO$8:$AO$502&lt;&gt;""))+SUMPRODUCT(ISNUMBER(SEARCH($B10,'Huỷ đơn'!$B$8:$B$502))*('Huỷ đơn'!$AO$8:$AO$502&lt;&gt;""))+SUMPRODUCT(ISNUMBER(SEARCH($B10,'Tặng quà'!$B$8:$B$502))*('Tặng quà'!$AO$8:$AO$502&lt;&gt;""))</f>
        <v/>
      </c>
      <c r="G10" s="276">
        <f>COUNTIFS('Hoạt động'!$B$8:$B$502,"*"&amp;$B10&amp;"*",'Hoạt động'!$AO$8:$AO$502,"Pass")+COUNTIFS('Cá nhân'!$B$8:$B$502,"*"&amp;$B10&amp;"*",'Cá nhân'!$AO$8:$AO$502,"Pass")+COUNTIFS('Thông báo'!$B$8:$B$502,"*"&amp;$B10&amp;"*",'Thông báo'!$AO$8:$AO$502,"Pass")+COUNTIFS('Đăng tin'!$B$8:$B$502,"*"&amp;$B10&amp;"*",'Đăng tin'!$AO$8:$AO$502,"Pass")+COUNTIFS('Trang chủ'!$B$8:$B$502,"*"&amp;$B10&amp;"*",'Trang chủ'!$AO$8:$AO$502,"Pass")+COUNTIFS('Bảng tin &amp; Chi tiết tin'!$B$8:$B$502,"*"&amp;$B10&amp;"*",'Bảng tin &amp; Chi tiết tin'!$AO$8:$AO$502,"Pass")+COUNTIFS('Theo dõi đơn'!$B$8:$B$502,"*"&amp;$B10&amp;"*",'Theo dõi đơn'!$AO$8:$AO$502,"Pass")+COUNTIFS('Huỷ đơn'!$B$8:$B$502,"*"&amp;$B10&amp;"*",'Huỷ đơn'!$AO$8:$AO$502,"Pass")+COUNTIFS('Tặng quà'!$B$8:$B$502,"*"&amp;$B10&amp;"*",'Tặng quà'!$AO$8:$AO$502,"Pass")</f>
        <v/>
      </c>
      <c r="H10" s="276">
        <f>COUNTIFS('Hoạt động'!$B$8:$B$502,"*"&amp;$B10&amp;"*",'Hoạt động'!$AO$8:$AO$502,"Fail")+COUNTIFS('Cá nhân'!$B$8:$B$502,"*"&amp;$B10&amp;"*",'Cá nhân'!$AO$8:$AO$502,"Fail")+COUNTIFS('Thông báo'!$B$8:$B$502,"*"&amp;$B10&amp;"*",'Thông báo'!$AO$8:$AO$502,"Fail")+COUNTIFS('Đăng tin'!$B$8:$B$502,"*"&amp;$B10&amp;"*",'Đăng tin'!$AO$8:$AO$502,"Fail")+COUNTIFS('Trang chủ'!$B$8:$B$502,"*"&amp;$B10&amp;"*",'Trang chủ'!$AO$8:$AO$502,"Fail")+COUNTIFS('Bảng tin &amp; Chi tiết tin'!$B$8:$B$502,"*"&amp;$B10&amp;"*",'Bảng tin &amp; Chi tiết tin'!$AO$8:$AO$502,"Fail")+COUNTIFS('Theo dõi đơn'!$B$8:$B$502,"*"&amp;$B10&amp;"*",'Theo dõi đơn'!$AO$8:$AO$502,"Fail")+COUNTIFS('Huỷ đơn'!$B$8:$B$502,"*"&amp;$B10&amp;"*",'Huỷ đơn'!$AO$8:$AO$502,"Fail")+COUNTIFS('Tặng quà'!$B$8:$B$502,"*"&amp;$B10&amp;"*",'Tặng quà'!$AO$8:$AO$502,"Fail")</f>
        <v/>
      </c>
      <c r="I10" s="277">
        <f>IFERROR(F10/E10,0)</f>
        <v/>
      </c>
      <c r="J10" s="354">
        <f>IF(E10=0,"Chưa có TC (gap)",IF(H10&gt;0,"Có lỗi (Fail)",IF(F10&gt;=E10,"Đã test xong","Đang test")))</f>
        <v/>
      </c>
    </row>
    <row r="11" ht="15" customHeight="1" s="225">
      <c r="B11" s="411" t="inlineStr">
        <is>
          <t>REQ-ORD-011</t>
        </is>
      </c>
      <c r="C11" s="278" t="inlineStr">
        <is>
          <t>Màn Hoạt động (Đơn của tôi) — theo dõi lịch sử đơn theo tab</t>
        </is>
      </c>
      <c r="D11" s="354" t="inlineStr">
        <is>
          <t>DOC-v1.0-02</t>
        </is>
      </c>
      <c r="E11" s="354">
        <f>COUNTIF('Hoạt động'!$B$8:$B$502,"*"&amp;$B11&amp;"*")+COUNTIF('Cá nhân'!$B$8:$B$502,"*"&amp;$B11&amp;"*")+COUNTIF('Thông báo'!$B$8:$B$502,"*"&amp;$B11&amp;"*")+COUNTIF('Đăng tin'!$B$8:$B$502,"*"&amp;$B11&amp;"*")+COUNTIF('Trang chủ'!$B$8:$B$502,"*"&amp;$B11&amp;"*")+COUNTIF('Bảng tin &amp; Chi tiết tin'!$B$8:$B$502,"*"&amp;$B11&amp;"*")+COUNTIF('Theo dõi đơn'!$B$8:$B$502,"*"&amp;$B11&amp;"*")+COUNTIF('Huỷ đơn'!$B$8:$B$502,"*"&amp;$B11&amp;"*")+COUNTIF('Tặng quà'!$B$8:$B$502,"*"&amp;$B11&amp;"*")</f>
        <v/>
      </c>
      <c r="F11" s="354">
        <f>SUMPRODUCT(ISNUMBER(SEARCH($B11,'Hoạt động'!$B$8:$B$502))*('Hoạt động'!$AO$8:$AO$502&lt;&gt;""))+SUMPRODUCT(ISNUMBER(SEARCH($B11,'Cá nhân'!$B$8:$B$502))*('Cá nhân'!$AO$8:$AO$502&lt;&gt;""))+SUMPRODUCT(ISNUMBER(SEARCH($B11,'Thông báo'!$B$8:$B$502))*('Thông báo'!$AO$8:$AO$502&lt;&gt;""))+SUMPRODUCT(ISNUMBER(SEARCH($B11,'Đăng tin'!$B$8:$B$502))*('Đăng tin'!$AO$8:$AO$502&lt;&gt;""))+SUMPRODUCT(ISNUMBER(SEARCH($B11,'Trang chủ'!$B$8:$B$502))*('Trang chủ'!$AO$8:$AO$502&lt;&gt;""))+SUMPRODUCT(ISNUMBER(SEARCH($B11,'Bảng tin &amp; Chi tiết tin'!$B$8:$B$502))*('Bảng tin &amp; Chi tiết tin'!$AO$8:$AO$502&lt;&gt;""))+SUMPRODUCT(ISNUMBER(SEARCH($B11,'Theo dõi đơn'!$B$8:$B$502))*('Theo dõi đơn'!$AO$8:$AO$502&lt;&gt;""))+SUMPRODUCT(ISNUMBER(SEARCH($B11,'Huỷ đơn'!$B$8:$B$502))*('Huỷ đơn'!$AO$8:$AO$502&lt;&gt;""))+SUMPRODUCT(ISNUMBER(SEARCH($B11,'Tặng quà'!$B$8:$B$502))*('Tặng quà'!$AO$8:$AO$502&lt;&gt;""))</f>
        <v/>
      </c>
      <c r="G11" s="354">
        <f>COUNTIFS('Hoạt động'!$B$8:$B$502,"*"&amp;$B11&amp;"*",'Hoạt động'!$AO$8:$AO$502,"Pass")+COUNTIFS('Cá nhân'!$B$8:$B$502,"*"&amp;$B11&amp;"*",'Cá nhân'!$AO$8:$AO$502,"Pass")+COUNTIFS('Thông báo'!$B$8:$B$502,"*"&amp;$B11&amp;"*",'Thông báo'!$AO$8:$AO$502,"Pass")+COUNTIFS('Đăng tin'!$B$8:$B$502,"*"&amp;$B11&amp;"*",'Đăng tin'!$AO$8:$AO$502,"Pass")+COUNTIFS('Trang chủ'!$B$8:$B$502,"*"&amp;$B11&amp;"*",'Trang chủ'!$AO$8:$AO$502,"Pass")+COUNTIFS('Bảng tin &amp; Chi tiết tin'!$B$8:$B$502,"*"&amp;$B11&amp;"*",'Bảng tin &amp; Chi tiết tin'!$AO$8:$AO$502,"Pass")+COUNTIFS('Theo dõi đơn'!$B$8:$B$502,"*"&amp;$B11&amp;"*",'Theo dõi đơn'!$AO$8:$AO$502,"Pass")+COUNTIFS('Huỷ đơn'!$B$8:$B$502,"*"&amp;$B11&amp;"*",'Huỷ đơn'!$AO$8:$AO$502,"Pass")+COUNTIFS('Tặng quà'!$B$8:$B$502,"*"&amp;$B11&amp;"*",'Tặng quà'!$AO$8:$AO$502,"Pass")</f>
        <v/>
      </c>
      <c r="H11" s="354">
        <f>COUNTIFS('Hoạt động'!$B$8:$B$502,"*"&amp;$B11&amp;"*",'Hoạt động'!$AO$8:$AO$502,"Fail")+COUNTIFS('Cá nhân'!$B$8:$B$502,"*"&amp;$B11&amp;"*",'Cá nhân'!$AO$8:$AO$502,"Fail")+COUNTIFS('Thông báo'!$B$8:$B$502,"*"&amp;$B11&amp;"*",'Thông báo'!$AO$8:$AO$502,"Fail")+COUNTIFS('Đăng tin'!$B$8:$B$502,"*"&amp;$B11&amp;"*",'Đăng tin'!$AO$8:$AO$502,"Fail")+COUNTIFS('Trang chủ'!$B$8:$B$502,"*"&amp;$B11&amp;"*",'Trang chủ'!$AO$8:$AO$502,"Fail")+COUNTIFS('Bảng tin &amp; Chi tiết tin'!$B$8:$B$502,"*"&amp;$B11&amp;"*",'Bảng tin &amp; Chi tiết tin'!$AO$8:$AO$502,"Fail")+COUNTIFS('Theo dõi đơn'!$B$8:$B$502,"*"&amp;$B11&amp;"*",'Theo dõi đơn'!$AO$8:$AO$502,"Fail")+COUNTIFS('Huỷ đơn'!$B$8:$B$502,"*"&amp;$B11&amp;"*",'Huỷ đơn'!$AO$8:$AO$502,"Fail")+COUNTIFS('Tặng quà'!$B$8:$B$502,"*"&amp;$B11&amp;"*",'Tặng quà'!$AO$8:$AO$502,"Fail")</f>
        <v/>
      </c>
      <c r="I11" s="354">
        <f>IFERROR(F11/E11,0)</f>
        <v/>
      </c>
      <c r="J11" s="354">
        <f>IF(E11=0,"Chưa có TC (gap)",IF(H11&gt;0,"Có lỗi (Fail)",IF(F11&gt;=E11,"Đã test xong","Đang test")))</f>
        <v/>
      </c>
    </row>
    <row r="12" ht="15" customHeight="1" s="225">
      <c r="B12" s="411" t="inlineStr">
        <is>
          <t>REQ-GIFT-001</t>
        </is>
      </c>
      <c r="C12" s="278" t="inlineStr">
        <is>
          <t>Tặng quà cảm ơn Carrier (4 loại)</t>
        </is>
      </c>
      <c r="D12" s="354" t="inlineStr">
        <is>
          <t>GIFT-01, BR-GIFT-01 · DOC-v1.0-01 §D3, §D4</t>
        </is>
      </c>
      <c r="E12" s="354">
        <f>COUNTIF('Hoạt động'!$B$8:$B$502,"*"&amp;$B12&amp;"*")+COUNTIF('Cá nhân'!$B$8:$B$502,"*"&amp;$B12&amp;"*")+COUNTIF('Thông báo'!$B$8:$B$502,"*"&amp;$B12&amp;"*")+COUNTIF('Đăng tin'!$B$8:$B$502,"*"&amp;$B12&amp;"*")+COUNTIF('Trang chủ'!$B$8:$B$502,"*"&amp;$B12&amp;"*")+COUNTIF('Bảng tin &amp; Chi tiết tin'!$B$8:$B$502,"*"&amp;$B12&amp;"*")+COUNTIF('Theo dõi đơn'!$B$8:$B$502,"*"&amp;$B12&amp;"*")+COUNTIF('Huỷ đơn'!$B$8:$B$502,"*"&amp;$B12&amp;"*")+COUNTIF('Tặng quà'!$B$8:$B$502,"*"&amp;$B12&amp;"*")</f>
        <v/>
      </c>
      <c r="F12" s="354">
        <f>SUMPRODUCT(ISNUMBER(SEARCH($B12,'Hoạt động'!$B$8:$B$502))*('Hoạt động'!$AO$8:$AO$502&lt;&gt;""))+SUMPRODUCT(ISNUMBER(SEARCH($B12,'Cá nhân'!$B$8:$B$502))*('Cá nhân'!$AO$8:$AO$502&lt;&gt;""))+SUMPRODUCT(ISNUMBER(SEARCH($B12,'Thông báo'!$B$8:$B$502))*('Thông báo'!$AO$8:$AO$502&lt;&gt;""))+SUMPRODUCT(ISNUMBER(SEARCH($B12,'Đăng tin'!$B$8:$B$502))*('Đăng tin'!$AO$8:$AO$502&lt;&gt;""))+SUMPRODUCT(ISNUMBER(SEARCH($B12,'Trang chủ'!$B$8:$B$502))*('Trang chủ'!$AO$8:$AO$502&lt;&gt;""))+SUMPRODUCT(ISNUMBER(SEARCH($B12,'Bảng tin &amp; Chi tiết tin'!$B$8:$B$502))*('Bảng tin &amp; Chi tiết tin'!$AO$8:$AO$502&lt;&gt;""))+SUMPRODUCT(ISNUMBER(SEARCH($B12,'Theo dõi đơn'!$B$8:$B$502))*('Theo dõi đơn'!$AO$8:$AO$502&lt;&gt;""))+SUMPRODUCT(ISNUMBER(SEARCH($B12,'Huỷ đơn'!$B$8:$B$502))*('Huỷ đơn'!$AO$8:$AO$502&lt;&gt;""))+SUMPRODUCT(ISNUMBER(SEARCH($B12,'Tặng quà'!$B$8:$B$502))*('Tặng quà'!$AO$8:$AO$502&lt;&gt;""))</f>
        <v/>
      </c>
      <c r="G12" s="354">
        <f>COUNTIFS('Hoạt động'!$B$8:$B$502,"*"&amp;$B12&amp;"*",'Hoạt động'!$AO$8:$AO$502,"Pass")+COUNTIFS('Cá nhân'!$B$8:$B$502,"*"&amp;$B12&amp;"*",'Cá nhân'!$AO$8:$AO$502,"Pass")+COUNTIFS('Thông báo'!$B$8:$B$502,"*"&amp;$B12&amp;"*",'Thông báo'!$AO$8:$AO$502,"Pass")+COUNTIFS('Đăng tin'!$B$8:$B$502,"*"&amp;$B12&amp;"*",'Đăng tin'!$AO$8:$AO$502,"Pass")+COUNTIFS('Trang chủ'!$B$8:$B$502,"*"&amp;$B12&amp;"*",'Trang chủ'!$AO$8:$AO$502,"Pass")+COUNTIFS('Bảng tin &amp; Chi tiết tin'!$B$8:$B$502,"*"&amp;$B12&amp;"*",'Bảng tin &amp; Chi tiết tin'!$AO$8:$AO$502,"Pass")+COUNTIFS('Theo dõi đơn'!$B$8:$B$502,"*"&amp;$B12&amp;"*",'Theo dõi đơn'!$AO$8:$AO$502,"Pass")+COUNTIFS('Huỷ đơn'!$B$8:$B$502,"*"&amp;$B12&amp;"*",'Huỷ đơn'!$AO$8:$AO$502,"Pass")+COUNTIFS('Tặng quà'!$B$8:$B$502,"*"&amp;$B12&amp;"*",'Tặng quà'!$AO$8:$AO$502,"Pass")</f>
        <v/>
      </c>
      <c r="H12" s="354">
        <f>COUNTIFS('Hoạt động'!$B$8:$B$502,"*"&amp;$B12&amp;"*",'Hoạt động'!$AO$8:$AO$502,"Fail")+COUNTIFS('Cá nhân'!$B$8:$B$502,"*"&amp;$B12&amp;"*",'Cá nhân'!$AO$8:$AO$502,"Fail")+COUNTIFS('Thông báo'!$B$8:$B$502,"*"&amp;$B12&amp;"*",'Thông báo'!$AO$8:$AO$502,"Fail")+COUNTIFS('Đăng tin'!$B$8:$B$502,"*"&amp;$B12&amp;"*",'Đăng tin'!$AO$8:$AO$502,"Fail")+COUNTIFS('Trang chủ'!$B$8:$B$502,"*"&amp;$B12&amp;"*",'Trang chủ'!$AO$8:$AO$502,"Fail")+COUNTIFS('Bảng tin &amp; Chi tiết tin'!$B$8:$B$502,"*"&amp;$B12&amp;"*",'Bảng tin &amp; Chi tiết tin'!$AO$8:$AO$502,"Fail")+COUNTIFS('Theo dõi đơn'!$B$8:$B$502,"*"&amp;$B12&amp;"*",'Theo dõi đơn'!$AO$8:$AO$502,"Fail")+COUNTIFS('Huỷ đơn'!$B$8:$B$502,"*"&amp;$B12&amp;"*",'Huỷ đơn'!$AO$8:$AO$502,"Fail")+COUNTIFS('Tặng quà'!$B$8:$B$502,"*"&amp;$B12&amp;"*",'Tặng quà'!$AO$8:$AO$502,"Fail")</f>
        <v/>
      </c>
      <c r="I12" s="354">
        <f>IFERROR(F12/E12,0)</f>
        <v/>
      </c>
      <c r="J12" s="354">
        <f>IF(E12=0,"Chưa có TC (gap)",IF(H12&gt;0,"Có lỗi (Fail)",IF(F12&gt;=E12,"Đã test xong","Đang test")))</f>
        <v/>
      </c>
    </row>
    <row r="13" ht="15" customHeight="1" s="225">
      <c r="B13" s="411" t="inlineStr">
        <is>
          <t>REQ-CNL-001</t>
        </is>
      </c>
      <c r="C13" s="278" t="inlineStr">
        <is>
          <t>Huỷ đơn kèm lý do bắt buộc + đồng bộ realtime</t>
        </is>
      </c>
      <c r="D13" s="354" t="inlineStr">
        <is>
          <t>CNL-01, BR-CNL-01, BR-INT-05, US-D16 · DOC-v1.0-01 §D3, §D4, §A5, §D1b</t>
        </is>
      </c>
      <c r="E13" s="354">
        <f>COUNTIF('Hoạt động'!$B$8:$B$502,"*"&amp;$B13&amp;"*")+COUNTIF('Cá nhân'!$B$8:$B$502,"*"&amp;$B13&amp;"*")+COUNTIF('Thông báo'!$B$8:$B$502,"*"&amp;$B13&amp;"*")+COUNTIF('Đăng tin'!$B$8:$B$502,"*"&amp;$B13&amp;"*")+COUNTIF('Trang chủ'!$B$8:$B$502,"*"&amp;$B13&amp;"*")+COUNTIF('Bảng tin &amp; Chi tiết tin'!$B$8:$B$502,"*"&amp;$B13&amp;"*")+COUNTIF('Theo dõi đơn'!$B$8:$B$502,"*"&amp;$B13&amp;"*")+COUNTIF('Huỷ đơn'!$B$8:$B$502,"*"&amp;$B13&amp;"*")+COUNTIF('Tặng quà'!$B$8:$B$502,"*"&amp;$B13&amp;"*")</f>
        <v/>
      </c>
      <c r="F13" s="354">
        <f>SUMPRODUCT(ISNUMBER(SEARCH($B13,'Hoạt động'!$B$8:$B$502))*('Hoạt động'!$AO$8:$AO$502&lt;&gt;""))+SUMPRODUCT(ISNUMBER(SEARCH($B13,'Cá nhân'!$B$8:$B$502))*('Cá nhân'!$AO$8:$AO$502&lt;&gt;""))+SUMPRODUCT(ISNUMBER(SEARCH($B13,'Thông báo'!$B$8:$B$502))*('Thông báo'!$AO$8:$AO$502&lt;&gt;""))+SUMPRODUCT(ISNUMBER(SEARCH($B13,'Đăng tin'!$B$8:$B$502))*('Đăng tin'!$AO$8:$AO$502&lt;&gt;""))+SUMPRODUCT(ISNUMBER(SEARCH($B13,'Trang chủ'!$B$8:$B$502))*('Trang chủ'!$AO$8:$AO$502&lt;&gt;""))+SUMPRODUCT(ISNUMBER(SEARCH($B13,'Bảng tin &amp; Chi tiết tin'!$B$8:$B$502))*('Bảng tin &amp; Chi tiết tin'!$AO$8:$AO$502&lt;&gt;""))+SUMPRODUCT(ISNUMBER(SEARCH($B13,'Theo dõi đơn'!$B$8:$B$502))*('Theo dõi đơn'!$AO$8:$AO$502&lt;&gt;""))+SUMPRODUCT(ISNUMBER(SEARCH($B13,'Huỷ đơn'!$B$8:$B$502))*('Huỷ đơn'!$AO$8:$AO$502&lt;&gt;""))+SUMPRODUCT(ISNUMBER(SEARCH($B13,'Tặng quà'!$B$8:$B$502))*('Tặng quà'!$AO$8:$AO$502&lt;&gt;""))</f>
        <v/>
      </c>
      <c r="G13" s="354">
        <f>COUNTIFS('Hoạt động'!$B$8:$B$502,"*"&amp;$B13&amp;"*",'Hoạt động'!$AO$8:$AO$502,"Pass")+COUNTIFS('Cá nhân'!$B$8:$B$502,"*"&amp;$B13&amp;"*",'Cá nhân'!$AO$8:$AO$502,"Pass")+COUNTIFS('Thông báo'!$B$8:$B$502,"*"&amp;$B13&amp;"*",'Thông báo'!$AO$8:$AO$502,"Pass")+COUNTIFS('Đăng tin'!$B$8:$B$502,"*"&amp;$B13&amp;"*",'Đăng tin'!$AO$8:$AO$502,"Pass")+COUNTIFS('Trang chủ'!$B$8:$B$502,"*"&amp;$B13&amp;"*",'Trang chủ'!$AO$8:$AO$502,"Pass")+COUNTIFS('Bảng tin &amp; Chi tiết tin'!$B$8:$B$502,"*"&amp;$B13&amp;"*",'Bảng tin &amp; Chi tiết tin'!$AO$8:$AO$502,"Pass")+COUNTIFS('Theo dõi đơn'!$B$8:$B$502,"*"&amp;$B13&amp;"*",'Theo dõi đơn'!$AO$8:$AO$502,"Pass")+COUNTIFS('Huỷ đơn'!$B$8:$B$502,"*"&amp;$B13&amp;"*",'Huỷ đơn'!$AO$8:$AO$502,"Pass")+COUNTIFS('Tặng quà'!$B$8:$B$502,"*"&amp;$B13&amp;"*",'Tặng quà'!$AO$8:$AO$502,"Pass")</f>
        <v/>
      </c>
      <c r="H13" s="354">
        <f>COUNTIFS('Hoạt động'!$B$8:$B$502,"*"&amp;$B13&amp;"*",'Hoạt động'!$AO$8:$AO$502,"Fail")+COUNTIFS('Cá nhân'!$B$8:$B$502,"*"&amp;$B13&amp;"*",'Cá nhân'!$AO$8:$AO$502,"Fail")+COUNTIFS('Thông báo'!$B$8:$B$502,"*"&amp;$B13&amp;"*",'Thông báo'!$AO$8:$AO$502,"Fail")+COUNTIFS('Đăng tin'!$B$8:$B$502,"*"&amp;$B13&amp;"*",'Đăng tin'!$AO$8:$AO$502,"Fail")+COUNTIFS('Trang chủ'!$B$8:$B$502,"*"&amp;$B13&amp;"*",'Trang chủ'!$AO$8:$AO$502,"Fail")+COUNTIFS('Bảng tin &amp; Chi tiết tin'!$B$8:$B$502,"*"&amp;$B13&amp;"*",'Bảng tin &amp; Chi tiết tin'!$AO$8:$AO$502,"Fail")+COUNTIFS('Theo dõi đơn'!$B$8:$B$502,"*"&amp;$B13&amp;"*",'Theo dõi đơn'!$AO$8:$AO$502,"Fail")+COUNTIFS('Huỷ đơn'!$B$8:$B$502,"*"&amp;$B13&amp;"*",'Huỷ đơn'!$AO$8:$AO$502,"Fail")+COUNTIFS('Tặng quà'!$B$8:$B$502,"*"&amp;$B13&amp;"*",'Tặng quà'!$AO$8:$AO$502,"Fail")</f>
        <v/>
      </c>
      <c r="I13" s="354">
        <f>IFERROR(F13/E13,0)</f>
        <v/>
      </c>
      <c r="J13" s="354">
        <f>IF(E13=0,"Chưa có TC (gap)",IF(H13&gt;0,"Có lỗi (Fail)",IF(F13&gt;=E13,"Đã test xong","Đang test")))</f>
        <v/>
      </c>
    </row>
    <row r="14" ht="15" customHeight="1" s="225">
      <c r="B14" s="411" t="inlineStr">
        <is>
          <t>REQ-NTF-001</t>
        </is>
      </c>
      <c r="C14" s="278" t="inlineStr">
        <is>
          <t>Thông báo theo sự kiện vòng đời đơn (9 loại)</t>
        </is>
      </c>
      <c r="D14" s="354" t="inlineStr">
        <is>
          <t>NTF-01..09 · DOC-v1.0-01 §D6 + DOC-v1.0-04</t>
        </is>
      </c>
      <c r="E14" s="354">
        <f>COUNTIF('Hoạt động'!$B$8:$B$502,"*"&amp;$B14&amp;"*")+COUNTIF('Cá nhân'!$B$8:$B$502,"*"&amp;$B14&amp;"*")+COUNTIF('Thông báo'!$B$8:$B$502,"*"&amp;$B14&amp;"*")+COUNTIF('Đăng tin'!$B$8:$B$502,"*"&amp;$B14&amp;"*")+COUNTIF('Trang chủ'!$B$8:$B$502,"*"&amp;$B14&amp;"*")+COUNTIF('Bảng tin &amp; Chi tiết tin'!$B$8:$B$502,"*"&amp;$B14&amp;"*")+COUNTIF('Theo dõi đơn'!$B$8:$B$502,"*"&amp;$B14&amp;"*")+COUNTIF('Huỷ đơn'!$B$8:$B$502,"*"&amp;$B14&amp;"*")+COUNTIF('Tặng quà'!$B$8:$B$502,"*"&amp;$B14&amp;"*")</f>
        <v/>
      </c>
      <c r="F14" s="354">
        <f>SUMPRODUCT(ISNUMBER(SEARCH($B14,'Hoạt động'!$B$8:$B$502))*('Hoạt động'!$AO$8:$AO$502&lt;&gt;""))+SUMPRODUCT(ISNUMBER(SEARCH($B14,'Cá nhân'!$B$8:$B$502))*('Cá nhân'!$AO$8:$AO$502&lt;&gt;""))+SUMPRODUCT(ISNUMBER(SEARCH($B14,'Thông báo'!$B$8:$B$502))*('Thông báo'!$AO$8:$AO$502&lt;&gt;""))+SUMPRODUCT(ISNUMBER(SEARCH($B14,'Đăng tin'!$B$8:$B$502))*('Đăng tin'!$AO$8:$AO$502&lt;&gt;""))+SUMPRODUCT(ISNUMBER(SEARCH($B14,'Trang chủ'!$B$8:$B$502))*('Trang chủ'!$AO$8:$AO$502&lt;&gt;""))+SUMPRODUCT(ISNUMBER(SEARCH($B14,'Bảng tin &amp; Chi tiết tin'!$B$8:$B$502))*('Bảng tin &amp; Chi tiết tin'!$AO$8:$AO$502&lt;&gt;""))+SUMPRODUCT(ISNUMBER(SEARCH($B14,'Theo dõi đơn'!$B$8:$B$502))*('Theo dõi đơn'!$AO$8:$AO$502&lt;&gt;""))+SUMPRODUCT(ISNUMBER(SEARCH($B14,'Huỷ đơn'!$B$8:$B$502))*('Huỷ đơn'!$AO$8:$AO$502&lt;&gt;""))+SUMPRODUCT(ISNUMBER(SEARCH($B14,'Tặng quà'!$B$8:$B$502))*('Tặng quà'!$AO$8:$AO$502&lt;&gt;""))</f>
        <v/>
      </c>
      <c r="G14" s="354">
        <f>COUNTIFS('Hoạt động'!$B$8:$B$502,"*"&amp;$B14&amp;"*",'Hoạt động'!$AO$8:$AO$502,"Pass")+COUNTIFS('Cá nhân'!$B$8:$B$502,"*"&amp;$B14&amp;"*",'Cá nhân'!$AO$8:$AO$502,"Pass")+COUNTIFS('Thông báo'!$B$8:$B$502,"*"&amp;$B14&amp;"*",'Thông báo'!$AO$8:$AO$502,"Pass")+COUNTIFS('Đăng tin'!$B$8:$B$502,"*"&amp;$B14&amp;"*",'Đăng tin'!$AO$8:$AO$502,"Pass")+COUNTIFS('Trang chủ'!$B$8:$B$502,"*"&amp;$B14&amp;"*",'Trang chủ'!$AO$8:$AO$502,"Pass")+COUNTIFS('Bảng tin &amp; Chi tiết tin'!$B$8:$B$502,"*"&amp;$B14&amp;"*",'Bảng tin &amp; Chi tiết tin'!$AO$8:$AO$502,"Pass")+COUNTIFS('Theo dõi đơn'!$B$8:$B$502,"*"&amp;$B14&amp;"*",'Theo dõi đơn'!$AO$8:$AO$502,"Pass")+COUNTIFS('Huỷ đơn'!$B$8:$B$502,"*"&amp;$B14&amp;"*",'Huỷ đơn'!$AO$8:$AO$502,"Pass")+COUNTIFS('Tặng quà'!$B$8:$B$502,"*"&amp;$B14&amp;"*",'Tặng quà'!$AO$8:$AO$502,"Pass")</f>
        <v/>
      </c>
      <c r="H14" s="354">
        <f>COUNTIFS('Hoạt động'!$B$8:$B$502,"*"&amp;$B14&amp;"*",'Hoạt động'!$AO$8:$AO$502,"Fail")+COUNTIFS('Cá nhân'!$B$8:$B$502,"*"&amp;$B14&amp;"*",'Cá nhân'!$AO$8:$AO$502,"Fail")+COUNTIFS('Thông báo'!$B$8:$B$502,"*"&amp;$B14&amp;"*",'Thông báo'!$AO$8:$AO$502,"Fail")+COUNTIFS('Đăng tin'!$B$8:$B$502,"*"&amp;$B14&amp;"*",'Đăng tin'!$AO$8:$AO$502,"Fail")+COUNTIFS('Trang chủ'!$B$8:$B$502,"*"&amp;$B14&amp;"*",'Trang chủ'!$AO$8:$AO$502,"Fail")+COUNTIFS('Bảng tin &amp; Chi tiết tin'!$B$8:$B$502,"*"&amp;$B14&amp;"*",'Bảng tin &amp; Chi tiết tin'!$AO$8:$AO$502,"Fail")+COUNTIFS('Theo dõi đơn'!$B$8:$B$502,"*"&amp;$B14&amp;"*",'Theo dõi đơn'!$AO$8:$AO$502,"Fail")+COUNTIFS('Huỷ đơn'!$B$8:$B$502,"*"&amp;$B14&amp;"*",'Huỷ đơn'!$AO$8:$AO$502,"Fail")+COUNTIFS('Tặng quà'!$B$8:$B$502,"*"&amp;$B14&amp;"*",'Tặng quà'!$AO$8:$AO$502,"Fail")</f>
        <v/>
      </c>
      <c r="I14" s="354">
        <f>IFERROR(F14/E14,0)</f>
        <v/>
      </c>
      <c r="J14" s="354">
        <f>IF(E14=0,"Chưa có TC (gap)",IF(H14&gt;0,"Có lỗi (Fail)",IF(F14&gt;=E14,"Đã test xong","Đang test")))</f>
        <v/>
      </c>
    </row>
    <row r="15" ht="15" customHeight="1" s="225">
      <c r="B15" s="411" t="inlineStr">
        <is>
          <t>REQ-NTF-002</t>
        </is>
      </c>
      <c r="C15" s="278" t="inlineStr">
        <is>
          <t>Lộ liên hệ có kiểm soát (SĐT không đưa vào nội dung push, OPR-07) — ⚠ phần "trần thông báo/ngày" (OPR-06) đã xác nhận KHÔNG triển khai ở v1.0</t>
        </is>
      </c>
      <c r="D15" s="354" t="inlineStr">
        <is>
          <t>OPR-07 · DOC-v1.0-01 §D7 (OPR-06 out-of-scope v1.0 — BA xác nhận 2026-07-29, xem REQ-ASN-005/SC-ASN-013 thay thế)</t>
        </is>
      </c>
      <c r="E15" s="354">
        <f>COUNTIF('Hoạt động'!$B$8:$B$502,"*"&amp;$B15&amp;"*")+COUNTIF('Cá nhân'!$B$8:$B$502,"*"&amp;$B15&amp;"*")+COUNTIF('Thông báo'!$B$8:$B$502,"*"&amp;$B15&amp;"*")+COUNTIF('Đăng tin'!$B$8:$B$502,"*"&amp;$B15&amp;"*")+COUNTIF('Trang chủ'!$B$8:$B$502,"*"&amp;$B15&amp;"*")+COUNTIF('Bảng tin &amp; Chi tiết tin'!$B$8:$B$502,"*"&amp;$B15&amp;"*")+COUNTIF('Theo dõi đơn'!$B$8:$B$502,"*"&amp;$B15&amp;"*")+COUNTIF('Huỷ đơn'!$B$8:$B$502,"*"&amp;$B15&amp;"*")+COUNTIF('Tặng quà'!$B$8:$B$502,"*"&amp;$B15&amp;"*")</f>
        <v/>
      </c>
      <c r="F15" s="354">
        <f>SUMPRODUCT(ISNUMBER(SEARCH($B15,'Hoạt động'!$B$8:$B$502))*('Hoạt động'!$AO$8:$AO$502&lt;&gt;""))+SUMPRODUCT(ISNUMBER(SEARCH($B15,'Cá nhân'!$B$8:$B$502))*('Cá nhân'!$AO$8:$AO$502&lt;&gt;""))+SUMPRODUCT(ISNUMBER(SEARCH($B15,'Thông báo'!$B$8:$B$502))*('Thông báo'!$AO$8:$AO$502&lt;&gt;""))+SUMPRODUCT(ISNUMBER(SEARCH($B15,'Đăng tin'!$B$8:$B$502))*('Đăng tin'!$AO$8:$AO$502&lt;&gt;""))+SUMPRODUCT(ISNUMBER(SEARCH($B15,'Trang chủ'!$B$8:$B$502))*('Trang chủ'!$AO$8:$AO$502&lt;&gt;""))+SUMPRODUCT(ISNUMBER(SEARCH($B15,'Bảng tin &amp; Chi tiết tin'!$B$8:$B$502))*('Bảng tin &amp; Chi tiết tin'!$AO$8:$AO$502&lt;&gt;""))+SUMPRODUCT(ISNUMBER(SEARCH($B15,'Theo dõi đơn'!$B$8:$B$502))*('Theo dõi đơn'!$AO$8:$AO$502&lt;&gt;""))+SUMPRODUCT(ISNUMBER(SEARCH($B15,'Huỷ đơn'!$B$8:$B$502))*('Huỷ đơn'!$AO$8:$AO$502&lt;&gt;""))+SUMPRODUCT(ISNUMBER(SEARCH($B15,'Tặng quà'!$B$8:$B$502))*('Tặng quà'!$AO$8:$AO$502&lt;&gt;""))</f>
        <v/>
      </c>
      <c r="G15" s="354">
        <f>COUNTIFS('Hoạt động'!$B$8:$B$502,"*"&amp;$B15&amp;"*",'Hoạt động'!$AO$8:$AO$502,"Pass")+COUNTIFS('Cá nhân'!$B$8:$B$502,"*"&amp;$B15&amp;"*",'Cá nhân'!$AO$8:$AO$502,"Pass")+COUNTIFS('Thông báo'!$B$8:$B$502,"*"&amp;$B15&amp;"*",'Thông báo'!$AO$8:$AO$502,"Pass")+COUNTIFS('Đăng tin'!$B$8:$B$502,"*"&amp;$B15&amp;"*",'Đăng tin'!$AO$8:$AO$502,"Pass")+COUNTIFS('Trang chủ'!$B$8:$B$502,"*"&amp;$B15&amp;"*",'Trang chủ'!$AO$8:$AO$502,"Pass")+COUNTIFS('Bảng tin &amp; Chi tiết tin'!$B$8:$B$502,"*"&amp;$B15&amp;"*",'Bảng tin &amp; Chi tiết tin'!$AO$8:$AO$502,"Pass")+COUNTIFS('Theo dõi đơn'!$B$8:$B$502,"*"&amp;$B15&amp;"*",'Theo dõi đơn'!$AO$8:$AO$502,"Pass")+COUNTIFS('Huỷ đơn'!$B$8:$B$502,"*"&amp;$B15&amp;"*",'Huỷ đơn'!$AO$8:$AO$502,"Pass")+COUNTIFS('Tặng quà'!$B$8:$B$502,"*"&amp;$B15&amp;"*",'Tặng quà'!$AO$8:$AO$502,"Pass")</f>
        <v/>
      </c>
      <c r="H15" s="354">
        <f>COUNTIFS('Hoạt động'!$B$8:$B$502,"*"&amp;$B15&amp;"*",'Hoạt động'!$AO$8:$AO$502,"Fail")+COUNTIFS('Cá nhân'!$B$8:$B$502,"*"&amp;$B15&amp;"*",'Cá nhân'!$AO$8:$AO$502,"Fail")+COUNTIFS('Thông báo'!$B$8:$B$502,"*"&amp;$B15&amp;"*",'Thông báo'!$AO$8:$AO$502,"Fail")+COUNTIFS('Đăng tin'!$B$8:$B$502,"*"&amp;$B15&amp;"*",'Đăng tin'!$AO$8:$AO$502,"Fail")+COUNTIFS('Trang chủ'!$B$8:$B$502,"*"&amp;$B15&amp;"*",'Trang chủ'!$AO$8:$AO$502,"Fail")+COUNTIFS('Bảng tin &amp; Chi tiết tin'!$B$8:$B$502,"*"&amp;$B15&amp;"*",'Bảng tin &amp; Chi tiết tin'!$AO$8:$AO$502,"Fail")+COUNTIFS('Theo dõi đơn'!$B$8:$B$502,"*"&amp;$B15&amp;"*",'Theo dõi đơn'!$AO$8:$AO$502,"Fail")+COUNTIFS('Huỷ đơn'!$B$8:$B$502,"*"&amp;$B15&amp;"*",'Huỷ đơn'!$AO$8:$AO$502,"Fail")+COUNTIFS('Tặng quà'!$B$8:$B$502,"*"&amp;$B15&amp;"*",'Tặng quà'!$AO$8:$AO$502,"Fail")</f>
        <v/>
      </c>
      <c r="I15" s="354">
        <f>IFERROR(F15/E15,0)</f>
        <v/>
      </c>
      <c r="J15" s="354">
        <f>IF(E15=0,"Chưa có TC (gap)",IF(H15&gt;0,"Có lỗi (Fail)",IF(F15&gt;=E15,"Đã test xong","Đang test")))</f>
        <v/>
      </c>
    </row>
    <row r="16" ht="15" customHeight="1" s="225">
      <c r="B16" s="411" t="inlineStr">
        <is>
          <t>REQ-ORD-001</t>
        </is>
      </c>
      <c r="C16" s="278" t="inlineStr">
        <is>
          <t>Đăng tin gửi hàng NEED/OFFER</t>
        </is>
      </c>
      <c r="D16" s="354" t="inlineStr">
        <is>
          <t>ORD-01 · DOC-v1.0-01 §D3 + DOC-v1.0-04</t>
        </is>
      </c>
      <c r="E16" s="276">
        <f>COUNTIF('Hoạt động'!$B$8:$B$502,"*"&amp;$B16&amp;"*")+COUNTIF('Cá nhân'!$B$8:$B$502,"*"&amp;$B16&amp;"*")+COUNTIF('Thông báo'!$B$8:$B$502,"*"&amp;$B16&amp;"*")+COUNTIF('Đăng tin'!$B$8:$B$502,"*"&amp;$B16&amp;"*")+COUNTIF('Trang chủ'!$B$8:$B$502,"*"&amp;$B16&amp;"*")+COUNTIF('Bảng tin &amp; Chi tiết tin'!$B$8:$B$502,"*"&amp;$B16&amp;"*")+COUNTIF('Theo dõi đơn'!$B$8:$B$502,"*"&amp;$B16&amp;"*")+COUNTIF('Huỷ đơn'!$B$8:$B$502,"*"&amp;$B16&amp;"*")+COUNTIF('Tặng quà'!$B$8:$B$502,"*"&amp;$B16&amp;"*")</f>
        <v/>
      </c>
      <c r="F16" s="276">
        <f>SUMPRODUCT(ISNUMBER(SEARCH($B16,'Hoạt động'!$B$8:$B$502))*('Hoạt động'!$AO$8:$AO$502&lt;&gt;""))+SUMPRODUCT(ISNUMBER(SEARCH($B16,'Cá nhân'!$B$8:$B$502))*('Cá nhân'!$AO$8:$AO$502&lt;&gt;""))+SUMPRODUCT(ISNUMBER(SEARCH($B16,'Thông báo'!$B$8:$B$502))*('Thông báo'!$AO$8:$AO$502&lt;&gt;""))+SUMPRODUCT(ISNUMBER(SEARCH($B16,'Đăng tin'!$B$8:$B$502))*('Đăng tin'!$AO$8:$AO$502&lt;&gt;""))+SUMPRODUCT(ISNUMBER(SEARCH($B16,'Trang chủ'!$B$8:$B$502))*('Trang chủ'!$AO$8:$AO$502&lt;&gt;""))+SUMPRODUCT(ISNUMBER(SEARCH($B16,'Bảng tin &amp; Chi tiết tin'!$B$8:$B$502))*('Bảng tin &amp; Chi tiết tin'!$AO$8:$AO$502&lt;&gt;""))+SUMPRODUCT(ISNUMBER(SEARCH($B16,'Theo dõi đơn'!$B$8:$B$502))*('Theo dõi đơn'!$AO$8:$AO$502&lt;&gt;""))+SUMPRODUCT(ISNUMBER(SEARCH($B16,'Huỷ đơn'!$B$8:$B$502))*('Huỷ đơn'!$AO$8:$AO$502&lt;&gt;""))+SUMPRODUCT(ISNUMBER(SEARCH($B16,'Tặng quà'!$B$8:$B$502))*('Tặng quà'!$AO$8:$AO$502&lt;&gt;""))</f>
        <v/>
      </c>
      <c r="G16" s="276">
        <f>COUNTIFS('Hoạt động'!$B$8:$B$502,"*"&amp;$B16&amp;"*",'Hoạt động'!$AO$8:$AO$502,"Pass")+COUNTIFS('Cá nhân'!$B$8:$B$502,"*"&amp;$B16&amp;"*",'Cá nhân'!$AO$8:$AO$502,"Pass")+COUNTIFS('Thông báo'!$B$8:$B$502,"*"&amp;$B16&amp;"*",'Thông báo'!$AO$8:$AO$502,"Pass")+COUNTIFS('Đăng tin'!$B$8:$B$502,"*"&amp;$B16&amp;"*",'Đăng tin'!$AO$8:$AO$502,"Pass")+COUNTIFS('Trang chủ'!$B$8:$B$502,"*"&amp;$B16&amp;"*",'Trang chủ'!$AO$8:$AO$502,"Pass")+COUNTIFS('Bảng tin &amp; Chi tiết tin'!$B$8:$B$502,"*"&amp;$B16&amp;"*",'Bảng tin &amp; Chi tiết tin'!$AO$8:$AO$502,"Pass")+COUNTIFS('Theo dõi đơn'!$B$8:$B$502,"*"&amp;$B16&amp;"*",'Theo dõi đơn'!$AO$8:$AO$502,"Pass")+COUNTIFS('Huỷ đơn'!$B$8:$B$502,"*"&amp;$B16&amp;"*",'Huỷ đơn'!$AO$8:$AO$502,"Pass")+COUNTIFS('Tặng quà'!$B$8:$B$502,"*"&amp;$B16&amp;"*",'Tặng quà'!$AO$8:$AO$502,"Pass")</f>
        <v/>
      </c>
      <c r="H16" s="276">
        <f>COUNTIFS('Hoạt động'!$B$8:$B$502,"*"&amp;$B16&amp;"*",'Hoạt động'!$AO$8:$AO$502,"Fail")+COUNTIFS('Cá nhân'!$B$8:$B$502,"*"&amp;$B16&amp;"*",'Cá nhân'!$AO$8:$AO$502,"Fail")+COUNTIFS('Thông báo'!$B$8:$B$502,"*"&amp;$B16&amp;"*",'Thông báo'!$AO$8:$AO$502,"Fail")+COUNTIFS('Đăng tin'!$B$8:$B$502,"*"&amp;$B16&amp;"*",'Đăng tin'!$AO$8:$AO$502,"Fail")+COUNTIFS('Trang chủ'!$B$8:$B$502,"*"&amp;$B16&amp;"*",'Trang chủ'!$AO$8:$AO$502,"Fail")+COUNTIFS('Bảng tin &amp; Chi tiết tin'!$B$8:$B$502,"*"&amp;$B16&amp;"*",'Bảng tin &amp; Chi tiết tin'!$AO$8:$AO$502,"Fail")+COUNTIFS('Theo dõi đơn'!$B$8:$B$502,"*"&amp;$B16&amp;"*",'Theo dõi đơn'!$AO$8:$AO$502,"Fail")+COUNTIFS('Huỷ đơn'!$B$8:$B$502,"*"&amp;$B16&amp;"*",'Huỷ đơn'!$AO$8:$AO$502,"Fail")+COUNTIFS('Tặng quà'!$B$8:$B$502,"*"&amp;$B16&amp;"*",'Tặng quà'!$AO$8:$AO$502,"Fail")</f>
        <v/>
      </c>
      <c r="I16" s="277">
        <f>IFERROR(F16/E16,0)</f>
        <v/>
      </c>
      <c r="J16" s="354">
        <f>IF(E16=0,"Chưa có TC (gap)",IF(H16&gt;0,"Có lỗi (Fail)",IF(F16&gt;=E16,"Đã test xong","Đang test")))</f>
        <v/>
      </c>
    </row>
    <row r="17" ht="15" customHeight="1" s="225">
      <c r="B17" s="411" t="inlineStr">
        <is>
          <t>REQ-ORD-002</t>
        </is>
      </c>
      <c r="C17" s="278" t="inlineStr">
        <is>
          <t>Wizard đăng tin ngắn 3 bước</t>
        </is>
      </c>
      <c r="D17" s="354" t="inlineStr">
        <is>
          <t>ORD-02 · DOC-v1.0-01 §D3</t>
        </is>
      </c>
      <c r="E17" s="276">
        <f>COUNTIF('Hoạt động'!$B$8:$B$502,"*"&amp;$B17&amp;"*")+COUNTIF('Cá nhân'!$B$8:$B$502,"*"&amp;$B17&amp;"*")+COUNTIF('Thông báo'!$B$8:$B$502,"*"&amp;$B17&amp;"*")+COUNTIF('Đăng tin'!$B$8:$B$502,"*"&amp;$B17&amp;"*")+COUNTIF('Trang chủ'!$B$8:$B$502,"*"&amp;$B17&amp;"*")+COUNTIF('Bảng tin &amp; Chi tiết tin'!$B$8:$B$502,"*"&amp;$B17&amp;"*")+COUNTIF('Theo dõi đơn'!$B$8:$B$502,"*"&amp;$B17&amp;"*")+COUNTIF('Huỷ đơn'!$B$8:$B$502,"*"&amp;$B17&amp;"*")+COUNTIF('Tặng quà'!$B$8:$B$502,"*"&amp;$B17&amp;"*")</f>
        <v/>
      </c>
      <c r="F17" s="276">
        <f>SUMPRODUCT(ISNUMBER(SEARCH($B17,'Hoạt động'!$B$8:$B$502))*('Hoạt động'!$AO$8:$AO$502&lt;&gt;""))+SUMPRODUCT(ISNUMBER(SEARCH($B17,'Cá nhân'!$B$8:$B$502))*('Cá nhân'!$AO$8:$AO$502&lt;&gt;""))+SUMPRODUCT(ISNUMBER(SEARCH($B17,'Thông báo'!$B$8:$B$502))*('Thông báo'!$AO$8:$AO$502&lt;&gt;""))+SUMPRODUCT(ISNUMBER(SEARCH($B17,'Đăng tin'!$B$8:$B$502))*('Đăng tin'!$AO$8:$AO$502&lt;&gt;""))+SUMPRODUCT(ISNUMBER(SEARCH($B17,'Trang chủ'!$B$8:$B$502))*('Trang chủ'!$AO$8:$AO$502&lt;&gt;""))+SUMPRODUCT(ISNUMBER(SEARCH($B17,'Bảng tin &amp; Chi tiết tin'!$B$8:$B$502))*('Bảng tin &amp; Chi tiết tin'!$AO$8:$AO$502&lt;&gt;""))+SUMPRODUCT(ISNUMBER(SEARCH($B17,'Theo dõi đơn'!$B$8:$B$502))*('Theo dõi đơn'!$AO$8:$AO$502&lt;&gt;""))+SUMPRODUCT(ISNUMBER(SEARCH($B17,'Huỷ đơn'!$B$8:$B$502))*('Huỷ đơn'!$AO$8:$AO$502&lt;&gt;""))+SUMPRODUCT(ISNUMBER(SEARCH($B17,'Tặng quà'!$B$8:$B$502))*('Tặng quà'!$AO$8:$AO$502&lt;&gt;""))</f>
        <v/>
      </c>
      <c r="G17" s="276">
        <f>COUNTIFS('Hoạt động'!$B$8:$B$502,"*"&amp;$B17&amp;"*",'Hoạt động'!$AO$8:$AO$502,"Pass")+COUNTIFS('Cá nhân'!$B$8:$B$502,"*"&amp;$B17&amp;"*",'Cá nhân'!$AO$8:$AO$502,"Pass")+COUNTIFS('Thông báo'!$B$8:$B$502,"*"&amp;$B17&amp;"*",'Thông báo'!$AO$8:$AO$502,"Pass")+COUNTIFS('Đăng tin'!$B$8:$B$502,"*"&amp;$B17&amp;"*",'Đăng tin'!$AO$8:$AO$502,"Pass")+COUNTIFS('Trang chủ'!$B$8:$B$502,"*"&amp;$B17&amp;"*",'Trang chủ'!$AO$8:$AO$502,"Pass")+COUNTIFS('Bảng tin &amp; Chi tiết tin'!$B$8:$B$502,"*"&amp;$B17&amp;"*",'Bảng tin &amp; Chi tiết tin'!$AO$8:$AO$502,"Pass")+COUNTIFS('Theo dõi đơn'!$B$8:$B$502,"*"&amp;$B17&amp;"*",'Theo dõi đơn'!$AO$8:$AO$502,"Pass")+COUNTIFS('Huỷ đơn'!$B$8:$B$502,"*"&amp;$B17&amp;"*",'Huỷ đơn'!$AO$8:$AO$502,"Pass")+COUNTIFS('Tặng quà'!$B$8:$B$502,"*"&amp;$B17&amp;"*",'Tặng quà'!$AO$8:$AO$502,"Pass")</f>
        <v/>
      </c>
      <c r="H17" s="276">
        <f>COUNTIFS('Hoạt động'!$B$8:$B$502,"*"&amp;$B17&amp;"*",'Hoạt động'!$AO$8:$AO$502,"Fail")+COUNTIFS('Cá nhân'!$B$8:$B$502,"*"&amp;$B17&amp;"*",'Cá nhân'!$AO$8:$AO$502,"Fail")+COUNTIFS('Thông báo'!$B$8:$B$502,"*"&amp;$B17&amp;"*",'Thông báo'!$AO$8:$AO$502,"Fail")+COUNTIFS('Đăng tin'!$B$8:$B$502,"*"&amp;$B17&amp;"*",'Đăng tin'!$AO$8:$AO$502,"Fail")+COUNTIFS('Trang chủ'!$B$8:$B$502,"*"&amp;$B17&amp;"*",'Trang chủ'!$AO$8:$AO$502,"Fail")+COUNTIFS('Bảng tin &amp; Chi tiết tin'!$B$8:$B$502,"*"&amp;$B17&amp;"*",'Bảng tin &amp; Chi tiết tin'!$AO$8:$AO$502,"Fail")+COUNTIFS('Theo dõi đơn'!$B$8:$B$502,"*"&amp;$B17&amp;"*",'Theo dõi đơn'!$AO$8:$AO$502,"Fail")+COUNTIFS('Huỷ đơn'!$B$8:$B$502,"*"&amp;$B17&amp;"*",'Huỷ đơn'!$AO$8:$AO$502,"Fail")+COUNTIFS('Tặng quà'!$B$8:$B$502,"*"&amp;$B17&amp;"*",'Tặng quà'!$AO$8:$AO$502,"Fail")</f>
        <v/>
      </c>
      <c r="I17" s="277">
        <f>IFERROR(F17/E17,0)</f>
        <v/>
      </c>
      <c r="J17" s="354">
        <f>IF(E17=0,"Chưa có TC (gap)",IF(H17&gt;0,"Có lỗi (Fail)",IF(F17&gt;=E17,"Đã test xong","Đang test")))</f>
        <v/>
      </c>
    </row>
    <row r="18" ht="15" customHeight="1" s="225">
      <c r="B18" s="411" t="inlineStr">
        <is>
          <t>REQ-ORD-003</t>
        </is>
      </c>
      <c r="C18" s="278" t="inlineStr">
        <is>
          <t>Tin có timeline trạng thái</t>
        </is>
      </c>
      <c r="D18" s="354" t="inlineStr">
        <is>
          <t>ORD-04 · DOC-v1.0-01 §D3</t>
        </is>
      </c>
      <c r="E18" s="276">
        <f>COUNTIF('Hoạt động'!$B$8:$B$502,"*"&amp;$B18&amp;"*")+COUNTIF('Cá nhân'!$B$8:$B$502,"*"&amp;$B18&amp;"*")+COUNTIF('Thông báo'!$B$8:$B$502,"*"&amp;$B18&amp;"*")+COUNTIF('Đăng tin'!$B$8:$B$502,"*"&amp;$B18&amp;"*")+COUNTIF('Trang chủ'!$B$8:$B$502,"*"&amp;$B18&amp;"*")+COUNTIF('Bảng tin &amp; Chi tiết tin'!$B$8:$B$502,"*"&amp;$B18&amp;"*")+COUNTIF('Theo dõi đơn'!$B$8:$B$502,"*"&amp;$B18&amp;"*")+COUNTIF('Huỷ đơn'!$B$8:$B$502,"*"&amp;$B18&amp;"*")+COUNTIF('Tặng quà'!$B$8:$B$502,"*"&amp;$B18&amp;"*")</f>
        <v/>
      </c>
      <c r="F18" s="276">
        <f>SUMPRODUCT(ISNUMBER(SEARCH($B18,'Hoạt động'!$B$8:$B$502))*('Hoạt động'!$AO$8:$AO$502&lt;&gt;""))+SUMPRODUCT(ISNUMBER(SEARCH($B18,'Cá nhân'!$B$8:$B$502))*('Cá nhân'!$AO$8:$AO$502&lt;&gt;""))+SUMPRODUCT(ISNUMBER(SEARCH($B18,'Thông báo'!$B$8:$B$502))*('Thông báo'!$AO$8:$AO$502&lt;&gt;""))+SUMPRODUCT(ISNUMBER(SEARCH($B18,'Đăng tin'!$B$8:$B$502))*('Đăng tin'!$AO$8:$AO$502&lt;&gt;""))+SUMPRODUCT(ISNUMBER(SEARCH($B18,'Trang chủ'!$B$8:$B$502))*('Trang chủ'!$AO$8:$AO$502&lt;&gt;""))+SUMPRODUCT(ISNUMBER(SEARCH($B18,'Bảng tin &amp; Chi tiết tin'!$B$8:$B$502))*('Bảng tin &amp; Chi tiết tin'!$AO$8:$AO$502&lt;&gt;""))+SUMPRODUCT(ISNUMBER(SEARCH($B18,'Theo dõi đơn'!$B$8:$B$502))*('Theo dõi đơn'!$AO$8:$AO$502&lt;&gt;""))+SUMPRODUCT(ISNUMBER(SEARCH($B18,'Huỷ đơn'!$B$8:$B$502))*('Huỷ đơn'!$AO$8:$AO$502&lt;&gt;""))+SUMPRODUCT(ISNUMBER(SEARCH($B18,'Tặng quà'!$B$8:$B$502))*('Tặng quà'!$AO$8:$AO$502&lt;&gt;""))</f>
        <v/>
      </c>
      <c r="G18" s="276">
        <f>COUNTIFS('Hoạt động'!$B$8:$B$502,"*"&amp;$B18&amp;"*",'Hoạt động'!$AO$8:$AO$502,"Pass")+COUNTIFS('Cá nhân'!$B$8:$B$502,"*"&amp;$B18&amp;"*",'Cá nhân'!$AO$8:$AO$502,"Pass")+COUNTIFS('Thông báo'!$B$8:$B$502,"*"&amp;$B18&amp;"*",'Thông báo'!$AO$8:$AO$502,"Pass")+COUNTIFS('Đăng tin'!$B$8:$B$502,"*"&amp;$B18&amp;"*",'Đăng tin'!$AO$8:$AO$502,"Pass")+COUNTIFS('Trang chủ'!$B$8:$B$502,"*"&amp;$B18&amp;"*",'Trang chủ'!$AO$8:$AO$502,"Pass")+COUNTIFS('Bảng tin &amp; Chi tiết tin'!$B$8:$B$502,"*"&amp;$B18&amp;"*",'Bảng tin &amp; Chi tiết tin'!$AO$8:$AO$502,"Pass")+COUNTIFS('Theo dõi đơn'!$B$8:$B$502,"*"&amp;$B18&amp;"*",'Theo dõi đơn'!$AO$8:$AO$502,"Pass")+COUNTIFS('Huỷ đơn'!$B$8:$B$502,"*"&amp;$B18&amp;"*",'Huỷ đơn'!$AO$8:$AO$502,"Pass")+COUNTIFS('Tặng quà'!$B$8:$B$502,"*"&amp;$B18&amp;"*",'Tặng quà'!$AO$8:$AO$502,"Pass")</f>
        <v/>
      </c>
      <c r="H18" s="276">
        <f>COUNTIFS('Hoạt động'!$B$8:$B$502,"*"&amp;$B18&amp;"*",'Hoạt động'!$AO$8:$AO$502,"Fail")+COUNTIFS('Cá nhân'!$B$8:$B$502,"*"&amp;$B18&amp;"*",'Cá nhân'!$AO$8:$AO$502,"Fail")+COUNTIFS('Thông báo'!$B$8:$B$502,"*"&amp;$B18&amp;"*",'Thông báo'!$AO$8:$AO$502,"Fail")+COUNTIFS('Đăng tin'!$B$8:$B$502,"*"&amp;$B18&amp;"*",'Đăng tin'!$AO$8:$AO$502,"Fail")+COUNTIFS('Trang chủ'!$B$8:$B$502,"*"&amp;$B18&amp;"*",'Trang chủ'!$AO$8:$AO$502,"Fail")+COUNTIFS('Bảng tin &amp; Chi tiết tin'!$B$8:$B$502,"*"&amp;$B18&amp;"*",'Bảng tin &amp; Chi tiết tin'!$AO$8:$AO$502,"Fail")+COUNTIFS('Theo dõi đơn'!$B$8:$B$502,"*"&amp;$B18&amp;"*",'Theo dõi đơn'!$AO$8:$AO$502,"Fail")+COUNTIFS('Huỷ đơn'!$B$8:$B$502,"*"&amp;$B18&amp;"*",'Huỷ đơn'!$AO$8:$AO$502,"Fail")+COUNTIFS('Tặng quà'!$B$8:$B$502,"*"&amp;$B18&amp;"*",'Tặng quà'!$AO$8:$AO$502,"Fail")</f>
        <v/>
      </c>
      <c r="I18" s="277">
        <f>IFERROR(F18/E18,0)</f>
        <v/>
      </c>
      <c r="J18" s="354">
        <f>IF(E18=0,"Chưa có TC (gap)",IF(H18&gt;0,"Có lỗi (Fail)",IF(F18&gt;=E18,"Đã test xong","Đang test")))</f>
        <v/>
      </c>
    </row>
    <row r="19" ht="15" customHeight="1" s="225">
      <c r="B19" s="411" t="inlineStr">
        <is>
          <t>REQ-ORD-005</t>
        </is>
      </c>
      <c r="C19" s="278" t="inlineStr">
        <is>
          <t>Consent điều khoản trước khi đăng</t>
        </is>
      </c>
      <c r="D19" s="354" t="inlineStr">
        <is>
          <t>ORD-09 · DOC-v1.0-01 §D3</t>
        </is>
      </c>
      <c r="E19" s="276">
        <f>COUNTIF('Hoạt động'!$B$8:$B$502,"*"&amp;$B19&amp;"*")+COUNTIF('Cá nhân'!$B$8:$B$502,"*"&amp;$B19&amp;"*")+COUNTIF('Thông báo'!$B$8:$B$502,"*"&amp;$B19&amp;"*")+COUNTIF('Đăng tin'!$B$8:$B$502,"*"&amp;$B19&amp;"*")+COUNTIF('Trang chủ'!$B$8:$B$502,"*"&amp;$B19&amp;"*")+COUNTIF('Bảng tin &amp; Chi tiết tin'!$B$8:$B$502,"*"&amp;$B19&amp;"*")+COUNTIF('Theo dõi đơn'!$B$8:$B$502,"*"&amp;$B19&amp;"*")+COUNTIF('Huỷ đơn'!$B$8:$B$502,"*"&amp;$B19&amp;"*")+COUNTIF('Tặng quà'!$B$8:$B$502,"*"&amp;$B19&amp;"*")</f>
        <v/>
      </c>
      <c r="F19" s="276">
        <f>SUMPRODUCT(ISNUMBER(SEARCH($B19,'Hoạt động'!$B$8:$B$502))*('Hoạt động'!$AO$8:$AO$502&lt;&gt;""))+SUMPRODUCT(ISNUMBER(SEARCH($B19,'Cá nhân'!$B$8:$B$502))*('Cá nhân'!$AO$8:$AO$502&lt;&gt;""))+SUMPRODUCT(ISNUMBER(SEARCH($B19,'Thông báo'!$B$8:$B$502))*('Thông báo'!$AO$8:$AO$502&lt;&gt;""))+SUMPRODUCT(ISNUMBER(SEARCH($B19,'Đăng tin'!$B$8:$B$502))*('Đăng tin'!$AO$8:$AO$502&lt;&gt;""))+SUMPRODUCT(ISNUMBER(SEARCH($B19,'Trang chủ'!$B$8:$B$502))*('Trang chủ'!$AO$8:$AO$502&lt;&gt;""))+SUMPRODUCT(ISNUMBER(SEARCH($B19,'Bảng tin &amp; Chi tiết tin'!$B$8:$B$502))*('Bảng tin &amp; Chi tiết tin'!$AO$8:$AO$502&lt;&gt;""))+SUMPRODUCT(ISNUMBER(SEARCH($B19,'Theo dõi đơn'!$B$8:$B$502))*('Theo dõi đơn'!$AO$8:$AO$502&lt;&gt;""))+SUMPRODUCT(ISNUMBER(SEARCH($B19,'Huỷ đơn'!$B$8:$B$502))*('Huỷ đơn'!$AO$8:$AO$502&lt;&gt;""))+SUMPRODUCT(ISNUMBER(SEARCH($B19,'Tặng quà'!$B$8:$B$502))*('Tặng quà'!$AO$8:$AO$502&lt;&gt;""))</f>
        <v/>
      </c>
      <c r="G19" s="276">
        <f>COUNTIFS('Hoạt động'!$B$8:$B$502,"*"&amp;$B19&amp;"*",'Hoạt động'!$AO$8:$AO$502,"Pass")+COUNTIFS('Cá nhân'!$B$8:$B$502,"*"&amp;$B19&amp;"*",'Cá nhân'!$AO$8:$AO$502,"Pass")+COUNTIFS('Thông báo'!$B$8:$B$502,"*"&amp;$B19&amp;"*",'Thông báo'!$AO$8:$AO$502,"Pass")+COUNTIFS('Đăng tin'!$B$8:$B$502,"*"&amp;$B19&amp;"*",'Đăng tin'!$AO$8:$AO$502,"Pass")+COUNTIFS('Trang chủ'!$B$8:$B$502,"*"&amp;$B19&amp;"*",'Trang chủ'!$AO$8:$AO$502,"Pass")+COUNTIFS('Bảng tin &amp; Chi tiết tin'!$B$8:$B$502,"*"&amp;$B19&amp;"*",'Bảng tin &amp; Chi tiết tin'!$AO$8:$AO$502,"Pass")+COUNTIFS('Theo dõi đơn'!$B$8:$B$502,"*"&amp;$B19&amp;"*",'Theo dõi đơn'!$AO$8:$AO$502,"Pass")+COUNTIFS('Huỷ đơn'!$B$8:$B$502,"*"&amp;$B19&amp;"*",'Huỷ đơn'!$AO$8:$AO$502,"Pass")+COUNTIFS('Tặng quà'!$B$8:$B$502,"*"&amp;$B19&amp;"*",'Tặng quà'!$AO$8:$AO$502,"Pass")</f>
        <v/>
      </c>
      <c r="H19" s="276">
        <f>COUNTIFS('Hoạt động'!$B$8:$B$502,"*"&amp;$B19&amp;"*",'Hoạt động'!$AO$8:$AO$502,"Fail")+COUNTIFS('Cá nhân'!$B$8:$B$502,"*"&amp;$B19&amp;"*",'Cá nhân'!$AO$8:$AO$502,"Fail")+COUNTIFS('Thông báo'!$B$8:$B$502,"*"&amp;$B19&amp;"*",'Thông báo'!$AO$8:$AO$502,"Fail")+COUNTIFS('Đăng tin'!$B$8:$B$502,"*"&amp;$B19&amp;"*",'Đăng tin'!$AO$8:$AO$502,"Fail")+COUNTIFS('Trang chủ'!$B$8:$B$502,"*"&amp;$B19&amp;"*",'Trang chủ'!$AO$8:$AO$502,"Fail")+COUNTIFS('Bảng tin &amp; Chi tiết tin'!$B$8:$B$502,"*"&amp;$B19&amp;"*",'Bảng tin &amp; Chi tiết tin'!$AO$8:$AO$502,"Fail")+COUNTIFS('Theo dõi đơn'!$B$8:$B$502,"*"&amp;$B19&amp;"*",'Theo dõi đơn'!$AO$8:$AO$502,"Fail")+COUNTIFS('Huỷ đơn'!$B$8:$B$502,"*"&amp;$B19&amp;"*",'Huỷ đơn'!$AO$8:$AO$502,"Fail")+COUNTIFS('Tặng quà'!$B$8:$B$502,"*"&amp;$B19&amp;"*",'Tặng quà'!$AO$8:$AO$502,"Fail")</f>
        <v/>
      </c>
      <c r="I19" s="277">
        <f>IFERROR(F19/E19,0)</f>
        <v/>
      </c>
      <c r="J19" s="354">
        <f>IF(E19=0,"Chưa có TC (gap)",IF(H19&gt;0,"Có lỗi (Fail)",IF(F19&gt;=E19,"Đã test xong","Đang test")))</f>
        <v/>
      </c>
    </row>
    <row r="20" ht="15" customHeight="1" s="225">
      <c r="B20" s="411" t="inlineStr">
        <is>
          <t>REQ-ORD-006</t>
        </is>
      </c>
      <c r="C20" s="278" t="inlineStr">
        <is>
          <t>Chỉnh sửa tin chỉ khi "Chờ ghép"</t>
        </is>
      </c>
      <c r="D20" s="354" t="inlineStr">
        <is>
          <t>ORD-10, BR-EDIT-01, OPR-10 · DOC-v1.0-01 §D3, §D4, §D7</t>
        </is>
      </c>
      <c r="E20" s="276">
        <f>COUNTIF('Hoạt động'!$B$8:$B$502,"*"&amp;$B20&amp;"*")+COUNTIF('Cá nhân'!$B$8:$B$502,"*"&amp;$B20&amp;"*")+COUNTIF('Thông báo'!$B$8:$B$502,"*"&amp;$B20&amp;"*")+COUNTIF('Đăng tin'!$B$8:$B$502,"*"&amp;$B20&amp;"*")+COUNTIF('Trang chủ'!$B$8:$B$502,"*"&amp;$B20&amp;"*")+COUNTIF('Bảng tin &amp; Chi tiết tin'!$B$8:$B$502,"*"&amp;$B20&amp;"*")+COUNTIF('Theo dõi đơn'!$B$8:$B$502,"*"&amp;$B20&amp;"*")+COUNTIF('Huỷ đơn'!$B$8:$B$502,"*"&amp;$B20&amp;"*")+COUNTIF('Tặng quà'!$B$8:$B$502,"*"&amp;$B20&amp;"*")</f>
        <v/>
      </c>
      <c r="F20" s="276">
        <f>SUMPRODUCT(ISNUMBER(SEARCH($B20,'Hoạt động'!$B$8:$B$502))*('Hoạt động'!$AO$8:$AO$502&lt;&gt;""))+SUMPRODUCT(ISNUMBER(SEARCH($B20,'Cá nhân'!$B$8:$B$502))*('Cá nhân'!$AO$8:$AO$502&lt;&gt;""))+SUMPRODUCT(ISNUMBER(SEARCH($B20,'Thông báo'!$B$8:$B$502))*('Thông báo'!$AO$8:$AO$502&lt;&gt;""))+SUMPRODUCT(ISNUMBER(SEARCH($B20,'Đăng tin'!$B$8:$B$502))*('Đăng tin'!$AO$8:$AO$502&lt;&gt;""))+SUMPRODUCT(ISNUMBER(SEARCH($B20,'Trang chủ'!$B$8:$B$502))*('Trang chủ'!$AO$8:$AO$502&lt;&gt;""))+SUMPRODUCT(ISNUMBER(SEARCH($B20,'Bảng tin &amp; Chi tiết tin'!$B$8:$B$502))*('Bảng tin &amp; Chi tiết tin'!$AO$8:$AO$502&lt;&gt;""))+SUMPRODUCT(ISNUMBER(SEARCH($B20,'Theo dõi đơn'!$B$8:$B$502))*('Theo dõi đơn'!$AO$8:$AO$502&lt;&gt;""))+SUMPRODUCT(ISNUMBER(SEARCH($B20,'Huỷ đơn'!$B$8:$B$502))*('Huỷ đơn'!$AO$8:$AO$502&lt;&gt;""))+SUMPRODUCT(ISNUMBER(SEARCH($B20,'Tặng quà'!$B$8:$B$502))*('Tặng quà'!$AO$8:$AO$502&lt;&gt;""))</f>
        <v/>
      </c>
      <c r="G20" s="276">
        <f>COUNTIFS('Hoạt động'!$B$8:$B$502,"*"&amp;$B20&amp;"*",'Hoạt động'!$AO$8:$AO$502,"Pass")+COUNTIFS('Cá nhân'!$B$8:$B$502,"*"&amp;$B20&amp;"*",'Cá nhân'!$AO$8:$AO$502,"Pass")+COUNTIFS('Thông báo'!$B$8:$B$502,"*"&amp;$B20&amp;"*",'Thông báo'!$AO$8:$AO$502,"Pass")+COUNTIFS('Đăng tin'!$B$8:$B$502,"*"&amp;$B20&amp;"*",'Đăng tin'!$AO$8:$AO$502,"Pass")+COUNTIFS('Trang chủ'!$B$8:$B$502,"*"&amp;$B20&amp;"*",'Trang chủ'!$AO$8:$AO$502,"Pass")+COUNTIFS('Bảng tin &amp; Chi tiết tin'!$B$8:$B$502,"*"&amp;$B20&amp;"*",'Bảng tin &amp; Chi tiết tin'!$AO$8:$AO$502,"Pass")+COUNTIFS('Theo dõi đơn'!$B$8:$B$502,"*"&amp;$B20&amp;"*",'Theo dõi đơn'!$AO$8:$AO$502,"Pass")+COUNTIFS('Huỷ đơn'!$B$8:$B$502,"*"&amp;$B20&amp;"*",'Huỷ đơn'!$AO$8:$AO$502,"Pass")+COUNTIFS('Tặng quà'!$B$8:$B$502,"*"&amp;$B20&amp;"*",'Tặng quà'!$AO$8:$AO$502,"Pass")</f>
        <v/>
      </c>
      <c r="H20" s="276">
        <f>COUNTIFS('Hoạt động'!$B$8:$B$502,"*"&amp;$B20&amp;"*",'Hoạt động'!$AO$8:$AO$502,"Fail")+COUNTIFS('Cá nhân'!$B$8:$B$502,"*"&amp;$B20&amp;"*",'Cá nhân'!$AO$8:$AO$502,"Fail")+COUNTIFS('Thông báo'!$B$8:$B$502,"*"&amp;$B20&amp;"*",'Thông báo'!$AO$8:$AO$502,"Fail")+COUNTIFS('Đăng tin'!$B$8:$B$502,"*"&amp;$B20&amp;"*",'Đăng tin'!$AO$8:$AO$502,"Fail")+COUNTIFS('Trang chủ'!$B$8:$B$502,"*"&amp;$B20&amp;"*",'Trang chủ'!$AO$8:$AO$502,"Fail")+COUNTIFS('Bảng tin &amp; Chi tiết tin'!$B$8:$B$502,"*"&amp;$B20&amp;"*",'Bảng tin &amp; Chi tiết tin'!$AO$8:$AO$502,"Fail")+COUNTIFS('Theo dõi đơn'!$B$8:$B$502,"*"&amp;$B20&amp;"*",'Theo dõi đơn'!$AO$8:$AO$502,"Fail")+COUNTIFS('Huỷ đơn'!$B$8:$B$502,"*"&amp;$B20&amp;"*",'Huỷ đơn'!$AO$8:$AO$502,"Fail")+COUNTIFS('Tặng quà'!$B$8:$B$502,"*"&amp;$B20&amp;"*",'Tặng quà'!$AO$8:$AO$502,"Fail")</f>
        <v/>
      </c>
      <c r="I20" s="277">
        <f>IFERROR(F20/E20,0)</f>
        <v/>
      </c>
      <c r="J20" s="354">
        <f>IF(E20=0,"Chưa có TC (gap)",IF(H20&gt;0,"Có lỗi (Fail)",IF(F20&gt;=E20,"Đã test xong","Đang test")))</f>
        <v/>
      </c>
    </row>
    <row r="21" ht="15.75" customHeight="1" s="225">
      <c r="B21" s="411" t="inlineStr">
        <is>
          <t>REQ-ORD-007</t>
        </is>
      </c>
      <c r="C21" s="278" t="inlineStr">
        <is>
          <t>Quick-select văn phòng FPT</t>
        </is>
      </c>
      <c r="D21" s="354" t="inlineStr">
        <is>
          <t>LOC-03 · DOC-v1.0-01 §D3</t>
        </is>
      </c>
      <c r="E21" s="276">
        <f>COUNTIF('Hoạt động'!$B$8:$B$502,"*"&amp;$B21&amp;"*")+COUNTIF('Cá nhân'!$B$8:$B$502,"*"&amp;$B21&amp;"*")+COUNTIF('Thông báo'!$B$8:$B$502,"*"&amp;$B21&amp;"*")+COUNTIF('Đăng tin'!$B$8:$B$502,"*"&amp;$B21&amp;"*")+COUNTIF('Trang chủ'!$B$8:$B$502,"*"&amp;$B21&amp;"*")+COUNTIF('Bảng tin &amp; Chi tiết tin'!$B$8:$B$502,"*"&amp;$B21&amp;"*")+COUNTIF('Theo dõi đơn'!$B$8:$B$502,"*"&amp;$B21&amp;"*")+COUNTIF('Huỷ đơn'!$B$8:$B$502,"*"&amp;$B21&amp;"*")+COUNTIF('Tặng quà'!$B$8:$B$502,"*"&amp;$B21&amp;"*")</f>
        <v/>
      </c>
      <c r="F21" s="276">
        <f>SUMPRODUCT(ISNUMBER(SEARCH($B21,'Hoạt động'!$B$8:$B$502))*('Hoạt động'!$AO$8:$AO$502&lt;&gt;""))+SUMPRODUCT(ISNUMBER(SEARCH($B21,'Cá nhân'!$B$8:$B$502))*('Cá nhân'!$AO$8:$AO$502&lt;&gt;""))+SUMPRODUCT(ISNUMBER(SEARCH($B21,'Thông báo'!$B$8:$B$502))*('Thông báo'!$AO$8:$AO$502&lt;&gt;""))+SUMPRODUCT(ISNUMBER(SEARCH($B21,'Đăng tin'!$B$8:$B$502))*('Đăng tin'!$AO$8:$AO$502&lt;&gt;""))+SUMPRODUCT(ISNUMBER(SEARCH($B21,'Trang chủ'!$B$8:$B$502))*('Trang chủ'!$AO$8:$AO$502&lt;&gt;""))+SUMPRODUCT(ISNUMBER(SEARCH($B21,'Bảng tin &amp; Chi tiết tin'!$B$8:$B$502))*('Bảng tin &amp; Chi tiết tin'!$AO$8:$AO$502&lt;&gt;""))+SUMPRODUCT(ISNUMBER(SEARCH($B21,'Theo dõi đơn'!$B$8:$B$502))*('Theo dõi đơn'!$AO$8:$AO$502&lt;&gt;""))+SUMPRODUCT(ISNUMBER(SEARCH($B21,'Huỷ đơn'!$B$8:$B$502))*('Huỷ đơn'!$AO$8:$AO$502&lt;&gt;""))+SUMPRODUCT(ISNUMBER(SEARCH($B21,'Tặng quà'!$B$8:$B$502))*('Tặng quà'!$AO$8:$AO$502&lt;&gt;""))</f>
        <v/>
      </c>
      <c r="G21" s="276">
        <f>COUNTIFS('Hoạt động'!$B$8:$B$502,"*"&amp;$B21&amp;"*",'Hoạt động'!$AO$8:$AO$502,"Pass")+COUNTIFS('Cá nhân'!$B$8:$B$502,"*"&amp;$B21&amp;"*",'Cá nhân'!$AO$8:$AO$502,"Pass")+COUNTIFS('Thông báo'!$B$8:$B$502,"*"&amp;$B21&amp;"*",'Thông báo'!$AO$8:$AO$502,"Pass")+COUNTIFS('Đăng tin'!$B$8:$B$502,"*"&amp;$B21&amp;"*",'Đăng tin'!$AO$8:$AO$502,"Pass")+COUNTIFS('Trang chủ'!$B$8:$B$502,"*"&amp;$B21&amp;"*",'Trang chủ'!$AO$8:$AO$502,"Pass")+COUNTIFS('Bảng tin &amp; Chi tiết tin'!$B$8:$B$502,"*"&amp;$B21&amp;"*",'Bảng tin &amp; Chi tiết tin'!$AO$8:$AO$502,"Pass")+COUNTIFS('Theo dõi đơn'!$B$8:$B$502,"*"&amp;$B21&amp;"*",'Theo dõi đơn'!$AO$8:$AO$502,"Pass")+COUNTIFS('Huỷ đơn'!$B$8:$B$502,"*"&amp;$B21&amp;"*",'Huỷ đơn'!$AO$8:$AO$502,"Pass")+COUNTIFS('Tặng quà'!$B$8:$B$502,"*"&amp;$B21&amp;"*",'Tặng quà'!$AO$8:$AO$502,"Pass")</f>
        <v/>
      </c>
      <c r="H21" s="276">
        <f>COUNTIFS('Hoạt động'!$B$8:$B$502,"*"&amp;$B21&amp;"*",'Hoạt động'!$AO$8:$AO$502,"Fail")+COUNTIFS('Cá nhân'!$B$8:$B$502,"*"&amp;$B21&amp;"*",'Cá nhân'!$AO$8:$AO$502,"Fail")+COUNTIFS('Thông báo'!$B$8:$B$502,"*"&amp;$B21&amp;"*",'Thông báo'!$AO$8:$AO$502,"Fail")+COUNTIFS('Đăng tin'!$B$8:$B$502,"*"&amp;$B21&amp;"*",'Đăng tin'!$AO$8:$AO$502,"Fail")+COUNTIFS('Trang chủ'!$B$8:$B$502,"*"&amp;$B21&amp;"*",'Trang chủ'!$AO$8:$AO$502,"Fail")+COUNTIFS('Bảng tin &amp; Chi tiết tin'!$B$8:$B$502,"*"&amp;$B21&amp;"*",'Bảng tin &amp; Chi tiết tin'!$AO$8:$AO$502,"Fail")+COUNTIFS('Theo dõi đơn'!$B$8:$B$502,"*"&amp;$B21&amp;"*",'Theo dõi đơn'!$AO$8:$AO$502,"Fail")+COUNTIFS('Huỷ đơn'!$B$8:$B$502,"*"&amp;$B21&amp;"*",'Huỷ đơn'!$AO$8:$AO$502,"Fail")+COUNTIFS('Tặng quà'!$B$8:$B$502,"*"&amp;$B21&amp;"*",'Tặng quà'!$AO$8:$AO$502,"Fail")</f>
        <v/>
      </c>
      <c r="I21" s="277">
        <f>IFERROR(F21/E21,0)</f>
        <v/>
      </c>
      <c r="J21" s="354">
        <f>IF(E21=0,"Chưa có TC (gap)",IF(H21&gt;0,"Có lỗi (Fail)",IF(F21&gt;=E21,"Đã test xong","Đang test")))</f>
        <v/>
      </c>
    </row>
    <row r="22" ht="15.75" customHeight="1" s="225">
      <c r="B22" s="411" t="inlineStr">
        <is>
          <t>REQ-ORD-008</t>
        </is>
      </c>
      <c r="C22" s="278" t="inlineStr">
        <is>
          <t>Tự điền người nhận từ email công ty</t>
        </is>
      </c>
      <c r="D22" s="354" t="inlineStr">
        <is>
          <t>USR-EML, US-D18 · DOC-v1.0-01 §D3, §D1b</t>
        </is>
      </c>
      <c r="E22" s="276">
        <f>COUNTIF('Hoạt động'!$B$8:$B$502,"*"&amp;$B22&amp;"*")+COUNTIF('Cá nhân'!$B$8:$B$502,"*"&amp;$B22&amp;"*")+COUNTIF('Thông báo'!$B$8:$B$502,"*"&amp;$B22&amp;"*")+COUNTIF('Đăng tin'!$B$8:$B$502,"*"&amp;$B22&amp;"*")+COUNTIF('Trang chủ'!$B$8:$B$502,"*"&amp;$B22&amp;"*")+COUNTIF('Bảng tin &amp; Chi tiết tin'!$B$8:$B$502,"*"&amp;$B22&amp;"*")+COUNTIF('Theo dõi đơn'!$B$8:$B$502,"*"&amp;$B22&amp;"*")+COUNTIF('Huỷ đơn'!$B$8:$B$502,"*"&amp;$B22&amp;"*")+COUNTIF('Tặng quà'!$B$8:$B$502,"*"&amp;$B22&amp;"*")</f>
        <v/>
      </c>
      <c r="F22" s="276">
        <f>SUMPRODUCT(ISNUMBER(SEARCH($B22,'Hoạt động'!$B$8:$B$502))*('Hoạt động'!$AO$8:$AO$502&lt;&gt;""))+SUMPRODUCT(ISNUMBER(SEARCH($B22,'Cá nhân'!$B$8:$B$502))*('Cá nhân'!$AO$8:$AO$502&lt;&gt;""))+SUMPRODUCT(ISNUMBER(SEARCH($B22,'Thông báo'!$B$8:$B$502))*('Thông báo'!$AO$8:$AO$502&lt;&gt;""))+SUMPRODUCT(ISNUMBER(SEARCH($B22,'Đăng tin'!$B$8:$B$502))*('Đăng tin'!$AO$8:$AO$502&lt;&gt;""))+SUMPRODUCT(ISNUMBER(SEARCH($B22,'Trang chủ'!$B$8:$B$502))*('Trang chủ'!$AO$8:$AO$502&lt;&gt;""))+SUMPRODUCT(ISNUMBER(SEARCH($B22,'Bảng tin &amp; Chi tiết tin'!$B$8:$B$502))*('Bảng tin &amp; Chi tiết tin'!$AO$8:$AO$502&lt;&gt;""))+SUMPRODUCT(ISNUMBER(SEARCH($B22,'Theo dõi đơn'!$B$8:$B$502))*('Theo dõi đơn'!$AO$8:$AO$502&lt;&gt;""))+SUMPRODUCT(ISNUMBER(SEARCH($B22,'Huỷ đơn'!$B$8:$B$502))*('Huỷ đơn'!$AO$8:$AO$502&lt;&gt;""))+SUMPRODUCT(ISNUMBER(SEARCH($B22,'Tặng quà'!$B$8:$B$502))*('Tặng quà'!$AO$8:$AO$502&lt;&gt;""))</f>
        <v/>
      </c>
      <c r="G22" s="276">
        <f>COUNTIFS('Hoạt động'!$B$8:$B$502,"*"&amp;$B22&amp;"*",'Hoạt động'!$AO$8:$AO$502,"Pass")+COUNTIFS('Cá nhân'!$B$8:$B$502,"*"&amp;$B22&amp;"*",'Cá nhân'!$AO$8:$AO$502,"Pass")+COUNTIFS('Thông báo'!$B$8:$B$502,"*"&amp;$B22&amp;"*",'Thông báo'!$AO$8:$AO$502,"Pass")+COUNTIFS('Đăng tin'!$B$8:$B$502,"*"&amp;$B22&amp;"*",'Đăng tin'!$AO$8:$AO$502,"Pass")+COUNTIFS('Trang chủ'!$B$8:$B$502,"*"&amp;$B22&amp;"*",'Trang chủ'!$AO$8:$AO$502,"Pass")+COUNTIFS('Bảng tin &amp; Chi tiết tin'!$B$8:$B$502,"*"&amp;$B22&amp;"*",'Bảng tin &amp; Chi tiết tin'!$AO$8:$AO$502,"Pass")+COUNTIFS('Theo dõi đơn'!$B$8:$B$502,"*"&amp;$B22&amp;"*",'Theo dõi đơn'!$AO$8:$AO$502,"Pass")+COUNTIFS('Huỷ đơn'!$B$8:$B$502,"*"&amp;$B22&amp;"*",'Huỷ đơn'!$AO$8:$AO$502,"Pass")+COUNTIFS('Tặng quà'!$B$8:$B$502,"*"&amp;$B22&amp;"*",'Tặng quà'!$AO$8:$AO$502,"Pass")</f>
        <v/>
      </c>
      <c r="H22" s="276">
        <f>COUNTIFS('Hoạt động'!$B$8:$B$502,"*"&amp;$B22&amp;"*",'Hoạt động'!$AO$8:$AO$502,"Fail")+COUNTIFS('Cá nhân'!$B$8:$B$502,"*"&amp;$B22&amp;"*",'Cá nhân'!$AO$8:$AO$502,"Fail")+COUNTIFS('Thông báo'!$B$8:$B$502,"*"&amp;$B22&amp;"*",'Thông báo'!$AO$8:$AO$502,"Fail")+COUNTIFS('Đăng tin'!$B$8:$B$502,"*"&amp;$B22&amp;"*",'Đăng tin'!$AO$8:$AO$502,"Fail")+COUNTIFS('Trang chủ'!$B$8:$B$502,"*"&amp;$B22&amp;"*",'Trang chủ'!$AO$8:$AO$502,"Fail")+COUNTIFS('Bảng tin &amp; Chi tiết tin'!$B$8:$B$502,"*"&amp;$B22&amp;"*",'Bảng tin &amp; Chi tiết tin'!$AO$8:$AO$502,"Fail")+COUNTIFS('Theo dõi đơn'!$B$8:$B$502,"*"&amp;$B22&amp;"*",'Theo dõi đơn'!$AO$8:$AO$502,"Fail")+COUNTIFS('Huỷ đơn'!$B$8:$B$502,"*"&amp;$B22&amp;"*",'Huỷ đơn'!$AO$8:$AO$502,"Fail")+COUNTIFS('Tặng quà'!$B$8:$B$502,"*"&amp;$B22&amp;"*",'Tặng quà'!$AO$8:$AO$502,"Fail")</f>
        <v/>
      </c>
      <c r="I22" s="277">
        <f>IFERROR(F22/E22,0)</f>
        <v/>
      </c>
      <c r="J22" s="354">
        <f>IF(E22=0,"Chưa có TC (gap)",IF(H22&gt;0,"Có lỗi (Fail)",IF(F22&gt;=E22,"Đã test xong","Đang test")))</f>
        <v/>
      </c>
    </row>
    <row r="23" ht="15.75" customHeight="1" s="225">
      <c r="B23" s="411" t="inlineStr">
        <is>
          <t>REQ-ORD-009</t>
        </is>
      </c>
      <c r="C23" s="278" t="inlineStr">
        <is>
          <t>Ngưỡng giá trị hàng &amp; cảnh báo bảo hiểm</t>
        </is>
      </c>
      <c r="D23" s="354" t="inlineStr">
        <is>
          <t>BR-ORD-03 · DOC-v1.0-01 §D4</t>
        </is>
      </c>
      <c r="E23" s="276">
        <f>COUNTIF('Hoạt động'!$B$8:$B$502,"*"&amp;$B23&amp;"*")+COUNTIF('Cá nhân'!$B$8:$B$502,"*"&amp;$B23&amp;"*")+COUNTIF('Thông báo'!$B$8:$B$502,"*"&amp;$B23&amp;"*")+COUNTIF('Đăng tin'!$B$8:$B$502,"*"&amp;$B23&amp;"*")+COUNTIF('Trang chủ'!$B$8:$B$502,"*"&amp;$B23&amp;"*")+COUNTIF('Bảng tin &amp; Chi tiết tin'!$B$8:$B$502,"*"&amp;$B23&amp;"*")+COUNTIF('Theo dõi đơn'!$B$8:$B$502,"*"&amp;$B23&amp;"*")+COUNTIF('Huỷ đơn'!$B$8:$B$502,"*"&amp;$B23&amp;"*")+COUNTIF('Tặng quà'!$B$8:$B$502,"*"&amp;$B23&amp;"*")</f>
        <v/>
      </c>
      <c r="F23" s="276">
        <f>SUMPRODUCT(ISNUMBER(SEARCH($B23,'Hoạt động'!$B$8:$B$502))*('Hoạt động'!$AO$8:$AO$502&lt;&gt;""))+SUMPRODUCT(ISNUMBER(SEARCH($B23,'Cá nhân'!$B$8:$B$502))*('Cá nhân'!$AO$8:$AO$502&lt;&gt;""))+SUMPRODUCT(ISNUMBER(SEARCH($B23,'Thông báo'!$B$8:$B$502))*('Thông báo'!$AO$8:$AO$502&lt;&gt;""))+SUMPRODUCT(ISNUMBER(SEARCH($B23,'Đăng tin'!$B$8:$B$502))*('Đăng tin'!$AO$8:$AO$502&lt;&gt;""))+SUMPRODUCT(ISNUMBER(SEARCH($B23,'Trang chủ'!$B$8:$B$502))*('Trang chủ'!$AO$8:$AO$502&lt;&gt;""))+SUMPRODUCT(ISNUMBER(SEARCH($B23,'Bảng tin &amp; Chi tiết tin'!$B$8:$B$502))*('Bảng tin &amp; Chi tiết tin'!$AO$8:$AO$502&lt;&gt;""))+SUMPRODUCT(ISNUMBER(SEARCH($B23,'Theo dõi đơn'!$B$8:$B$502))*('Theo dõi đơn'!$AO$8:$AO$502&lt;&gt;""))+SUMPRODUCT(ISNUMBER(SEARCH($B23,'Huỷ đơn'!$B$8:$B$502))*('Huỷ đơn'!$AO$8:$AO$502&lt;&gt;""))+SUMPRODUCT(ISNUMBER(SEARCH($B23,'Tặng quà'!$B$8:$B$502))*('Tặng quà'!$AO$8:$AO$502&lt;&gt;""))</f>
        <v/>
      </c>
      <c r="G23" s="276">
        <f>COUNTIFS('Hoạt động'!$B$8:$B$502,"*"&amp;$B23&amp;"*",'Hoạt động'!$AO$8:$AO$502,"Pass")+COUNTIFS('Cá nhân'!$B$8:$B$502,"*"&amp;$B23&amp;"*",'Cá nhân'!$AO$8:$AO$502,"Pass")+COUNTIFS('Thông báo'!$B$8:$B$502,"*"&amp;$B23&amp;"*",'Thông báo'!$AO$8:$AO$502,"Pass")+COUNTIFS('Đăng tin'!$B$8:$B$502,"*"&amp;$B23&amp;"*",'Đăng tin'!$AO$8:$AO$502,"Pass")+COUNTIFS('Trang chủ'!$B$8:$B$502,"*"&amp;$B23&amp;"*",'Trang chủ'!$AO$8:$AO$502,"Pass")+COUNTIFS('Bảng tin &amp; Chi tiết tin'!$B$8:$B$502,"*"&amp;$B23&amp;"*",'Bảng tin &amp; Chi tiết tin'!$AO$8:$AO$502,"Pass")+COUNTIFS('Theo dõi đơn'!$B$8:$B$502,"*"&amp;$B23&amp;"*",'Theo dõi đơn'!$AO$8:$AO$502,"Pass")+COUNTIFS('Huỷ đơn'!$B$8:$B$502,"*"&amp;$B23&amp;"*",'Huỷ đơn'!$AO$8:$AO$502,"Pass")+COUNTIFS('Tặng quà'!$B$8:$B$502,"*"&amp;$B23&amp;"*",'Tặng quà'!$AO$8:$AO$502,"Pass")</f>
        <v/>
      </c>
      <c r="H23" s="276">
        <f>COUNTIFS('Hoạt động'!$B$8:$B$502,"*"&amp;$B23&amp;"*",'Hoạt động'!$AO$8:$AO$502,"Fail")+COUNTIFS('Cá nhân'!$B$8:$B$502,"*"&amp;$B23&amp;"*",'Cá nhân'!$AO$8:$AO$502,"Fail")+COUNTIFS('Thông báo'!$B$8:$B$502,"*"&amp;$B23&amp;"*",'Thông báo'!$AO$8:$AO$502,"Fail")+COUNTIFS('Đăng tin'!$B$8:$B$502,"*"&amp;$B23&amp;"*",'Đăng tin'!$AO$8:$AO$502,"Fail")+COUNTIFS('Trang chủ'!$B$8:$B$502,"*"&amp;$B23&amp;"*",'Trang chủ'!$AO$8:$AO$502,"Fail")+COUNTIFS('Bảng tin &amp; Chi tiết tin'!$B$8:$B$502,"*"&amp;$B23&amp;"*",'Bảng tin &amp; Chi tiết tin'!$AO$8:$AO$502,"Fail")+COUNTIFS('Theo dõi đơn'!$B$8:$B$502,"*"&amp;$B23&amp;"*",'Theo dõi đơn'!$AO$8:$AO$502,"Fail")+COUNTIFS('Huỷ đơn'!$B$8:$B$502,"*"&amp;$B23&amp;"*",'Huỷ đơn'!$AO$8:$AO$502,"Fail")+COUNTIFS('Tặng quà'!$B$8:$B$502,"*"&amp;$B23&amp;"*",'Tặng quà'!$AO$8:$AO$502,"Fail")</f>
        <v/>
      </c>
      <c r="I23" s="277">
        <f>IFERROR(F23/E23,0)</f>
        <v/>
      </c>
      <c r="J23" s="354">
        <f>IF(E23=0,"Chưa có TC (gap)",IF(H23&gt;0,"Có lỗi (Fail)",IF(F23&gt;=E23,"Đã test xong","Đang test")))</f>
        <v/>
      </c>
    </row>
    <row r="24" ht="15.75" customHeight="1" s="225">
      <c r="B24" s="411" t="inlineStr">
        <is>
          <t>REQ-ORD-010</t>
        </is>
      </c>
      <c r="C24" s="278" t="inlineStr">
        <is>
          <t>Hàng cấm không được đăng</t>
        </is>
      </c>
      <c r="D24" s="354" t="inlineStr">
        <is>
          <t>BR-ORD-04 · DOC-v1.0-01 §D4</t>
        </is>
      </c>
      <c r="E24" s="276">
        <f>COUNTIF('Hoạt động'!$B$8:$B$502,"*"&amp;$B24&amp;"*")+COUNTIF('Cá nhân'!$B$8:$B$502,"*"&amp;$B24&amp;"*")+COUNTIF('Thông báo'!$B$8:$B$502,"*"&amp;$B24&amp;"*")+COUNTIF('Đăng tin'!$B$8:$B$502,"*"&amp;$B24&amp;"*")+COUNTIF('Trang chủ'!$B$8:$B$502,"*"&amp;$B24&amp;"*")+COUNTIF('Bảng tin &amp; Chi tiết tin'!$B$8:$B$502,"*"&amp;$B24&amp;"*")+COUNTIF('Theo dõi đơn'!$B$8:$B$502,"*"&amp;$B24&amp;"*")+COUNTIF('Huỷ đơn'!$B$8:$B$502,"*"&amp;$B24&amp;"*")+COUNTIF('Tặng quà'!$B$8:$B$502,"*"&amp;$B24&amp;"*")</f>
        <v/>
      </c>
      <c r="F24" s="276">
        <f>SUMPRODUCT(ISNUMBER(SEARCH($B24,'Hoạt động'!$B$8:$B$502))*('Hoạt động'!$AO$8:$AO$502&lt;&gt;""))+SUMPRODUCT(ISNUMBER(SEARCH($B24,'Cá nhân'!$B$8:$B$502))*('Cá nhân'!$AO$8:$AO$502&lt;&gt;""))+SUMPRODUCT(ISNUMBER(SEARCH($B24,'Thông báo'!$B$8:$B$502))*('Thông báo'!$AO$8:$AO$502&lt;&gt;""))+SUMPRODUCT(ISNUMBER(SEARCH($B24,'Đăng tin'!$B$8:$B$502))*('Đăng tin'!$AO$8:$AO$502&lt;&gt;""))+SUMPRODUCT(ISNUMBER(SEARCH($B24,'Trang chủ'!$B$8:$B$502))*('Trang chủ'!$AO$8:$AO$502&lt;&gt;""))+SUMPRODUCT(ISNUMBER(SEARCH($B24,'Bảng tin &amp; Chi tiết tin'!$B$8:$B$502))*('Bảng tin &amp; Chi tiết tin'!$AO$8:$AO$502&lt;&gt;""))+SUMPRODUCT(ISNUMBER(SEARCH($B24,'Theo dõi đơn'!$B$8:$B$502))*('Theo dõi đơn'!$AO$8:$AO$502&lt;&gt;""))+SUMPRODUCT(ISNUMBER(SEARCH($B24,'Huỷ đơn'!$B$8:$B$502))*('Huỷ đơn'!$AO$8:$AO$502&lt;&gt;""))+SUMPRODUCT(ISNUMBER(SEARCH($B24,'Tặng quà'!$B$8:$B$502))*('Tặng quà'!$AO$8:$AO$502&lt;&gt;""))</f>
        <v/>
      </c>
      <c r="G24" s="276">
        <f>COUNTIFS('Hoạt động'!$B$8:$B$502,"*"&amp;$B24&amp;"*",'Hoạt động'!$AO$8:$AO$502,"Pass")+COUNTIFS('Cá nhân'!$B$8:$B$502,"*"&amp;$B24&amp;"*",'Cá nhân'!$AO$8:$AO$502,"Pass")+COUNTIFS('Thông báo'!$B$8:$B$502,"*"&amp;$B24&amp;"*",'Thông báo'!$AO$8:$AO$502,"Pass")+COUNTIFS('Đăng tin'!$B$8:$B$502,"*"&amp;$B24&amp;"*",'Đăng tin'!$AO$8:$AO$502,"Pass")+COUNTIFS('Trang chủ'!$B$8:$B$502,"*"&amp;$B24&amp;"*",'Trang chủ'!$AO$8:$AO$502,"Pass")+COUNTIFS('Bảng tin &amp; Chi tiết tin'!$B$8:$B$502,"*"&amp;$B24&amp;"*",'Bảng tin &amp; Chi tiết tin'!$AO$8:$AO$502,"Pass")+COUNTIFS('Theo dõi đơn'!$B$8:$B$502,"*"&amp;$B24&amp;"*",'Theo dõi đơn'!$AO$8:$AO$502,"Pass")+COUNTIFS('Huỷ đơn'!$B$8:$B$502,"*"&amp;$B24&amp;"*",'Huỷ đơn'!$AO$8:$AO$502,"Pass")+COUNTIFS('Tặng quà'!$B$8:$B$502,"*"&amp;$B24&amp;"*",'Tặng quà'!$AO$8:$AO$502,"Pass")</f>
        <v/>
      </c>
      <c r="H24" s="276">
        <f>COUNTIFS('Hoạt động'!$B$8:$B$502,"*"&amp;$B24&amp;"*",'Hoạt động'!$AO$8:$AO$502,"Fail")+COUNTIFS('Cá nhân'!$B$8:$B$502,"*"&amp;$B24&amp;"*",'Cá nhân'!$AO$8:$AO$502,"Fail")+COUNTIFS('Thông báo'!$B$8:$B$502,"*"&amp;$B24&amp;"*",'Thông báo'!$AO$8:$AO$502,"Fail")+COUNTIFS('Đăng tin'!$B$8:$B$502,"*"&amp;$B24&amp;"*",'Đăng tin'!$AO$8:$AO$502,"Fail")+COUNTIFS('Trang chủ'!$B$8:$B$502,"*"&amp;$B24&amp;"*",'Trang chủ'!$AO$8:$AO$502,"Fail")+COUNTIFS('Bảng tin &amp; Chi tiết tin'!$B$8:$B$502,"*"&amp;$B24&amp;"*",'Bảng tin &amp; Chi tiết tin'!$AO$8:$AO$502,"Fail")+COUNTIFS('Theo dõi đơn'!$B$8:$B$502,"*"&amp;$B24&amp;"*",'Theo dõi đơn'!$AO$8:$AO$502,"Fail")+COUNTIFS('Huỷ đơn'!$B$8:$B$502,"*"&amp;$B24&amp;"*",'Huỷ đơn'!$AO$8:$AO$502,"Fail")+COUNTIFS('Tặng quà'!$B$8:$B$502,"*"&amp;$B24&amp;"*",'Tặng quà'!$AO$8:$AO$502,"Fail")</f>
        <v/>
      </c>
      <c r="I24" s="277">
        <f>IFERROR(F24/E24,0)</f>
        <v/>
      </c>
      <c r="J24" s="354">
        <f>IF(E24=0,"Chưa có TC (gap)",IF(H24&gt;0,"Có lỗi (Fail)",IF(F24&gt;=E24,"Đã test xong","Đang test")))</f>
        <v/>
      </c>
    </row>
    <row r="25" ht="15.75" customHeight="1" s="225">
      <c r="B25" s="411" t="inlineStr">
        <is>
          <t>REQ-ORD-012</t>
        </is>
      </c>
      <c r="C25" s="278" t="inlineStr">
        <is>
          <t>Validate &amp; giá trị mặc định các trường form đăng tin (NEED + OFFER)</t>
        </is>
      </c>
      <c r="D25" s="354" t="inlineStr">
        <is>
          <t>D8.1/D8.2 · DOC-v1.0-01 §D8.1, §D8.2</t>
        </is>
      </c>
      <c r="E25" s="276">
        <f>COUNTIF('Hoạt động'!$B$8:$B$502,"*"&amp;$B25&amp;"*")+COUNTIF('Cá nhân'!$B$8:$B$502,"*"&amp;$B25&amp;"*")+COUNTIF('Thông báo'!$B$8:$B$502,"*"&amp;$B25&amp;"*")+COUNTIF('Đăng tin'!$B$8:$B$502,"*"&amp;$B25&amp;"*")+COUNTIF('Trang chủ'!$B$8:$B$502,"*"&amp;$B25&amp;"*")+COUNTIF('Bảng tin &amp; Chi tiết tin'!$B$8:$B$502,"*"&amp;$B25&amp;"*")+COUNTIF('Theo dõi đơn'!$B$8:$B$502,"*"&amp;$B25&amp;"*")+COUNTIF('Huỷ đơn'!$B$8:$B$502,"*"&amp;$B25&amp;"*")+COUNTIF('Tặng quà'!$B$8:$B$502,"*"&amp;$B25&amp;"*")</f>
        <v/>
      </c>
      <c r="F25" s="276">
        <f>SUMPRODUCT(ISNUMBER(SEARCH($B25,'Hoạt động'!$B$8:$B$502))*('Hoạt động'!$AO$8:$AO$502&lt;&gt;""))+SUMPRODUCT(ISNUMBER(SEARCH($B25,'Cá nhân'!$B$8:$B$502))*('Cá nhân'!$AO$8:$AO$502&lt;&gt;""))+SUMPRODUCT(ISNUMBER(SEARCH($B25,'Thông báo'!$B$8:$B$502))*('Thông báo'!$AO$8:$AO$502&lt;&gt;""))+SUMPRODUCT(ISNUMBER(SEARCH($B25,'Đăng tin'!$B$8:$B$502))*('Đăng tin'!$AO$8:$AO$502&lt;&gt;""))+SUMPRODUCT(ISNUMBER(SEARCH($B25,'Trang chủ'!$B$8:$B$502))*('Trang chủ'!$AO$8:$AO$502&lt;&gt;""))+SUMPRODUCT(ISNUMBER(SEARCH($B25,'Bảng tin &amp; Chi tiết tin'!$B$8:$B$502))*('Bảng tin &amp; Chi tiết tin'!$AO$8:$AO$502&lt;&gt;""))+SUMPRODUCT(ISNUMBER(SEARCH($B25,'Theo dõi đơn'!$B$8:$B$502))*('Theo dõi đơn'!$AO$8:$AO$502&lt;&gt;""))+SUMPRODUCT(ISNUMBER(SEARCH($B25,'Huỷ đơn'!$B$8:$B$502))*('Huỷ đơn'!$AO$8:$AO$502&lt;&gt;""))+SUMPRODUCT(ISNUMBER(SEARCH($B25,'Tặng quà'!$B$8:$B$502))*('Tặng quà'!$AO$8:$AO$502&lt;&gt;""))</f>
        <v/>
      </c>
      <c r="G25" s="276">
        <f>COUNTIFS('Hoạt động'!$B$8:$B$502,"*"&amp;$B25&amp;"*",'Hoạt động'!$AO$8:$AO$502,"Pass")+COUNTIFS('Cá nhân'!$B$8:$B$502,"*"&amp;$B25&amp;"*",'Cá nhân'!$AO$8:$AO$502,"Pass")+COUNTIFS('Thông báo'!$B$8:$B$502,"*"&amp;$B25&amp;"*",'Thông báo'!$AO$8:$AO$502,"Pass")+COUNTIFS('Đăng tin'!$B$8:$B$502,"*"&amp;$B25&amp;"*",'Đăng tin'!$AO$8:$AO$502,"Pass")+COUNTIFS('Trang chủ'!$B$8:$B$502,"*"&amp;$B25&amp;"*",'Trang chủ'!$AO$8:$AO$502,"Pass")+COUNTIFS('Bảng tin &amp; Chi tiết tin'!$B$8:$B$502,"*"&amp;$B25&amp;"*",'Bảng tin &amp; Chi tiết tin'!$AO$8:$AO$502,"Pass")+COUNTIFS('Theo dõi đơn'!$B$8:$B$502,"*"&amp;$B25&amp;"*",'Theo dõi đơn'!$AO$8:$AO$502,"Pass")+COUNTIFS('Huỷ đơn'!$B$8:$B$502,"*"&amp;$B25&amp;"*",'Huỷ đơn'!$AO$8:$AO$502,"Pass")+COUNTIFS('Tặng quà'!$B$8:$B$502,"*"&amp;$B25&amp;"*",'Tặng quà'!$AO$8:$AO$502,"Pass")</f>
        <v/>
      </c>
      <c r="H25" s="276">
        <f>COUNTIFS('Hoạt động'!$B$8:$B$502,"*"&amp;$B25&amp;"*",'Hoạt động'!$AO$8:$AO$502,"Fail")+COUNTIFS('Cá nhân'!$B$8:$B$502,"*"&amp;$B25&amp;"*",'Cá nhân'!$AO$8:$AO$502,"Fail")+COUNTIFS('Thông báo'!$B$8:$B$502,"*"&amp;$B25&amp;"*",'Thông báo'!$AO$8:$AO$502,"Fail")+COUNTIFS('Đăng tin'!$B$8:$B$502,"*"&amp;$B25&amp;"*",'Đăng tin'!$AO$8:$AO$502,"Fail")+COUNTIFS('Trang chủ'!$B$8:$B$502,"*"&amp;$B25&amp;"*",'Trang chủ'!$AO$8:$AO$502,"Fail")+COUNTIFS('Bảng tin &amp; Chi tiết tin'!$B$8:$B$502,"*"&amp;$B25&amp;"*",'Bảng tin &amp; Chi tiết tin'!$AO$8:$AO$502,"Fail")+COUNTIFS('Theo dõi đơn'!$B$8:$B$502,"*"&amp;$B25&amp;"*",'Theo dõi đơn'!$AO$8:$AO$502,"Fail")+COUNTIFS('Huỷ đơn'!$B$8:$B$502,"*"&amp;$B25&amp;"*",'Huỷ đơn'!$AO$8:$AO$502,"Fail")+COUNTIFS('Tặng quà'!$B$8:$B$502,"*"&amp;$B25&amp;"*",'Tặng quà'!$AO$8:$AO$502,"Fail")</f>
        <v/>
      </c>
      <c r="I25" s="277">
        <f>IFERROR(F25/E25,0)</f>
        <v/>
      </c>
      <c r="J25" s="354">
        <f>IF(E25=0,"Chưa có TC (gap)",IF(H25&gt;0,"Có lỗi (Fail)",IF(F25&gt;=E25,"Đã test xong","Đang test")))</f>
        <v/>
      </c>
    </row>
    <row r="26" ht="15.75" customHeight="1" s="225">
      <c r="B26" s="411" t="inlineStr">
        <is>
          <t>REQ-ORD-013</t>
        </is>
      </c>
      <c r="C26" s="278" t="inlineStr">
        <is>
          <t>Quy tắc chung cho form (VAL-01..05)</t>
        </is>
      </c>
      <c r="D26" s="354" t="inlineStr">
        <is>
          <t>VAL-01..05 · DOC-v1.0-01 §D8.3</t>
        </is>
      </c>
      <c r="E26" s="276">
        <f>COUNTIF('Hoạt động'!$B$8:$B$502,"*"&amp;$B26&amp;"*")+COUNTIF('Cá nhân'!$B$8:$B$502,"*"&amp;$B26&amp;"*")+COUNTIF('Thông báo'!$B$8:$B$502,"*"&amp;$B26&amp;"*")+COUNTIF('Đăng tin'!$B$8:$B$502,"*"&amp;$B26&amp;"*")+COUNTIF('Trang chủ'!$B$8:$B$502,"*"&amp;$B26&amp;"*")+COUNTIF('Bảng tin &amp; Chi tiết tin'!$B$8:$B$502,"*"&amp;$B26&amp;"*")+COUNTIF('Theo dõi đơn'!$B$8:$B$502,"*"&amp;$B26&amp;"*")+COUNTIF('Huỷ đơn'!$B$8:$B$502,"*"&amp;$B26&amp;"*")+COUNTIF('Tặng quà'!$B$8:$B$502,"*"&amp;$B26&amp;"*")</f>
        <v/>
      </c>
      <c r="F26" s="276">
        <f>SUMPRODUCT(ISNUMBER(SEARCH($B26,'Hoạt động'!$B$8:$B$502))*('Hoạt động'!$AO$8:$AO$502&lt;&gt;""))+SUMPRODUCT(ISNUMBER(SEARCH($B26,'Cá nhân'!$B$8:$B$502))*('Cá nhân'!$AO$8:$AO$502&lt;&gt;""))+SUMPRODUCT(ISNUMBER(SEARCH($B26,'Thông báo'!$B$8:$B$502))*('Thông báo'!$AO$8:$AO$502&lt;&gt;""))+SUMPRODUCT(ISNUMBER(SEARCH($B26,'Đăng tin'!$B$8:$B$502))*('Đăng tin'!$AO$8:$AO$502&lt;&gt;""))+SUMPRODUCT(ISNUMBER(SEARCH($B26,'Trang chủ'!$B$8:$B$502))*('Trang chủ'!$AO$8:$AO$502&lt;&gt;""))+SUMPRODUCT(ISNUMBER(SEARCH($B26,'Bảng tin &amp; Chi tiết tin'!$B$8:$B$502))*('Bảng tin &amp; Chi tiết tin'!$AO$8:$AO$502&lt;&gt;""))+SUMPRODUCT(ISNUMBER(SEARCH($B26,'Theo dõi đơn'!$B$8:$B$502))*('Theo dõi đơn'!$AO$8:$AO$502&lt;&gt;""))+SUMPRODUCT(ISNUMBER(SEARCH($B26,'Huỷ đơn'!$B$8:$B$502))*('Huỷ đơn'!$AO$8:$AO$502&lt;&gt;""))+SUMPRODUCT(ISNUMBER(SEARCH($B26,'Tặng quà'!$B$8:$B$502))*('Tặng quà'!$AO$8:$AO$502&lt;&gt;""))</f>
        <v/>
      </c>
      <c r="G26" s="276">
        <f>COUNTIFS('Hoạt động'!$B$8:$B$502,"*"&amp;$B26&amp;"*",'Hoạt động'!$AO$8:$AO$502,"Pass")+COUNTIFS('Cá nhân'!$B$8:$B$502,"*"&amp;$B26&amp;"*",'Cá nhân'!$AO$8:$AO$502,"Pass")+COUNTIFS('Thông báo'!$B$8:$B$502,"*"&amp;$B26&amp;"*",'Thông báo'!$AO$8:$AO$502,"Pass")+COUNTIFS('Đăng tin'!$B$8:$B$502,"*"&amp;$B26&amp;"*",'Đăng tin'!$AO$8:$AO$502,"Pass")+COUNTIFS('Trang chủ'!$B$8:$B$502,"*"&amp;$B26&amp;"*",'Trang chủ'!$AO$8:$AO$502,"Pass")+COUNTIFS('Bảng tin &amp; Chi tiết tin'!$B$8:$B$502,"*"&amp;$B26&amp;"*",'Bảng tin &amp; Chi tiết tin'!$AO$8:$AO$502,"Pass")+COUNTIFS('Theo dõi đơn'!$B$8:$B$502,"*"&amp;$B26&amp;"*",'Theo dõi đơn'!$AO$8:$AO$502,"Pass")+COUNTIFS('Huỷ đơn'!$B$8:$B$502,"*"&amp;$B26&amp;"*",'Huỷ đơn'!$AO$8:$AO$502,"Pass")+COUNTIFS('Tặng quà'!$B$8:$B$502,"*"&amp;$B26&amp;"*",'Tặng quà'!$AO$8:$AO$502,"Pass")</f>
        <v/>
      </c>
      <c r="H26" s="276">
        <f>COUNTIFS('Hoạt động'!$B$8:$B$502,"*"&amp;$B26&amp;"*",'Hoạt động'!$AO$8:$AO$502,"Fail")+COUNTIFS('Cá nhân'!$B$8:$B$502,"*"&amp;$B26&amp;"*",'Cá nhân'!$AO$8:$AO$502,"Fail")+COUNTIFS('Thông báo'!$B$8:$B$502,"*"&amp;$B26&amp;"*",'Thông báo'!$AO$8:$AO$502,"Fail")+COUNTIFS('Đăng tin'!$B$8:$B$502,"*"&amp;$B26&amp;"*",'Đăng tin'!$AO$8:$AO$502,"Fail")+COUNTIFS('Trang chủ'!$B$8:$B$502,"*"&amp;$B26&amp;"*",'Trang chủ'!$AO$8:$AO$502,"Fail")+COUNTIFS('Bảng tin &amp; Chi tiết tin'!$B$8:$B$502,"*"&amp;$B26&amp;"*",'Bảng tin &amp; Chi tiết tin'!$AO$8:$AO$502,"Fail")+COUNTIFS('Theo dõi đơn'!$B$8:$B$502,"*"&amp;$B26&amp;"*",'Theo dõi đơn'!$AO$8:$AO$502,"Fail")+COUNTIFS('Huỷ đơn'!$B$8:$B$502,"*"&amp;$B26&amp;"*",'Huỷ đơn'!$AO$8:$AO$502,"Fail")+COUNTIFS('Tặng quà'!$B$8:$B$502,"*"&amp;$B26&amp;"*",'Tặng quà'!$AO$8:$AO$502,"Fail")</f>
        <v/>
      </c>
      <c r="I26" s="277">
        <f>IFERROR(F26/E26,0)</f>
        <v/>
      </c>
      <c r="J26" s="354">
        <f>IF(E26=0,"Chưa có TC (gap)",IF(H26&gt;0,"Có lỗi (Fail)",IF(F26&gt;=E26,"Đã test xong","Đang test")))</f>
        <v/>
      </c>
    </row>
    <row r="27" ht="15.75" customHeight="1" s="225">
      <c r="B27" s="411" t="inlineStr">
        <is>
          <t>REQ-ASN-005</t>
        </is>
      </c>
      <c r="C27" s="278" t="inlineStr">
        <is>
          <t>Trần số tin gợi ý cho 1 carrier (OPR-01) — chỉ nhận tối đa 5 thông báo khớp tin (mới &amp; gần tuyến nhất)</t>
        </is>
      </c>
      <c r="D27" s="354" t="inlineStr">
        <is>
          <t>OPR-01 · DOC-v1.0-01 §D7, BA xác nhận qua chat 2026-07-29</t>
        </is>
      </c>
      <c r="E27" s="276">
        <f>COUNTIF('Hoạt động'!$B$8:$B$502,"*"&amp;$B27&amp;"*")+COUNTIF('Cá nhân'!$B$8:$B$502,"*"&amp;$B27&amp;"*")+COUNTIF('Thông báo'!$B$8:$B$502,"*"&amp;$B27&amp;"*")+COUNTIF('Đăng tin'!$B$8:$B$502,"*"&amp;$B27&amp;"*")+COUNTIF('Trang chủ'!$B$8:$B$502,"*"&amp;$B27&amp;"*")+COUNTIF('Bảng tin &amp; Chi tiết tin'!$B$8:$B$502,"*"&amp;$B27&amp;"*")+COUNTIF('Theo dõi đơn'!$B$8:$B$502,"*"&amp;$B27&amp;"*")+COUNTIF('Huỷ đơn'!$B$8:$B$502,"*"&amp;$B27&amp;"*")+COUNTIF('Tặng quà'!$B$8:$B$502,"*"&amp;$B27&amp;"*")</f>
        <v/>
      </c>
      <c r="F27" s="276">
        <f>SUMPRODUCT(ISNUMBER(SEARCH($B27,'Hoạt động'!$B$8:$B$502))*('Hoạt động'!$AO$8:$AO$502&lt;&gt;""))+SUMPRODUCT(ISNUMBER(SEARCH($B27,'Cá nhân'!$B$8:$B$502))*('Cá nhân'!$AO$8:$AO$502&lt;&gt;""))+SUMPRODUCT(ISNUMBER(SEARCH($B27,'Thông báo'!$B$8:$B$502))*('Thông báo'!$AO$8:$AO$502&lt;&gt;""))+SUMPRODUCT(ISNUMBER(SEARCH($B27,'Đăng tin'!$B$8:$B$502))*('Đăng tin'!$AO$8:$AO$502&lt;&gt;""))+SUMPRODUCT(ISNUMBER(SEARCH($B27,'Trang chủ'!$B$8:$B$502))*('Trang chủ'!$AO$8:$AO$502&lt;&gt;""))+SUMPRODUCT(ISNUMBER(SEARCH($B27,'Bảng tin &amp; Chi tiết tin'!$B$8:$B$502))*('Bảng tin &amp; Chi tiết tin'!$AO$8:$AO$502&lt;&gt;""))+SUMPRODUCT(ISNUMBER(SEARCH($B27,'Theo dõi đơn'!$B$8:$B$502))*('Theo dõi đơn'!$AO$8:$AO$502&lt;&gt;""))+SUMPRODUCT(ISNUMBER(SEARCH($B27,'Huỷ đơn'!$B$8:$B$502))*('Huỷ đơn'!$AO$8:$AO$502&lt;&gt;""))+SUMPRODUCT(ISNUMBER(SEARCH($B27,'Tặng quà'!$B$8:$B$502))*('Tặng quà'!$AO$8:$AO$502&lt;&gt;""))</f>
        <v/>
      </c>
      <c r="G27" s="276">
        <f>COUNTIFS('Hoạt động'!$B$8:$B$502,"*"&amp;$B27&amp;"*",'Hoạt động'!$AO$8:$AO$502,"Pass")+COUNTIFS('Cá nhân'!$B$8:$B$502,"*"&amp;$B27&amp;"*",'Cá nhân'!$AO$8:$AO$502,"Pass")+COUNTIFS('Thông báo'!$B$8:$B$502,"*"&amp;$B27&amp;"*",'Thông báo'!$AO$8:$AO$502,"Pass")+COUNTIFS('Đăng tin'!$B$8:$B$502,"*"&amp;$B27&amp;"*",'Đăng tin'!$AO$8:$AO$502,"Pass")+COUNTIFS('Trang chủ'!$B$8:$B$502,"*"&amp;$B27&amp;"*",'Trang chủ'!$AO$8:$AO$502,"Pass")+COUNTIFS('Bảng tin &amp; Chi tiết tin'!$B$8:$B$502,"*"&amp;$B27&amp;"*",'Bảng tin &amp; Chi tiết tin'!$AO$8:$AO$502,"Pass")+COUNTIFS('Theo dõi đơn'!$B$8:$B$502,"*"&amp;$B27&amp;"*",'Theo dõi đơn'!$AO$8:$AO$502,"Pass")+COUNTIFS('Huỷ đơn'!$B$8:$B$502,"*"&amp;$B27&amp;"*",'Huỷ đơn'!$AO$8:$AO$502,"Pass")+COUNTIFS('Tặng quà'!$B$8:$B$502,"*"&amp;$B27&amp;"*",'Tặng quà'!$AO$8:$AO$502,"Pass")</f>
        <v/>
      </c>
      <c r="H27" s="276">
        <f>COUNTIFS('Hoạt động'!$B$8:$B$502,"*"&amp;$B27&amp;"*",'Hoạt động'!$AO$8:$AO$502,"Fail")+COUNTIFS('Cá nhân'!$B$8:$B$502,"*"&amp;$B27&amp;"*",'Cá nhân'!$AO$8:$AO$502,"Fail")+COUNTIFS('Thông báo'!$B$8:$B$502,"*"&amp;$B27&amp;"*",'Thông báo'!$AO$8:$AO$502,"Fail")+COUNTIFS('Đăng tin'!$B$8:$B$502,"*"&amp;$B27&amp;"*",'Đăng tin'!$AO$8:$AO$502,"Fail")+COUNTIFS('Trang chủ'!$B$8:$B$502,"*"&amp;$B27&amp;"*",'Trang chủ'!$AO$8:$AO$502,"Fail")+COUNTIFS('Bảng tin &amp; Chi tiết tin'!$B$8:$B$502,"*"&amp;$B27&amp;"*",'Bảng tin &amp; Chi tiết tin'!$AO$8:$AO$502,"Fail")+COUNTIFS('Theo dõi đơn'!$B$8:$B$502,"*"&amp;$B27&amp;"*",'Theo dõi đơn'!$AO$8:$AO$502,"Fail")+COUNTIFS('Huỷ đơn'!$B$8:$B$502,"*"&amp;$B27&amp;"*",'Huỷ đơn'!$AO$8:$AO$502,"Fail")+COUNTIFS('Tặng quà'!$B$8:$B$502,"*"&amp;$B27&amp;"*",'Tặng quà'!$AO$8:$AO$502,"Fail")</f>
        <v/>
      </c>
      <c r="I27" s="277">
        <f>IFERROR(F27/E27,0)</f>
        <v/>
      </c>
      <c r="J27" s="354">
        <f>IF(E27=0,"Chưa có TC (gap)",IF(H27&gt;0,"Có lỗi (Fail)",IF(F27&gt;=E27,"Đã test xong","Đang test")))</f>
        <v/>
      </c>
    </row>
    <row r="28" ht="15.75" customHeight="1" s="225">
      <c r="B28" s="411" t="inlineStr">
        <is>
          <t>REQ-ORD-014</t>
        </is>
      </c>
      <c r="C28" s="278" t="inlineStr">
        <is>
          <t>Tìm kiếm/gợi ý địa chỉ văn phòng theo text nhập (autocomplete), không phân biệt hoa/thường — áp dụng Địa chỉ lấy hàng &amp; giao hàng</t>
        </is>
      </c>
      <c r="D28" s="354" t="inlineStr">
        <is>
          <t>DOC-v1.0-06</t>
        </is>
      </c>
      <c r="E28" s="276">
        <f>COUNTIF('Hoạt động'!$B$8:$B$502,"*"&amp;$B28&amp;"*")+COUNTIF('Cá nhân'!$B$8:$B$502,"*"&amp;$B28&amp;"*")+COUNTIF('Thông báo'!$B$8:$B$502,"*"&amp;$B28&amp;"*")+COUNTIF('Đăng tin'!$B$8:$B$502,"*"&amp;$B28&amp;"*")+COUNTIF('Trang chủ'!$B$8:$B$502,"*"&amp;$B28&amp;"*")+COUNTIF('Bảng tin &amp; Chi tiết tin'!$B$8:$B$502,"*"&amp;$B28&amp;"*")+COUNTIF('Theo dõi đơn'!$B$8:$B$502,"*"&amp;$B28&amp;"*")+COUNTIF('Huỷ đơn'!$B$8:$B$502,"*"&amp;$B28&amp;"*")+COUNTIF('Tặng quà'!$B$8:$B$502,"*"&amp;$B28&amp;"*")</f>
        <v/>
      </c>
      <c r="F28" s="276">
        <f>SUMPRODUCT(ISNUMBER(SEARCH($B28,'Hoạt động'!$B$8:$B$502))*('Hoạt động'!$AO$8:$AO$502&lt;&gt;""))+SUMPRODUCT(ISNUMBER(SEARCH($B28,'Cá nhân'!$B$8:$B$502))*('Cá nhân'!$AO$8:$AO$502&lt;&gt;""))+SUMPRODUCT(ISNUMBER(SEARCH($B28,'Thông báo'!$B$8:$B$502))*('Thông báo'!$AO$8:$AO$502&lt;&gt;""))+SUMPRODUCT(ISNUMBER(SEARCH($B28,'Đăng tin'!$B$8:$B$502))*('Đăng tin'!$AO$8:$AO$502&lt;&gt;""))+SUMPRODUCT(ISNUMBER(SEARCH($B28,'Trang chủ'!$B$8:$B$502))*('Trang chủ'!$AO$8:$AO$502&lt;&gt;""))+SUMPRODUCT(ISNUMBER(SEARCH($B28,'Bảng tin &amp; Chi tiết tin'!$B$8:$B$502))*('Bảng tin &amp; Chi tiết tin'!$AO$8:$AO$502&lt;&gt;""))+SUMPRODUCT(ISNUMBER(SEARCH($B28,'Theo dõi đơn'!$B$8:$B$502))*('Theo dõi đơn'!$AO$8:$AO$502&lt;&gt;""))+SUMPRODUCT(ISNUMBER(SEARCH($B28,'Huỷ đơn'!$B$8:$B$502))*('Huỷ đơn'!$AO$8:$AO$502&lt;&gt;""))+SUMPRODUCT(ISNUMBER(SEARCH($B28,'Tặng quà'!$B$8:$B$502))*('Tặng quà'!$AO$8:$AO$502&lt;&gt;""))</f>
        <v/>
      </c>
      <c r="G28" s="276">
        <f>COUNTIFS('Hoạt động'!$B$8:$B$502,"*"&amp;$B28&amp;"*",'Hoạt động'!$AO$8:$AO$502,"Pass")+COUNTIFS('Cá nhân'!$B$8:$B$502,"*"&amp;$B28&amp;"*",'Cá nhân'!$AO$8:$AO$502,"Pass")+COUNTIFS('Thông báo'!$B$8:$B$502,"*"&amp;$B28&amp;"*",'Thông báo'!$AO$8:$AO$502,"Pass")+COUNTIFS('Đăng tin'!$B$8:$B$502,"*"&amp;$B28&amp;"*",'Đăng tin'!$AO$8:$AO$502,"Pass")+COUNTIFS('Trang chủ'!$B$8:$B$502,"*"&amp;$B28&amp;"*",'Trang chủ'!$AO$8:$AO$502,"Pass")+COUNTIFS('Bảng tin &amp; Chi tiết tin'!$B$8:$B$502,"*"&amp;$B28&amp;"*",'Bảng tin &amp; Chi tiết tin'!$AO$8:$AO$502,"Pass")+COUNTIFS('Theo dõi đơn'!$B$8:$B$502,"*"&amp;$B28&amp;"*",'Theo dõi đơn'!$AO$8:$AO$502,"Pass")+COUNTIFS('Huỷ đơn'!$B$8:$B$502,"*"&amp;$B28&amp;"*",'Huỷ đơn'!$AO$8:$AO$502,"Pass")+COUNTIFS('Tặng quà'!$B$8:$B$502,"*"&amp;$B28&amp;"*",'Tặng quà'!$AO$8:$AO$502,"Pass")</f>
        <v/>
      </c>
      <c r="H28" s="276">
        <f>COUNTIFS('Hoạt động'!$B$8:$B$502,"*"&amp;$B28&amp;"*",'Hoạt động'!$AO$8:$AO$502,"Fail")+COUNTIFS('Cá nhân'!$B$8:$B$502,"*"&amp;$B28&amp;"*",'Cá nhân'!$AO$8:$AO$502,"Fail")+COUNTIFS('Thông báo'!$B$8:$B$502,"*"&amp;$B28&amp;"*",'Thông báo'!$AO$8:$AO$502,"Fail")+COUNTIFS('Đăng tin'!$B$8:$B$502,"*"&amp;$B28&amp;"*",'Đăng tin'!$AO$8:$AO$502,"Fail")+COUNTIFS('Trang chủ'!$B$8:$B$502,"*"&amp;$B28&amp;"*",'Trang chủ'!$AO$8:$AO$502,"Fail")+COUNTIFS('Bảng tin &amp; Chi tiết tin'!$B$8:$B$502,"*"&amp;$B28&amp;"*",'Bảng tin &amp; Chi tiết tin'!$AO$8:$AO$502,"Fail")+COUNTIFS('Theo dõi đơn'!$B$8:$B$502,"*"&amp;$B28&amp;"*",'Theo dõi đơn'!$AO$8:$AO$502,"Fail")+COUNTIFS('Huỷ đơn'!$B$8:$B$502,"*"&amp;$B28&amp;"*",'Huỷ đơn'!$AO$8:$AO$502,"Fail")+COUNTIFS('Tặng quà'!$B$8:$B$502,"*"&amp;$B28&amp;"*",'Tặng quà'!$AO$8:$AO$502,"Fail")</f>
        <v/>
      </c>
      <c r="I28" s="277">
        <f>IFERROR(F28/E28,0)</f>
        <v/>
      </c>
      <c r="J28" s="354">
        <f>IF(E28=0,"Chưa có TC (gap)",IF(H28&gt;0,"Có lỗi (Fail)",IF(F28&gt;=E28,"Đã test xong","Đang test")))</f>
        <v/>
      </c>
    </row>
    <row r="29" ht="15" customHeight="1" s="225">
      <c r="B29" s="411" t="inlineStr">
        <is>
          <t>REQ-ORD-015</t>
        </is>
      </c>
      <c r="C29" s="278" t="inlineStr">
        <is>
          <t>Trang chủ hiển thị đủ cấu trúc chung (Header/Banner/Card/bottom-nav)</t>
        </is>
      </c>
      <c r="D29" s="354" t="inlineStr">
        <is>
          <t>DOC-v1.0-02</t>
        </is>
      </c>
      <c r="E29" s="276">
        <f>COUNTIF('Hoạt động'!$B$8:$B$502,"*"&amp;$B29&amp;"*")+COUNTIF('Cá nhân'!$B$8:$B$502,"*"&amp;$B29&amp;"*")+COUNTIF('Thông báo'!$B$8:$B$502,"*"&amp;$B29&amp;"*")+COUNTIF('Đăng tin'!$B$8:$B$502,"*"&amp;$B29&amp;"*")+COUNTIF('Trang chủ'!$B$8:$B$502,"*"&amp;$B29&amp;"*")+COUNTIF('Bảng tin &amp; Chi tiết tin'!$B$8:$B$502,"*"&amp;$B29&amp;"*")+COUNTIF('Theo dõi đơn'!$B$8:$B$502,"*"&amp;$B29&amp;"*")+COUNTIF('Huỷ đơn'!$B$8:$B$502,"*"&amp;$B29&amp;"*")+COUNTIF('Tặng quà'!$B$8:$B$502,"*"&amp;$B29&amp;"*")</f>
        <v/>
      </c>
      <c r="F29" s="276">
        <f>SUMPRODUCT(ISNUMBER(SEARCH($B29,'Hoạt động'!$B$8:$B$502))*('Hoạt động'!$AO$8:$AO$502&lt;&gt;""))+SUMPRODUCT(ISNUMBER(SEARCH($B29,'Cá nhân'!$B$8:$B$502))*('Cá nhân'!$AO$8:$AO$502&lt;&gt;""))+SUMPRODUCT(ISNUMBER(SEARCH($B29,'Thông báo'!$B$8:$B$502))*('Thông báo'!$AO$8:$AO$502&lt;&gt;""))+SUMPRODUCT(ISNUMBER(SEARCH($B29,'Đăng tin'!$B$8:$B$502))*('Đăng tin'!$AO$8:$AO$502&lt;&gt;""))+SUMPRODUCT(ISNUMBER(SEARCH($B29,'Trang chủ'!$B$8:$B$502))*('Trang chủ'!$AO$8:$AO$502&lt;&gt;""))+SUMPRODUCT(ISNUMBER(SEARCH($B29,'Bảng tin &amp; Chi tiết tin'!$B$8:$B$502))*('Bảng tin &amp; Chi tiết tin'!$AO$8:$AO$502&lt;&gt;""))+SUMPRODUCT(ISNUMBER(SEARCH($B29,'Theo dõi đơn'!$B$8:$B$502))*('Theo dõi đơn'!$AO$8:$AO$502&lt;&gt;""))+SUMPRODUCT(ISNUMBER(SEARCH($B29,'Huỷ đơn'!$B$8:$B$502))*('Huỷ đơn'!$AO$8:$AO$502&lt;&gt;""))+SUMPRODUCT(ISNUMBER(SEARCH($B29,'Tặng quà'!$B$8:$B$502))*('Tặng quà'!$AO$8:$AO$502&lt;&gt;""))</f>
        <v/>
      </c>
      <c r="G29" s="276">
        <f>COUNTIFS('Hoạt động'!$B$8:$B$502,"*"&amp;$B29&amp;"*",'Hoạt động'!$AO$8:$AO$502,"Pass")+COUNTIFS('Cá nhân'!$B$8:$B$502,"*"&amp;$B29&amp;"*",'Cá nhân'!$AO$8:$AO$502,"Pass")+COUNTIFS('Thông báo'!$B$8:$B$502,"*"&amp;$B29&amp;"*",'Thông báo'!$AO$8:$AO$502,"Pass")+COUNTIFS('Đăng tin'!$B$8:$B$502,"*"&amp;$B29&amp;"*",'Đăng tin'!$AO$8:$AO$502,"Pass")+COUNTIFS('Trang chủ'!$B$8:$B$502,"*"&amp;$B29&amp;"*",'Trang chủ'!$AO$8:$AO$502,"Pass")+COUNTIFS('Bảng tin &amp; Chi tiết tin'!$B$8:$B$502,"*"&amp;$B29&amp;"*",'Bảng tin &amp; Chi tiết tin'!$AO$8:$AO$502,"Pass")+COUNTIFS('Theo dõi đơn'!$B$8:$B$502,"*"&amp;$B29&amp;"*",'Theo dõi đơn'!$AO$8:$AO$502,"Pass")+COUNTIFS('Huỷ đơn'!$B$8:$B$502,"*"&amp;$B29&amp;"*",'Huỷ đơn'!$AO$8:$AO$502,"Pass")+COUNTIFS('Tặng quà'!$B$8:$B$502,"*"&amp;$B29&amp;"*",'Tặng quà'!$AO$8:$AO$502,"Pass")</f>
        <v/>
      </c>
      <c r="H29" s="276">
        <f>COUNTIFS('Hoạt động'!$B$8:$B$502,"*"&amp;$B29&amp;"*",'Hoạt động'!$AO$8:$AO$502,"Fail")+COUNTIFS('Cá nhân'!$B$8:$B$502,"*"&amp;$B29&amp;"*",'Cá nhân'!$AO$8:$AO$502,"Fail")+COUNTIFS('Thông báo'!$B$8:$B$502,"*"&amp;$B29&amp;"*",'Thông báo'!$AO$8:$AO$502,"Fail")+COUNTIFS('Đăng tin'!$B$8:$B$502,"*"&amp;$B29&amp;"*",'Đăng tin'!$AO$8:$AO$502,"Fail")+COUNTIFS('Trang chủ'!$B$8:$B$502,"*"&amp;$B29&amp;"*",'Trang chủ'!$AO$8:$AO$502,"Fail")+COUNTIFS('Bảng tin &amp; Chi tiết tin'!$B$8:$B$502,"*"&amp;$B29&amp;"*",'Bảng tin &amp; Chi tiết tin'!$AO$8:$AO$502,"Fail")+COUNTIFS('Theo dõi đơn'!$B$8:$B$502,"*"&amp;$B29&amp;"*",'Theo dõi đơn'!$AO$8:$AO$502,"Fail")+COUNTIFS('Huỷ đơn'!$B$8:$B$502,"*"&amp;$B29&amp;"*",'Huỷ đơn'!$AO$8:$AO$502,"Fail")+COUNTIFS('Tặng quà'!$B$8:$B$502,"*"&amp;$B29&amp;"*",'Tặng quà'!$AO$8:$AO$502,"Fail")</f>
        <v/>
      </c>
      <c r="I29" s="277">
        <f>IFERROR(F29/E29,0)</f>
        <v/>
      </c>
      <c r="J29" s="354">
        <f>IF(E29=0,"Chưa có TC (gap)",IF(H29&gt;0,"Có lỗi (Fail)",IF(F29&gt;=E29,"Đã test xong","Đang test")))</f>
        <v/>
      </c>
    </row>
    <row r="30" ht="15" customHeight="1" s="225">
      <c r="B30" s="411" t="inlineStr">
        <is>
          <t>REQ-ASN-001</t>
        </is>
      </c>
      <c r="C30" s="278" t="inlineStr">
        <is>
          <t>Bày tỏ quan tâm/đề nghị mang giúp</t>
        </is>
      </c>
      <c r="D30" s="354" t="inlineStr">
        <is>
          <t>ASN-01 · DOC-v1.0-01 §D3</t>
        </is>
      </c>
      <c r="E30" s="276">
        <f>COUNTIF('Hoạt động'!$B$8:$B$502,"*"&amp;$B30&amp;"*")+COUNTIF('Cá nhân'!$B$8:$B$502,"*"&amp;$B30&amp;"*")+COUNTIF('Thông báo'!$B$8:$B$502,"*"&amp;$B30&amp;"*")+COUNTIF('Đăng tin'!$B$8:$B$502,"*"&amp;$B30&amp;"*")+COUNTIF('Trang chủ'!$B$8:$B$502,"*"&amp;$B30&amp;"*")+COUNTIF('Bảng tin &amp; Chi tiết tin'!$B$8:$B$502,"*"&amp;$B30&amp;"*")+COUNTIF('Theo dõi đơn'!$B$8:$B$502,"*"&amp;$B30&amp;"*")+COUNTIF('Huỷ đơn'!$B$8:$B$502,"*"&amp;$B30&amp;"*")+COUNTIF('Tặng quà'!$B$8:$B$502,"*"&amp;$B30&amp;"*")</f>
        <v/>
      </c>
      <c r="F30" s="276">
        <f>SUMPRODUCT(ISNUMBER(SEARCH($B30,'Hoạt động'!$B$8:$B$502))*('Hoạt động'!$AO$8:$AO$502&lt;&gt;""))+SUMPRODUCT(ISNUMBER(SEARCH($B30,'Cá nhân'!$B$8:$B$502))*('Cá nhân'!$AO$8:$AO$502&lt;&gt;""))+SUMPRODUCT(ISNUMBER(SEARCH($B30,'Thông báo'!$B$8:$B$502))*('Thông báo'!$AO$8:$AO$502&lt;&gt;""))+SUMPRODUCT(ISNUMBER(SEARCH($B30,'Đăng tin'!$B$8:$B$502))*('Đăng tin'!$AO$8:$AO$502&lt;&gt;""))+SUMPRODUCT(ISNUMBER(SEARCH($B30,'Trang chủ'!$B$8:$B$502))*('Trang chủ'!$AO$8:$AO$502&lt;&gt;""))+SUMPRODUCT(ISNUMBER(SEARCH($B30,'Bảng tin &amp; Chi tiết tin'!$B$8:$B$502))*('Bảng tin &amp; Chi tiết tin'!$AO$8:$AO$502&lt;&gt;""))+SUMPRODUCT(ISNUMBER(SEARCH($B30,'Theo dõi đơn'!$B$8:$B$502))*('Theo dõi đơn'!$AO$8:$AO$502&lt;&gt;""))+SUMPRODUCT(ISNUMBER(SEARCH($B30,'Huỷ đơn'!$B$8:$B$502))*('Huỷ đơn'!$AO$8:$AO$502&lt;&gt;""))+SUMPRODUCT(ISNUMBER(SEARCH($B30,'Tặng quà'!$B$8:$B$502))*('Tặng quà'!$AO$8:$AO$502&lt;&gt;""))</f>
        <v/>
      </c>
      <c r="G30" s="276">
        <f>COUNTIFS('Hoạt động'!$B$8:$B$502,"*"&amp;$B30&amp;"*",'Hoạt động'!$AO$8:$AO$502,"Pass")+COUNTIFS('Cá nhân'!$B$8:$B$502,"*"&amp;$B30&amp;"*",'Cá nhân'!$AO$8:$AO$502,"Pass")+COUNTIFS('Thông báo'!$B$8:$B$502,"*"&amp;$B30&amp;"*",'Thông báo'!$AO$8:$AO$502,"Pass")+COUNTIFS('Đăng tin'!$B$8:$B$502,"*"&amp;$B30&amp;"*",'Đăng tin'!$AO$8:$AO$502,"Pass")+COUNTIFS('Trang chủ'!$B$8:$B$502,"*"&amp;$B30&amp;"*",'Trang chủ'!$AO$8:$AO$502,"Pass")+COUNTIFS('Bảng tin &amp; Chi tiết tin'!$B$8:$B$502,"*"&amp;$B30&amp;"*",'Bảng tin &amp; Chi tiết tin'!$AO$8:$AO$502,"Pass")+COUNTIFS('Theo dõi đơn'!$B$8:$B$502,"*"&amp;$B30&amp;"*",'Theo dõi đơn'!$AO$8:$AO$502,"Pass")+COUNTIFS('Huỷ đơn'!$B$8:$B$502,"*"&amp;$B30&amp;"*",'Huỷ đơn'!$AO$8:$AO$502,"Pass")+COUNTIFS('Tặng quà'!$B$8:$B$502,"*"&amp;$B30&amp;"*",'Tặng quà'!$AO$8:$AO$502,"Pass")</f>
        <v/>
      </c>
      <c r="H30" s="276">
        <f>COUNTIFS('Hoạt động'!$B$8:$B$502,"*"&amp;$B30&amp;"*",'Hoạt động'!$AO$8:$AO$502,"Fail")+COUNTIFS('Cá nhân'!$B$8:$B$502,"*"&amp;$B30&amp;"*",'Cá nhân'!$AO$8:$AO$502,"Fail")+COUNTIFS('Thông báo'!$B$8:$B$502,"*"&amp;$B30&amp;"*",'Thông báo'!$AO$8:$AO$502,"Fail")+COUNTIFS('Đăng tin'!$B$8:$B$502,"*"&amp;$B30&amp;"*",'Đăng tin'!$AO$8:$AO$502,"Fail")+COUNTIFS('Trang chủ'!$B$8:$B$502,"*"&amp;$B30&amp;"*",'Trang chủ'!$AO$8:$AO$502,"Fail")+COUNTIFS('Bảng tin &amp; Chi tiết tin'!$B$8:$B$502,"*"&amp;$B30&amp;"*",'Bảng tin &amp; Chi tiết tin'!$AO$8:$AO$502,"Fail")+COUNTIFS('Theo dõi đơn'!$B$8:$B$502,"*"&amp;$B30&amp;"*",'Theo dõi đơn'!$AO$8:$AO$502,"Fail")+COUNTIFS('Huỷ đơn'!$B$8:$B$502,"*"&amp;$B30&amp;"*",'Huỷ đơn'!$AO$8:$AO$502,"Fail")+COUNTIFS('Tặng quà'!$B$8:$B$502,"*"&amp;$B30&amp;"*",'Tặng quà'!$AO$8:$AO$502,"Fail")</f>
        <v/>
      </c>
      <c r="I30" s="277">
        <f>IFERROR(F30/E30,0)</f>
        <v/>
      </c>
      <c r="J30" s="354">
        <f>IF(E30=0,"Chưa có TC (gap)",IF(H30&gt;0,"Có lỗi (Fail)",IF(F30&gt;=E30,"Đã test xong","Đang test")))</f>
        <v/>
      </c>
    </row>
    <row r="31" ht="15" customHeight="1" s="225">
      <c r="B31" s="411" t="inlineStr">
        <is>
          <t>REQ-ASN-002</t>
        </is>
      </c>
      <c r="C31" s="278" t="inlineStr">
        <is>
          <t>Ghép ngay khi chấp nhận + lộ liên hệ</t>
        </is>
      </c>
      <c r="D31" s="354" t="inlineStr">
        <is>
          <t>ASN-02, BR-CON-01, BR-CON-02 · DOC-v1.0-01 §D3, §A5</t>
        </is>
      </c>
      <c r="E31" s="276">
        <f>COUNTIF('Hoạt động'!$B$8:$B$502,"*"&amp;$B31&amp;"*")+COUNTIF('Cá nhân'!$B$8:$B$502,"*"&amp;$B31&amp;"*")+COUNTIF('Thông báo'!$B$8:$B$502,"*"&amp;$B31&amp;"*")+COUNTIF('Đăng tin'!$B$8:$B$502,"*"&amp;$B31&amp;"*")+COUNTIF('Trang chủ'!$B$8:$B$502,"*"&amp;$B31&amp;"*")+COUNTIF('Bảng tin &amp; Chi tiết tin'!$B$8:$B$502,"*"&amp;$B31&amp;"*")+COUNTIF('Theo dõi đơn'!$B$8:$B$502,"*"&amp;$B31&amp;"*")+COUNTIF('Huỷ đơn'!$B$8:$B$502,"*"&amp;$B31&amp;"*")+COUNTIF('Tặng quà'!$B$8:$B$502,"*"&amp;$B31&amp;"*")</f>
        <v/>
      </c>
      <c r="F31" s="276">
        <f>SUMPRODUCT(ISNUMBER(SEARCH($B31,'Hoạt động'!$B$8:$B$502))*('Hoạt động'!$AO$8:$AO$502&lt;&gt;""))+SUMPRODUCT(ISNUMBER(SEARCH($B31,'Cá nhân'!$B$8:$B$502))*('Cá nhân'!$AO$8:$AO$502&lt;&gt;""))+SUMPRODUCT(ISNUMBER(SEARCH($B31,'Thông báo'!$B$8:$B$502))*('Thông báo'!$AO$8:$AO$502&lt;&gt;""))+SUMPRODUCT(ISNUMBER(SEARCH($B31,'Đăng tin'!$B$8:$B$502))*('Đăng tin'!$AO$8:$AO$502&lt;&gt;""))+SUMPRODUCT(ISNUMBER(SEARCH($B31,'Trang chủ'!$B$8:$B$502))*('Trang chủ'!$AO$8:$AO$502&lt;&gt;""))+SUMPRODUCT(ISNUMBER(SEARCH($B31,'Bảng tin &amp; Chi tiết tin'!$B$8:$B$502))*('Bảng tin &amp; Chi tiết tin'!$AO$8:$AO$502&lt;&gt;""))+SUMPRODUCT(ISNUMBER(SEARCH($B31,'Theo dõi đơn'!$B$8:$B$502))*('Theo dõi đơn'!$AO$8:$AO$502&lt;&gt;""))+SUMPRODUCT(ISNUMBER(SEARCH($B31,'Huỷ đơn'!$B$8:$B$502))*('Huỷ đơn'!$AO$8:$AO$502&lt;&gt;""))+SUMPRODUCT(ISNUMBER(SEARCH($B31,'Tặng quà'!$B$8:$B$502))*('Tặng quà'!$AO$8:$AO$502&lt;&gt;""))</f>
        <v/>
      </c>
      <c r="G31" s="276">
        <f>COUNTIFS('Hoạt động'!$B$8:$B$502,"*"&amp;$B31&amp;"*",'Hoạt động'!$AO$8:$AO$502,"Pass")+COUNTIFS('Cá nhân'!$B$8:$B$502,"*"&amp;$B31&amp;"*",'Cá nhân'!$AO$8:$AO$502,"Pass")+COUNTIFS('Thông báo'!$B$8:$B$502,"*"&amp;$B31&amp;"*",'Thông báo'!$AO$8:$AO$502,"Pass")+COUNTIFS('Đăng tin'!$B$8:$B$502,"*"&amp;$B31&amp;"*",'Đăng tin'!$AO$8:$AO$502,"Pass")+COUNTIFS('Trang chủ'!$B$8:$B$502,"*"&amp;$B31&amp;"*",'Trang chủ'!$AO$8:$AO$502,"Pass")+COUNTIFS('Bảng tin &amp; Chi tiết tin'!$B$8:$B$502,"*"&amp;$B31&amp;"*",'Bảng tin &amp; Chi tiết tin'!$AO$8:$AO$502,"Pass")+COUNTIFS('Theo dõi đơn'!$B$8:$B$502,"*"&amp;$B31&amp;"*",'Theo dõi đơn'!$AO$8:$AO$502,"Pass")+COUNTIFS('Huỷ đơn'!$B$8:$B$502,"*"&amp;$B31&amp;"*",'Huỷ đơn'!$AO$8:$AO$502,"Pass")+COUNTIFS('Tặng quà'!$B$8:$B$502,"*"&amp;$B31&amp;"*",'Tặng quà'!$AO$8:$AO$502,"Pass")</f>
        <v/>
      </c>
      <c r="H31" s="276">
        <f>COUNTIFS('Hoạt động'!$B$8:$B$502,"*"&amp;$B31&amp;"*",'Hoạt động'!$AO$8:$AO$502,"Fail")+COUNTIFS('Cá nhân'!$B$8:$B$502,"*"&amp;$B31&amp;"*",'Cá nhân'!$AO$8:$AO$502,"Fail")+COUNTIFS('Thông báo'!$B$8:$B$502,"*"&amp;$B31&amp;"*",'Thông báo'!$AO$8:$AO$502,"Fail")+COUNTIFS('Đăng tin'!$B$8:$B$502,"*"&amp;$B31&amp;"*",'Đăng tin'!$AO$8:$AO$502,"Fail")+COUNTIFS('Trang chủ'!$B$8:$B$502,"*"&amp;$B31&amp;"*",'Trang chủ'!$AO$8:$AO$502,"Fail")+COUNTIFS('Bảng tin &amp; Chi tiết tin'!$B$8:$B$502,"*"&amp;$B31&amp;"*",'Bảng tin &amp; Chi tiết tin'!$AO$8:$AO$502,"Fail")+COUNTIFS('Theo dõi đơn'!$B$8:$B$502,"*"&amp;$B31&amp;"*",'Theo dõi đơn'!$AO$8:$AO$502,"Fail")+COUNTIFS('Huỷ đơn'!$B$8:$B$502,"*"&amp;$B31&amp;"*",'Huỷ đơn'!$AO$8:$AO$502,"Fail")+COUNTIFS('Tặng quà'!$B$8:$B$502,"*"&amp;$B31&amp;"*",'Tặng quà'!$AO$8:$AO$502,"Fail")</f>
        <v/>
      </c>
      <c r="I31" s="277">
        <f>IFERROR(F31/E31,0)</f>
        <v/>
      </c>
      <c r="J31" s="354">
        <f>IF(E31=0,"Chưa có TC (gap)",IF(H31&gt;0,"Có lỗi (Fail)",IF(F31&gt;=E31,"Đã test xong","Đang test")))</f>
        <v/>
      </c>
    </row>
    <row r="32" ht="15" customHeight="1" s="225">
      <c r="B32" s="411" t="inlineStr">
        <is>
          <t>REQ-ASN-003</t>
        </is>
      </c>
      <c r="C32" s="278" t="inlineStr">
        <is>
          <t>Chống ghép trùng (1 tin chỉ 1 cặp active)</t>
        </is>
      </c>
      <c r="D32" s="354" t="inlineStr">
        <is>
          <t>ASN-03, OPR-03 · DOC-v1.0-01 §D3, §D7</t>
        </is>
      </c>
      <c r="E32" s="276">
        <f>COUNTIF('Hoạt động'!$B$8:$B$502,"*"&amp;$B32&amp;"*")+COUNTIF('Cá nhân'!$B$8:$B$502,"*"&amp;$B32&amp;"*")+COUNTIF('Thông báo'!$B$8:$B$502,"*"&amp;$B32&amp;"*")+COUNTIF('Đăng tin'!$B$8:$B$502,"*"&amp;$B32&amp;"*")+COUNTIF('Trang chủ'!$B$8:$B$502,"*"&amp;$B32&amp;"*")+COUNTIF('Bảng tin &amp; Chi tiết tin'!$B$8:$B$502,"*"&amp;$B32&amp;"*")+COUNTIF('Theo dõi đơn'!$B$8:$B$502,"*"&amp;$B32&amp;"*")+COUNTIF('Huỷ đơn'!$B$8:$B$502,"*"&amp;$B32&amp;"*")+COUNTIF('Tặng quà'!$B$8:$B$502,"*"&amp;$B32&amp;"*")</f>
        <v/>
      </c>
      <c r="F32" s="276">
        <f>SUMPRODUCT(ISNUMBER(SEARCH($B32,'Hoạt động'!$B$8:$B$502))*('Hoạt động'!$AO$8:$AO$502&lt;&gt;""))+SUMPRODUCT(ISNUMBER(SEARCH($B32,'Cá nhân'!$B$8:$B$502))*('Cá nhân'!$AO$8:$AO$502&lt;&gt;""))+SUMPRODUCT(ISNUMBER(SEARCH($B32,'Thông báo'!$B$8:$B$502))*('Thông báo'!$AO$8:$AO$502&lt;&gt;""))+SUMPRODUCT(ISNUMBER(SEARCH($B32,'Đăng tin'!$B$8:$B$502))*('Đăng tin'!$AO$8:$AO$502&lt;&gt;""))+SUMPRODUCT(ISNUMBER(SEARCH($B32,'Trang chủ'!$B$8:$B$502))*('Trang chủ'!$AO$8:$AO$502&lt;&gt;""))+SUMPRODUCT(ISNUMBER(SEARCH($B32,'Bảng tin &amp; Chi tiết tin'!$B$8:$B$502))*('Bảng tin &amp; Chi tiết tin'!$AO$8:$AO$502&lt;&gt;""))+SUMPRODUCT(ISNUMBER(SEARCH($B32,'Theo dõi đơn'!$B$8:$B$502))*('Theo dõi đơn'!$AO$8:$AO$502&lt;&gt;""))+SUMPRODUCT(ISNUMBER(SEARCH($B32,'Huỷ đơn'!$B$8:$B$502))*('Huỷ đơn'!$AO$8:$AO$502&lt;&gt;""))+SUMPRODUCT(ISNUMBER(SEARCH($B32,'Tặng quà'!$B$8:$B$502))*('Tặng quà'!$AO$8:$AO$502&lt;&gt;""))</f>
        <v/>
      </c>
      <c r="G32" s="276">
        <f>COUNTIFS('Hoạt động'!$B$8:$B$502,"*"&amp;$B32&amp;"*",'Hoạt động'!$AO$8:$AO$502,"Pass")+COUNTIFS('Cá nhân'!$B$8:$B$502,"*"&amp;$B32&amp;"*",'Cá nhân'!$AO$8:$AO$502,"Pass")+COUNTIFS('Thông báo'!$B$8:$B$502,"*"&amp;$B32&amp;"*",'Thông báo'!$AO$8:$AO$502,"Pass")+COUNTIFS('Đăng tin'!$B$8:$B$502,"*"&amp;$B32&amp;"*",'Đăng tin'!$AO$8:$AO$502,"Pass")+COUNTIFS('Trang chủ'!$B$8:$B$502,"*"&amp;$B32&amp;"*",'Trang chủ'!$AO$8:$AO$502,"Pass")+COUNTIFS('Bảng tin &amp; Chi tiết tin'!$B$8:$B$502,"*"&amp;$B32&amp;"*",'Bảng tin &amp; Chi tiết tin'!$AO$8:$AO$502,"Pass")+COUNTIFS('Theo dõi đơn'!$B$8:$B$502,"*"&amp;$B32&amp;"*",'Theo dõi đơn'!$AO$8:$AO$502,"Pass")+COUNTIFS('Huỷ đơn'!$B$8:$B$502,"*"&amp;$B32&amp;"*",'Huỷ đơn'!$AO$8:$AO$502,"Pass")+COUNTIFS('Tặng quà'!$B$8:$B$502,"*"&amp;$B32&amp;"*",'Tặng quà'!$AO$8:$AO$502,"Pass")</f>
        <v/>
      </c>
      <c r="H32" s="276">
        <f>COUNTIFS('Hoạt động'!$B$8:$B$502,"*"&amp;$B32&amp;"*",'Hoạt động'!$AO$8:$AO$502,"Fail")+COUNTIFS('Cá nhân'!$B$8:$B$502,"*"&amp;$B32&amp;"*",'Cá nhân'!$AO$8:$AO$502,"Fail")+COUNTIFS('Thông báo'!$B$8:$B$502,"*"&amp;$B32&amp;"*",'Thông báo'!$AO$8:$AO$502,"Fail")+COUNTIFS('Đăng tin'!$B$8:$B$502,"*"&amp;$B32&amp;"*",'Đăng tin'!$AO$8:$AO$502,"Fail")+COUNTIFS('Trang chủ'!$B$8:$B$502,"*"&amp;$B32&amp;"*",'Trang chủ'!$AO$8:$AO$502,"Fail")+COUNTIFS('Bảng tin &amp; Chi tiết tin'!$B$8:$B$502,"*"&amp;$B32&amp;"*",'Bảng tin &amp; Chi tiết tin'!$AO$8:$AO$502,"Fail")+COUNTIFS('Theo dõi đơn'!$B$8:$B$502,"*"&amp;$B32&amp;"*",'Theo dõi đơn'!$AO$8:$AO$502,"Fail")+COUNTIFS('Huỷ đơn'!$B$8:$B$502,"*"&amp;$B32&amp;"*",'Huỷ đơn'!$AO$8:$AO$502,"Fail")+COUNTIFS('Tặng quà'!$B$8:$B$502,"*"&amp;$B32&amp;"*",'Tặng quà'!$AO$8:$AO$502,"Fail")</f>
        <v/>
      </c>
      <c r="I32" s="277">
        <f>IFERROR(F32/E32,0)</f>
        <v/>
      </c>
      <c r="J32" s="354">
        <f>IF(E32=0,"Chưa có TC (gap)",IF(H32&gt;0,"Có lỗi (Fail)",IF(F32&gt;=E32,"Đã test xong","Đang test")))</f>
        <v/>
      </c>
    </row>
    <row r="33" ht="15" customHeight="1" s="225">
      <c r="B33" s="411" t="inlineStr">
        <is>
          <t>REQ-ASN-004</t>
        </is>
      </c>
      <c r="C33" s="278" t="inlineStr">
        <is>
          <t>Tự động khớp tuyến OFFER↔NEED</t>
        </is>
      </c>
      <c r="D33" s="354" t="inlineStr">
        <is>
          <t>MTCH-01, BR-MTCH-01 · DOC-v1.0-01 §D3, §D4</t>
        </is>
      </c>
      <c r="E33" s="276">
        <f>COUNTIF('Hoạt động'!$B$8:$B$502,"*"&amp;$B33&amp;"*")+COUNTIF('Cá nhân'!$B$8:$B$502,"*"&amp;$B33&amp;"*")+COUNTIF('Thông báo'!$B$8:$B$502,"*"&amp;$B33&amp;"*")+COUNTIF('Đăng tin'!$B$8:$B$502,"*"&amp;$B33&amp;"*")+COUNTIF('Trang chủ'!$B$8:$B$502,"*"&amp;$B33&amp;"*")+COUNTIF('Bảng tin &amp; Chi tiết tin'!$B$8:$B$502,"*"&amp;$B33&amp;"*")+COUNTIF('Theo dõi đơn'!$B$8:$B$502,"*"&amp;$B33&amp;"*")+COUNTIF('Huỷ đơn'!$B$8:$B$502,"*"&amp;$B33&amp;"*")+COUNTIF('Tặng quà'!$B$8:$B$502,"*"&amp;$B33&amp;"*")</f>
        <v/>
      </c>
      <c r="F33" s="276">
        <f>SUMPRODUCT(ISNUMBER(SEARCH($B33,'Hoạt động'!$B$8:$B$502))*('Hoạt động'!$AO$8:$AO$502&lt;&gt;""))+SUMPRODUCT(ISNUMBER(SEARCH($B33,'Cá nhân'!$B$8:$B$502))*('Cá nhân'!$AO$8:$AO$502&lt;&gt;""))+SUMPRODUCT(ISNUMBER(SEARCH($B33,'Thông báo'!$B$8:$B$502))*('Thông báo'!$AO$8:$AO$502&lt;&gt;""))+SUMPRODUCT(ISNUMBER(SEARCH($B33,'Đăng tin'!$B$8:$B$502))*('Đăng tin'!$AO$8:$AO$502&lt;&gt;""))+SUMPRODUCT(ISNUMBER(SEARCH($B33,'Trang chủ'!$B$8:$B$502))*('Trang chủ'!$AO$8:$AO$502&lt;&gt;""))+SUMPRODUCT(ISNUMBER(SEARCH($B33,'Bảng tin &amp; Chi tiết tin'!$B$8:$B$502))*('Bảng tin &amp; Chi tiết tin'!$AO$8:$AO$502&lt;&gt;""))+SUMPRODUCT(ISNUMBER(SEARCH($B33,'Theo dõi đơn'!$B$8:$B$502))*('Theo dõi đơn'!$AO$8:$AO$502&lt;&gt;""))+SUMPRODUCT(ISNUMBER(SEARCH($B33,'Huỷ đơn'!$B$8:$B$502))*('Huỷ đơn'!$AO$8:$AO$502&lt;&gt;""))+SUMPRODUCT(ISNUMBER(SEARCH($B33,'Tặng quà'!$B$8:$B$502))*('Tặng quà'!$AO$8:$AO$502&lt;&gt;""))</f>
        <v/>
      </c>
      <c r="G33" s="276">
        <f>COUNTIFS('Hoạt động'!$B$8:$B$502,"*"&amp;$B33&amp;"*",'Hoạt động'!$AO$8:$AO$502,"Pass")+COUNTIFS('Cá nhân'!$B$8:$B$502,"*"&amp;$B33&amp;"*",'Cá nhân'!$AO$8:$AO$502,"Pass")+COUNTIFS('Thông báo'!$B$8:$B$502,"*"&amp;$B33&amp;"*",'Thông báo'!$AO$8:$AO$502,"Pass")+COUNTIFS('Đăng tin'!$B$8:$B$502,"*"&amp;$B33&amp;"*",'Đăng tin'!$AO$8:$AO$502,"Pass")+COUNTIFS('Trang chủ'!$B$8:$B$502,"*"&amp;$B33&amp;"*",'Trang chủ'!$AO$8:$AO$502,"Pass")+COUNTIFS('Bảng tin &amp; Chi tiết tin'!$B$8:$B$502,"*"&amp;$B33&amp;"*",'Bảng tin &amp; Chi tiết tin'!$AO$8:$AO$502,"Pass")+COUNTIFS('Theo dõi đơn'!$B$8:$B$502,"*"&amp;$B33&amp;"*",'Theo dõi đơn'!$AO$8:$AO$502,"Pass")+COUNTIFS('Huỷ đơn'!$B$8:$B$502,"*"&amp;$B33&amp;"*",'Huỷ đơn'!$AO$8:$AO$502,"Pass")+COUNTIFS('Tặng quà'!$B$8:$B$502,"*"&amp;$B33&amp;"*",'Tặng quà'!$AO$8:$AO$502,"Pass")</f>
        <v/>
      </c>
      <c r="H33" s="276">
        <f>COUNTIFS('Hoạt động'!$B$8:$B$502,"*"&amp;$B33&amp;"*",'Hoạt động'!$AO$8:$AO$502,"Fail")+COUNTIFS('Cá nhân'!$B$8:$B$502,"*"&amp;$B33&amp;"*",'Cá nhân'!$AO$8:$AO$502,"Fail")+COUNTIFS('Thông báo'!$B$8:$B$502,"*"&amp;$B33&amp;"*",'Thông báo'!$AO$8:$AO$502,"Fail")+COUNTIFS('Đăng tin'!$B$8:$B$502,"*"&amp;$B33&amp;"*",'Đăng tin'!$AO$8:$AO$502,"Fail")+COUNTIFS('Trang chủ'!$B$8:$B$502,"*"&amp;$B33&amp;"*",'Trang chủ'!$AO$8:$AO$502,"Fail")+COUNTIFS('Bảng tin &amp; Chi tiết tin'!$B$8:$B$502,"*"&amp;$B33&amp;"*",'Bảng tin &amp; Chi tiết tin'!$AO$8:$AO$502,"Fail")+COUNTIFS('Theo dõi đơn'!$B$8:$B$502,"*"&amp;$B33&amp;"*",'Theo dõi đơn'!$AO$8:$AO$502,"Fail")+COUNTIFS('Huỷ đơn'!$B$8:$B$502,"*"&amp;$B33&amp;"*",'Huỷ đơn'!$AO$8:$AO$502,"Fail")+COUNTIFS('Tặng quà'!$B$8:$B$502,"*"&amp;$B33&amp;"*",'Tặng quà'!$AO$8:$AO$502,"Fail")</f>
        <v/>
      </c>
      <c r="I33" s="277">
        <f>IFERROR(F33/E33,0)</f>
        <v/>
      </c>
      <c r="J33" s="354">
        <f>IF(E33=0,"Chưa có TC (gap)",IF(H33&gt;0,"Có lỗi (Fail)",IF(F33&gt;=E33,"Đã test xong","Đang test")))</f>
        <v/>
      </c>
    </row>
    <row r="34" ht="15" customHeight="1" s="225">
      <c r="B34" s="411" t="inlineStr">
        <is>
          <t>REQ-ASN-007</t>
        </is>
      </c>
      <c r="C34" s="278" t="inlineStr">
        <is>
          <t>Ưu tiên gợi ý theo độ gần &amp; thời gian đăng</t>
        </is>
      </c>
      <c r="D34" s="354" t="inlineStr">
        <is>
          <t>OPR-04 · DOC-v1.0-01 §D7</t>
        </is>
      </c>
      <c r="E34" s="276">
        <f>COUNTIF('Hoạt động'!$B$8:$B$502,"*"&amp;$B34&amp;"*")+COUNTIF('Cá nhân'!$B$8:$B$502,"*"&amp;$B34&amp;"*")+COUNTIF('Thông báo'!$B$8:$B$502,"*"&amp;$B34&amp;"*")+COUNTIF('Đăng tin'!$B$8:$B$502,"*"&amp;$B34&amp;"*")+COUNTIF('Trang chủ'!$B$8:$B$502,"*"&amp;$B34&amp;"*")+COUNTIF('Bảng tin &amp; Chi tiết tin'!$B$8:$B$502,"*"&amp;$B34&amp;"*")+COUNTIF('Theo dõi đơn'!$B$8:$B$502,"*"&amp;$B34&amp;"*")+COUNTIF('Huỷ đơn'!$B$8:$B$502,"*"&amp;$B34&amp;"*")+COUNTIF('Tặng quà'!$B$8:$B$502,"*"&amp;$B34&amp;"*")</f>
        <v/>
      </c>
      <c r="F34" s="276">
        <f>SUMPRODUCT(ISNUMBER(SEARCH($B34,'Hoạt động'!$B$8:$B$502))*('Hoạt động'!$AO$8:$AO$502&lt;&gt;""))+SUMPRODUCT(ISNUMBER(SEARCH($B34,'Cá nhân'!$B$8:$B$502))*('Cá nhân'!$AO$8:$AO$502&lt;&gt;""))+SUMPRODUCT(ISNUMBER(SEARCH($B34,'Thông báo'!$B$8:$B$502))*('Thông báo'!$AO$8:$AO$502&lt;&gt;""))+SUMPRODUCT(ISNUMBER(SEARCH($B34,'Đăng tin'!$B$8:$B$502))*('Đăng tin'!$AO$8:$AO$502&lt;&gt;""))+SUMPRODUCT(ISNUMBER(SEARCH($B34,'Trang chủ'!$B$8:$B$502))*('Trang chủ'!$AO$8:$AO$502&lt;&gt;""))+SUMPRODUCT(ISNUMBER(SEARCH($B34,'Bảng tin &amp; Chi tiết tin'!$B$8:$B$502))*('Bảng tin &amp; Chi tiết tin'!$AO$8:$AO$502&lt;&gt;""))+SUMPRODUCT(ISNUMBER(SEARCH($B34,'Theo dõi đơn'!$B$8:$B$502))*('Theo dõi đơn'!$AO$8:$AO$502&lt;&gt;""))+SUMPRODUCT(ISNUMBER(SEARCH($B34,'Huỷ đơn'!$B$8:$B$502))*('Huỷ đơn'!$AO$8:$AO$502&lt;&gt;""))+SUMPRODUCT(ISNUMBER(SEARCH($B34,'Tặng quà'!$B$8:$B$502))*('Tặng quà'!$AO$8:$AO$502&lt;&gt;""))</f>
        <v/>
      </c>
      <c r="G34" s="276">
        <f>COUNTIFS('Hoạt động'!$B$8:$B$502,"*"&amp;$B34&amp;"*",'Hoạt động'!$AO$8:$AO$502,"Pass")+COUNTIFS('Cá nhân'!$B$8:$B$502,"*"&amp;$B34&amp;"*",'Cá nhân'!$AO$8:$AO$502,"Pass")+COUNTIFS('Thông báo'!$B$8:$B$502,"*"&amp;$B34&amp;"*",'Thông báo'!$AO$8:$AO$502,"Pass")+COUNTIFS('Đăng tin'!$B$8:$B$502,"*"&amp;$B34&amp;"*",'Đăng tin'!$AO$8:$AO$502,"Pass")+COUNTIFS('Trang chủ'!$B$8:$B$502,"*"&amp;$B34&amp;"*",'Trang chủ'!$AO$8:$AO$502,"Pass")+COUNTIFS('Bảng tin &amp; Chi tiết tin'!$B$8:$B$502,"*"&amp;$B34&amp;"*",'Bảng tin &amp; Chi tiết tin'!$AO$8:$AO$502,"Pass")+COUNTIFS('Theo dõi đơn'!$B$8:$B$502,"*"&amp;$B34&amp;"*",'Theo dõi đơn'!$AO$8:$AO$502,"Pass")+COUNTIFS('Huỷ đơn'!$B$8:$B$502,"*"&amp;$B34&amp;"*",'Huỷ đơn'!$AO$8:$AO$502,"Pass")+COUNTIFS('Tặng quà'!$B$8:$B$502,"*"&amp;$B34&amp;"*",'Tặng quà'!$AO$8:$AO$502,"Pass")</f>
        <v/>
      </c>
      <c r="H34" s="276">
        <f>COUNTIFS('Hoạt động'!$B$8:$B$502,"*"&amp;$B34&amp;"*",'Hoạt động'!$AO$8:$AO$502,"Fail")+COUNTIFS('Cá nhân'!$B$8:$B$502,"*"&amp;$B34&amp;"*",'Cá nhân'!$AO$8:$AO$502,"Fail")+COUNTIFS('Thông báo'!$B$8:$B$502,"*"&amp;$B34&amp;"*",'Thông báo'!$AO$8:$AO$502,"Fail")+COUNTIFS('Đăng tin'!$B$8:$B$502,"*"&amp;$B34&amp;"*",'Đăng tin'!$AO$8:$AO$502,"Fail")+COUNTIFS('Trang chủ'!$B$8:$B$502,"*"&amp;$B34&amp;"*",'Trang chủ'!$AO$8:$AO$502,"Fail")+COUNTIFS('Bảng tin &amp; Chi tiết tin'!$B$8:$B$502,"*"&amp;$B34&amp;"*",'Bảng tin &amp; Chi tiết tin'!$AO$8:$AO$502,"Fail")+COUNTIFS('Theo dõi đơn'!$B$8:$B$502,"*"&amp;$B34&amp;"*",'Theo dõi đơn'!$AO$8:$AO$502,"Fail")+COUNTIFS('Huỷ đơn'!$B$8:$B$502,"*"&amp;$B34&amp;"*",'Huỷ đơn'!$AO$8:$AO$502,"Fail")+COUNTIFS('Tặng quà'!$B$8:$B$502,"*"&amp;$B34&amp;"*",'Tặng quà'!$AO$8:$AO$502,"Fail")</f>
        <v/>
      </c>
      <c r="I34" s="277">
        <f>IFERROR(F34/E34,0)</f>
        <v/>
      </c>
      <c r="J34" s="354">
        <f>IF(E34=0,"Chưa có TC (gap)",IF(H34&gt;0,"Có lỗi (Fail)",IF(F34&gt;=E34,"Đã test xong","Đang test")))</f>
        <v/>
      </c>
    </row>
    <row r="35" ht="15" customHeight="1" s="225">
      <c r="B35" s="411" t="inlineStr">
        <is>
          <t>REQ-ASN-008</t>
        </is>
      </c>
      <c r="C35" s="278" t="inlineStr">
        <is>
          <t>Không tự khớp với chính mình</t>
        </is>
      </c>
      <c r="D35" s="354" t="inlineStr">
        <is>
          <t>OPR-05 · DOC-v1.0-01 §D7</t>
        </is>
      </c>
      <c r="E35" s="276">
        <f>COUNTIF('Hoạt động'!$B$8:$B$502,"*"&amp;$B35&amp;"*")+COUNTIF('Cá nhân'!$B$8:$B$502,"*"&amp;$B35&amp;"*")+COUNTIF('Thông báo'!$B$8:$B$502,"*"&amp;$B35&amp;"*")+COUNTIF('Đăng tin'!$B$8:$B$502,"*"&amp;$B35&amp;"*")+COUNTIF('Trang chủ'!$B$8:$B$502,"*"&amp;$B35&amp;"*")+COUNTIF('Bảng tin &amp; Chi tiết tin'!$B$8:$B$502,"*"&amp;$B35&amp;"*")+COUNTIF('Theo dõi đơn'!$B$8:$B$502,"*"&amp;$B35&amp;"*")+COUNTIF('Huỷ đơn'!$B$8:$B$502,"*"&amp;$B35&amp;"*")+COUNTIF('Tặng quà'!$B$8:$B$502,"*"&amp;$B35&amp;"*")</f>
        <v/>
      </c>
      <c r="F35" s="276">
        <f>SUMPRODUCT(ISNUMBER(SEARCH($B35,'Hoạt động'!$B$8:$B$502))*('Hoạt động'!$AO$8:$AO$502&lt;&gt;""))+SUMPRODUCT(ISNUMBER(SEARCH($B35,'Cá nhân'!$B$8:$B$502))*('Cá nhân'!$AO$8:$AO$502&lt;&gt;""))+SUMPRODUCT(ISNUMBER(SEARCH($B35,'Thông báo'!$B$8:$B$502))*('Thông báo'!$AO$8:$AO$502&lt;&gt;""))+SUMPRODUCT(ISNUMBER(SEARCH($B35,'Đăng tin'!$B$8:$B$502))*('Đăng tin'!$AO$8:$AO$502&lt;&gt;""))+SUMPRODUCT(ISNUMBER(SEARCH($B35,'Trang chủ'!$B$8:$B$502))*('Trang chủ'!$AO$8:$AO$502&lt;&gt;""))+SUMPRODUCT(ISNUMBER(SEARCH($B35,'Bảng tin &amp; Chi tiết tin'!$B$8:$B$502))*('Bảng tin &amp; Chi tiết tin'!$AO$8:$AO$502&lt;&gt;""))+SUMPRODUCT(ISNUMBER(SEARCH($B35,'Theo dõi đơn'!$B$8:$B$502))*('Theo dõi đơn'!$AO$8:$AO$502&lt;&gt;""))+SUMPRODUCT(ISNUMBER(SEARCH($B35,'Huỷ đơn'!$B$8:$B$502))*('Huỷ đơn'!$AO$8:$AO$502&lt;&gt;""))+SUMPRODUCT(ISNUMBER(SEARCH($B35,'Tặng quà'!$B$8:$B$502))*('Tặng quà'!$AO$8:$AO$502&lt;&gt;""))</f>
        <v/>
      </c>
      <c r="G35" s="276">
        <f>COUNTIFS('Hoạt động'!$B$8:$B$502,"*"&amp;$B35&amp;"*",'Hoạt động'!$AO$8:$AO$502,"Pass")+COUNTIFS('Cá nhân'!$B$8:$B$502,"*"&amp;$B35&amp;"*",'Cá nhân'!$AO$8:$AO$502,"Pass")+COUNTIFS('Thông báo'!$B$8:$B$502,"*"&amp;$B35&amp;"*",'Thông báo'!$AO$8:$AO$502,"Pass")+COUNTIFS('Đăng tin'!$B$8:$B$502,"*"&amp;$B35&amp;"*",'Đăng tin'!$AO$8:$AO$502,"Pass")+COUNTIFS('Trang chủ'!$B$8:$B$502,"*"&amp;$B35&amp;"*",'Trang chủ'!$AO$8:$AO$502,"Pass")+COUNTIFS('Bảng tin &amp; Chi tiết tin'!$B$8:$B$502,"*"&amp;$B35&amp;"*",'Bảng tin &amp; Chi tiết tin'!$AO$8:$AO$502,"Pass")+COUNTIFS('Theo dõi đơn'!$B$8:$B$502,"*"&amp;$B35&amp;"*",'Theo dõi đơn'!$AO$8:$AO$502,"Pass")+COUNTIFS('Huỷ đơn'!$B$8:$B$502,"*"&amp;$B35&amp;"*",'Huỷ đơn'!$AO$8:$AO$502,"Pass")+COUNTIFS('Tặng quà'!$B$8:$B$502,"*"&amp;$B35&amp;"*",'Tặng quà'!$AO$8:$AO$502,"Pass")</f>
        <v/>
      </c>
      <c r="H35" s="276">
        <f>COUNTIFS('Hoạt động'!$B$8:$B$502,"*"&amp;$B35&amp;"*",'Hoạt động'!$AO$8:$AO$502,"Fail")+COUNTIFS('Cá nhân'!$B$8:$B$502,"*"&amp;$B35&amp;"*",'Cá nhân'!$AO$8:$AO$502,"Fail")+COUNTIFS('Thông báo'!$B$8:$B$502,"*"&amp;$B35&amp;"*",'Thông báo'!$AO$8:$AO$502,"Fail")+COUNTIFS('Đăng tin'!$B$8:$B$502,"*"&amp;$B35&amp;"*",'Đăng tin'!$AO$8:$AO$502,"Fail")+COUNTIFS('Trang chủ'!$B$8:$B$502,"*"&amp;$B35&amp;"*",'Trang chủ'!$AO$8:$AO$502,"Fail")+COUNTIFS('Bảng tin &amp; Chi tiết tin'!$B$8:$B$502,"*"&amp;$B35&amp;"*",'Bảng tin &amp; Chi tiết tin'!$AO$8:$AO$502,"Fail")+COUNTIFS('Theo dõi đơn'!$B$8:$B$502,"*"&amp;$B35&amp;"*",'Theo dõi đơn'!$AO$8:$AO$502,"Fail")+COUNTIFS('Huỷ đơn'!$B$8:$B$502,"*"&amp;$B35&amp;"*",'Huỷ đơn'!$AO$8:$AO$502,"Fail")+COUNTIFS('Tặng quà'!$B$8:$B$502,"*"&amp;$B35&amp;"*",'Tặng quà'!$AO$8:$AO$502,"Fail")</f>
        <v/>
      </c>
      <c r="I35" s="277">
        <f>IFERROR(F35/E35,0)</f>
        <v/>
      </c>
      <c r="J35" s="354">
        <f>IF(E35=0,"Chưa có TC (gap)",IF(H35&gt;0,"Có lỗi (Fail)",IF(F35&gt;=E35,"Đã test xong","Đang test")))</f>
        <v/>
      </c>
    </row>
    <row r="36" ht="15" customHeight="1" s="225">
      <c r="B36" s="411" t="inlineStr">
        <is>
          <t>REQ-ASN-009</t>
        </is>
      </c>
      <c r="C36" s="278" t="inlineStr">
        <is>
          <t>Vòng đời tin trong luồng khớp</t>
        </is>
      </c>
      <c r="D36" s="354" t="inlineStr">
        <is>
          <t>OPR-08 · DOC-v1.0-01 §D7</t>
        </is>
      </c>
      <c r="E36" s="276">
        <f>COUNTIF('Hoạt động'!$B$8:$B$502,"*"&amp;$B36&amp;"*")+COUNTIF('Cá nhân'!$B$8:$B$502,"*"&amp;$B36&amp;"*")+COUNTIF('Thông báo'!$B$8:$B$502,"*"&amp;$B36&amp;"*")+COUNTIF('Đăng tin'!$B$8:$B$502,"*"&amp;$B36&amp;"*")+COUNTIF('Trang chủ'!$B$8:$B$502,"*"&amp;$B36&amp;"*")+COUNTIF('Bảng tin &amp; Chi tiết tin'!$B$8:$B$502,"*"&amp;$B36&amp;"*")+COUNTIF('Theo dõi đơn'!$B$8:$B$502,"*"&amp;$B36&amp;"*")+COUNTIF('Huỷ đơn'!$B$8:$B$502,"*"&amp;$B36&amp;"*")+COUNTIF('Tặng quà'!$B$8:$B$502,"*"&amp;$B36&amp;"*")</f>
        <v/>
      </c>
      <c r="F36" s="276">
        <f>SUMPRODUCT(ISNUMBER(SEARCH($B36,'Hoạt động'!$B$8:$B$502))*('Hoạt động'!$AO$8:$AO$502&lt;&gt;""))+SUMPRODUCT(ISNUMBER(SEARCH($B36,'Cá nhân'!$B$8:$B$502))*('Cá nhân'!$AO$8:$AO$502&lt;&gt;""))+SUMPRODUCT(ISNUMBER(SEARCH($B36,'Thông báo'!$B$8:$B$502))*('Thông báo'!$AO$8:$AO$502&lt;&gt;""))+SUMPRODUCT(ISNUMBER(SEARCH($B36,'Đăng tin'!$B$8:$B$502))*('Đăng tin'!$AO$8:$AO$502&lt;&gt;""))+SUMPRODUCT(ISNUMBER(SEARCH($B36,'Trang chủ'!$B$8:$B$502))*('Trang chủ'!$AO$8:$AO$502&lt;&gt;""))+SUMPRODUCT(ISNUMBER(SEARCH($B36,'Bảng tin &amp; Chi tiết tin'!$B$8:$B$502))*('Bảng tin &amp; Chi tiết tin'!$AO$8:$AO$502&lt;&gt;""))+SUMPRODUCT(ISNUMBER(SEARCH($B36,'Theo dõi đơn'!$B$8:$B$502))*('Theo dõi đơn'!$AO$8:$AO$502&lt;&gt;""))+SUMPRODUCT(ISNUMBER(SEARCH($B36,'Huỷ đơn'!$B$8:$B$502))*('Huỷ đơn'!$AO$8:$AO$502&lt;&gt;""))+SUMPRODUCT(ISNUMBER(SEARCH($B36,'Tặng quà'!$B$8:$B$502))*('Tặng quà'!$AO$8:$AO$502&lt;&gt;""))</f>
        <v/>
      </c>
      <c r="G36" s="276">
        <f>COUNTIFS('Hoạt động'!$B$8:$B$502,"*"&amp;$B36&amp;"*",'Hoạt động'!$AO$8:$AO$502,"Pass")+COUNTIFS('Cá nhân'!$B$8:$B$502,"*"&amp;$B36&amp;"*",'Cá nhân'!$AO$8:$AO$502,"Pass")+COUNTIFS('Thông báo'!$B$8:$B$502,"*"&amp;$B36&amp;"*",'Thông báo'!$AO$8:$AO$502,"Pass")+COUNTIFS('Đăng tin'!$B$8:$B$502,"*"&amp;$B36&amp;"*",'Đăng tin'!$AO$8:$AO$502,"Pass")+COUNTIFS('Trang chủ'!$B$8:$B$502,"*"&amp;$B36&amp;"*",'Trang chủ'!$AO$8:$AO$502,"Pass")+COUNTIFS('Bảng tin &amp; Chi tiết tin'!$B$8:$B$502,"*"&amp;$B36&amp;"*",'Bảng tin &amp; Chi tiết tin'!$AO$8:$AO$502,"Pass")+COUNTIFS('Theo dõi đơn'!$B$8:$B$502,"*"&amp;$B36&amp;"*",'Theo dõi đơn'!$AO$8:$AO$502,"Pass")+COUNTIFS('Huỷ đơn'!$B$8:$B$502,"*"&amp;$B36&amp;"*",'Huỷ đơn'!$AO$8:$AO$502,"Pass")+COUNTIFS('Tặng quà'!$B$8:$B$502,"*"&amp;$B36&amp;"*",'Tặng quà'!$AO$8:$AO$502,"Pass")</f>
        <v/>
      </c>
      <c r="H36" s="276">
        <f>COUNTIFS('Hoạt động'!$B$8:$B$502,"*"&amp;$B36&amp;"*",'Hoạt động'!$AO$8:$AO$502,"Fail")+COUNTIFS('Cá nhân'!$B$8:$B$502,"*"&amp;$B36&amp;"*",'Cá nhân'!$AO$8:$AO$502,"Fail")+COUNTIFS('Thông báo'!$B$8:$B$502,"*"&amp;$B36&amp;"*",'Thông báo'!$AO$8:$AO$502,"Fail")+COUNTIFS('Đăng tin'!$B$8:$B$502,"*"&amp;$B36&amp;"*",'Đăng tin'!$AO$8:$AO$502,"Fail")+COUNTIFS('Trang chủ'!$B$8:$B$502,"*"&amp;$B36&amp;"*",'Trang chủ'!$AO$8:$AO$502,"Fail")+COUNTIFS('Bảng tin &amp; Chi tiết tin'!$B$8:$B$502,"*"&amp;$B36&amp;"*",'Bảng tin &amp; Chi tiết tin'!$AO$8:$AO$502,"Fail")+COUNTIFS('Theo dõi đơn'!$B$8:$B$502,"*"&amp;$B36&amp;"*",'Theo dõi đơn'!$AO$8:$AO$502,"Fail")+COUNTIFS('Huỷ đơn'!$B$8:$B$502,"*"&amp;$B36&amp;"*",'Huỷ đơn'!$AO$8:$AO$502,"Fail")+COUNTIFS('Tặng quà'!$B$8:$B$502,"*"&amp;$B36&amp;"*",'Tặng quà'!$AO$8:$AO$502,"Fail")</f>
        <v/>
      </c>
      <c r="I36" s="277">
        <f>IFERROR(F36/E36,0)</f>
        <v/>
      </c>
      <c r="J36" s="354">
        <f>IF(E36=0,"Chưa có TC (gap)",IF(H36&gt;0,"Có lỗi (Fail)",IF(F36&gt;=E36,"Đã test xong","Đang test")))</f>
        <v/>
      </c>
    </row>
    <row r="37" ht="15" customHeight="1" s="225">
      <c r="B37" s="411" t="inlineStr">
        <is>
          <t>REQ-ASN-010</t>
        </is>
      </c>
      <c r="C37" s="278" t="inlineStr">
        <is>
          <t>Màn Bảng tin hiển thị danh sách tin đăng cộng đồng</t>
        </is>
      </c>
      <c r="D37" s="354" t="inlineStr">
        <is>
          <t>DOC-v1.0-02</t>
        </is>
      </c>
      <c r="E37" s="276">
        <f>COUNTIF('Hoạt động'!$B$8:$B$502,"*"&amp;$B37&amp;"*")+COUNTIF('Cá nhân'!$B$8:$B$502,"*"&amp;$B37&amp;"*")+COUNTIF('Thông báo'!$B$8:$B$502,"*"&amp;$B37&amp;"*")+COUNTIF('Đăng tin'!$B$8:$B$502,"*"&amp;$B37&amp;"*")+COUNTIF('Trang chủ'!$B$8:$B$502,"*"&amp;$B37&amp;"*")+COUNTIF('Bảng tin &amp; Chi tiết tin'!$B$8:$B$502,"*"&amp;$B37&amp;"*")+COUNTIF('Theo dõi đơn'!$B$8:$B$502,"*"&amp;$B37&amp;"*")+COUNTIF('Huỷ đơn'!$B$8:$B$502,"*"&amp;$B37&amp;"*")+COUNTIF('Tặng quà'!$B$8:$B$502,"*"&amp;$B37&amp;"*")</f>
        <v/>
      </c>
      <c r="F37" s="276">
        <f>SUMPRODUCT(ISNUMBER(SEARCH($B37,'Hoạt động'!$B$8:$B$502))*('Hoạt động'!$AO$8:$AO$502&lt;&gt;""))+SUMPRODUCT(ISNUMBER(SEARCH($B37,'Cá nhân'!$B$8:$B$502))*('Cá nhân'!$AO$8:$AO$502&lt;&gt;""))+SUMPRODUCT(ISNUMBER(SEARCH($B37,'Thông báo'!$B$8:$B$502))*('Thông báo'!$AO$8:$AO$502&lt;&gt;""))+SUMPRODUCT(ISNUMBER(SEARCH($B37,'Đăng tin'!$B$8:$B$502))*('Đăng tin'!$AO$8:$AO$502&lt;&gt;""))+SUMPRODUCT(ISNUMBER(SEARCH($B37,'Trang chủ'!$B$8:$B$502))*('Trang chủ'!$AO$8:$AO$502&lt;&gt;""))+SUMPRODUCT(ISNUMBER(SEARCH($B37,'Bảng tin &amp; Chi tiết tin'!$B$8:$B$502))*('Bảng tin &amp; Chi tiết tin'!$AO$8:$AO$502&lt;&gt;""))+SUMPRODUCT(ISNUMBER(SEARCH($B37,'Theo dõi đơn'!$B$8:$B$502))*('Theo dõi đơn'!$AO$8:$AO$502&lt;&gt;""))+SUMPRODUCT(ISNUMBER(SEARCH($B37,'Huỷ đơn'!$B$8:$B$502))*('Huỷ đơn'!$AO$8:$AO$502&lt;&gt;""))+SUMPRODUCT(ISNUMBER(SEARCH($B37,'Tặng quà'!$B$8:$B$502))*('Tặng quà'!$AO$8:$AO$502&lt;&gt;""))</f>
        <v/>
      </c>
      <c r="G37" s="276">
        <f>COUNTIFS('Hoạt động'!$B$8:$B$502,"*"&amp;$B37&amp;"*",'Hoạt động'!$AO$8:$AO$502,"Pass")+COUNTIFS('Cá nhân'!$B$8:$B$502,"*"&amp;$B37&amp;"*",'Cá nhân'!$AO$8:$AO$502,"Pass")+COUNTIFS('Thông báo'!$B$8:$B$502,"*"&amp;$B37&amp;"*",'Thông báo'!$AO$8:$AO$502,"Pass")+COUNTIFS('Đăng tin'!$B$8:$B$502,"*"&amp;$B37&amp;"*",'Đăng tin'!$AO$8:$AO$502,"Pass")+COUNTIFS('Trang chủ'!$B$8:$B$502,"*"&amp;$B37&amp;"*",'Trang chủ'!$AO$8:$AO$502,"Pass")+COUNTIFS('Bảng tin &amp; Chi tiết tin'!$B$8:$B$502,"*"&amp;$B37&amp;"*",'Bảng tin &amp; Chi tiết tin'!$AO$8:$AO$502,"Pass")+COUNTIFS('Theo dõi đơn'!$B$8:$B$502,"*"&amp;$B37&amp;"*",'Theo dõi đơn'!$AO$8:$AO$502,"Pass")+COUNTIFS('Huỷ đơn'!$B$8:$B$502,"*"&amp;$B37&amp;"*",'Huỷ đơn'!$AO$8:$AO$502,"Pass")+COUNTIFS('Tặng quà'!$B$8:$B$502,"*"&amp;$B37&amp;"*",'Tặng quà'!$AO$8:$AO$502,"Pass")</f>
        <v/>
      </c>
      <c r="H37" s="276">
        <f>COUNTIFS('Hoạt động'!$B$8:$B$502,"*"&amp;$B37&amp;"*",'Hoạt động'!$AO$8:$AO$502,"Fail")+COUNTIFS('Cá nhân'!$B$8:$B$502,"*"&amp;$B37&amp;"*",'Cá nhân'!$AO$8:$AO$502,"Fail")+COUNTIFS('Thông báo'!$B$8:$B$502,"*"&amp;$B37&amp;"*",'Thông báo'!$AO$8:$AO$502,"Fail")+COUNTIFS('Đăng tin'!$B$8:$B$502,"*"&amp;$B37&amp;"*",'Đăng tin'!$AO$8:$AO$502,"Fail")+COUNTIFS('Trang chủ'!$B$8:$B$502,"*"&amp;$B37&amp;"*",'Trang chủ'!$AO$8:$AO$502,"Fail")+COUNTIFS('Bảng tin &amp; Chi tiết tin'!$B$8:$B$502,"*"&amp;$B37&amp;"*",'Bảng tin &amp; Chi tiết tin'!$AO$8:$AO$502,"Fail")+COUNTIFS('Theo dõi đơn'!$B$8:$B$502,"*"&amp;$B37&amp;"*",'Theo dõi đơn'!$AO$8:$AO$502,"Fail")+COUNTIFS('Huỷ đơn'!$B$8:$B$502,"*"&amp;$B37&amp;"*",'Huỷ đơn'!$AO$8:$AO$502,"Fail")+COUNTIFS('Tặng quà'!$B$8:$B$502,"*"&amp;$B37&amp;"*",'Tặng quà'!$AO$8:$AO$502,"Fail")</f>
        <v/>
      </c>
      <c r="I37" s="277">
        <f>IFERROR(F37/E37,0)</f>
        <v/>
      </c>
      <c r="J37" s="354">
        <f>IF(E37=0,"Chưa có TC (gap)",IF(H37&gt;0,"Có lỗi (Fail)",IF(F37&gt;=E37,"Đã test xong","Đang test")))</f>
        <v/>
      </c>
    </row>
    <row r="38" ht="15" customHeight="1" s="225">
      <c r="B38" s="411" t="inlineStr">
        <is>
          <t>REQ-DLV-001</t>
        </is>
      </c>
      <c r="C38" s="278" t="inlineStr">
        <is>
          <t>Chụp ảnh hàng lúc nhận (tuỳ chọn)</t>
        </is>
      </c>
      <c r="D38" s="354" t="inlineStr">
        <is>
          <t>PUP-03, BR-CNF-01 · DOC-v1.0-01 §D3, §D4</t>
        </is>
      </c>
      <c r="E38" s="276">
        <f>COUNTIF('Hoạt động'!$B$8:$B$502,"*"&amp;$B38&amp;"*")+COUNTIF('Cá nhân'!$B$8:$B$502,"*"&amp;$B38&amp;"*")+COUNTIF('Thông báo'!$B$8:$B$502,"*"&amp;$B38&amp;"*")+COUNTIF('Đăng tin'!$B$8:$B$502,"*"&amp;$B38&amp;"*")+COUNTIF('Trang chủ'!$B$8:$B$502,"*"&amp;$B38&amp;"*")+COUNTIF('Bảng tin &amp; Chi tiết tin'!$B$8:$B$502,"*"&amp;$B38&amp;"*")+COUNTIF('Theo dõi đơn'!$B$8:$B$502,"*"&amp;$B38&amp;"*")+COUNTIF('Huỷ đơn'!$B$8:$B$502,"*"&amp;$B38&amp;"*")+COUNTIF('Tặng quà'!$B$8:$B$502,"*"&amp;$B38&amp;"*")</f>
        <v/>
      </c>
      <c r="F38" s="276">
        <f>SUMPRODUCT(ISNUMBER(SEARCH($B38,'Hoạt động'!$B$8:$B$502))*('Hoạt động'!$AO$8:$AO$502&lt;&gt;""))+SUMPRODUCT(ISNUMBER(SEARCH($B38,'Cá nhân'!$B$8:$B$502))*('Cá nhân'!$AO$8:$AO$502&lt;&gt;""))+SUMPRODUCT(ISNUMBER(SEARCH($B38,'Thông báo'!$B$8:$B$502))*('Thông báo'!$AO$8:$AO$502&lt;&gt;""))+SUMPRODUCT(ISNUMBER(SEARCH($B38,'Đăng tin'!$B$8:$B$502))*('Đăng tin'!$AO$8:$AO$502&lt;&gt;""))+SUMPRODUCT(ISNUMBER(SEARCH($B38,'Trang chủ'!$B$8:$B$502))*('Trang chủ'!$AO$8:$AO$502&lt;&gt;""))+SUMPRODUCT(ISNUMBER(SEARCH($B38,'Bảng tin &amp; Chi tiết tin'!$B$8:$B$502))*('Bảng tin &amp; Chi tiết tin'!$AO$8:$AO$502&lt;&gt;""))+SUMPRODUCT(ISNUMBER(SEARCH($B38,'Theo dõi đơn'!$B$8:$B$502))*('Theo dõi đơn'!$AO$8:$AO$502&lt;&gt;""))+SUMPRODUCT(ISNUMBER(SEARCH($B38,'Huỷ đơn'!$B$8:$B$502))*('Huỷ đơn'!$AO$8:$AO$502&lt;&gt;""))+SUMPRODUCT(ISNUMBER(SEARCH($B38,'Tặng quà'!$B$8:$B$502))*('Tặng quà'!$AO$8:$AO$502&lt;&gt;""))</f>
        <v/>
      </c>
      <c r="G38" s="276">
        <f>COUNTIFS('Hoạt động'!$B$8:$B$502,"*"&amp;$B38&amp;"*",'Hoạt động'!$AO$8:$AO$502,"Pass")+COUNTIFS('Cá nhân'!$B$8:$B$502,"*"&amp;$B38&amp;"*",'Cá nhân'!$AO$8:$AO$502,"Pass")+COUNTIFS('Thông báo'!$B$8:$B$502,"*"&amp;$B38&amp;"*",'Thông báo'!$AO$8:$AO$502,"Pass")+COUNTIFS('Đăng tin'!$B$8:$B$502,"*"&amp;$B38&amp;"*",'Đăng tin'!$AO$8:$AO$502,"Pass")+COUNTIFS('Trang chủ'!$B$8:$B$502,"*"&amp;$B38&amp;"*",'Trang chủ'!$AO$8:$AO$502,"Pass")+COUNTIFS('Bảng tin &amp; Chi tiết tin'!$B$8:$B$502,"*"&amp;$B38&amp;"*",'Bảng tin &amp; Chi tiết tin'!$AO$8:$AO$502,"Pass")+COUNTIFS('Theo dõi đơn'!$B$8:$B$502,"*"&amp;$B38&amp;"*",'Theo dõi đơn'!$AO$8:$AO$502,"Pass")+COUNTIFS('Huỷ đơn'!$B$8:$B$502,"*"&amp;$B38&amp;"*",'Huỷ đơn'!$AO$8:$AO$502,"Pass")+COUNTIFS('Tặng quà'!$B$8:$B$502,"*"&amp;$B38&amp;"*",'Tặng quà'!$AO$8:$AO$502,"Pass")</f>
        <v/>
      </c>
      <c r="H38" s="276">
        <f>COUNTIFS('Hoạt động'!$B$8:$B$502,"*"&amp;$B38&amp;"*",'Hoạt động'!$AO$8:$AO$502,"Fail")+COUNTIFS('Cá nhân'!$B$8:$B$502,"*"&amp;$B38&amp;"*",'Cá nhân'!$AO$8:$AO$502,"Fail")+COUNTIFS('Thông báo'!$B$8:$B$502,"*"&amp;$B38&amp;"*",'Thông báo'!$AO$8:$AO$502,"Fail")+COUNTIFS('Đăng tin'!$B$8:$B$502,"*"&amp;$B38&amp;"*",'Đăng tin'!$AO$8:$AO$502,"Fail")+COUNTIFS('Trang chủ'!$B$8:$B$502,"*"&amp;$B38&amp;"*",'Trang chủ'!$AO$8:$AO$502,"Fail")+COUNTIFS('Bảng tin &amp; Chi tiết tin'!$B$8:$B$502,"*"&amp;$B38&amp;"*",'Bảng tin &amp; Chi tiết tin'!$AO$8:$AO$502,"Fail")+COUNTIFS('Theo dõi đơn'!$B$8:$B$502,"*"&amp;$B38&amp;"*",'Theo dõi đơn'!$AO$8:$AO$502,"Fail")+COUNTIFS('Huỷ đơn'!$B$8:$B$502,"*"&amp;$B38&amp;"*",'Huỷ đơn'!$AO$8:$AO$502,"Fail")+COUNTIFS('Tặng quà'!$B$8:$B$502,"*"&amp;$B38&amp;"*",'Tặng quà'!$AO$8:$AO$502,"Fail")</f>
        <v/>
      </c>
      <c r="I38" s="277">
        <f>IFERROR(F38/E38,0)</f>
        <v/>
      </c>
      <c r="J38" s="354">
        <f>IF(E38=0,"Chưa có TC (gap)",IF(H38&gt;0,"Có lỗi (Fail)",IF(F38&gt;=E38,"Đã test xong","Đang test")))</f>
        <v/>
      </c>
    </row>
    <row r="39" ht="15" customHeight="1" s="225">
      <c r="B39" s="411" t="inlineStr">
        <is>
          <t>REQ-DLV-002</t>
        </is>
      </c>
      <c r="C39" s="278" t="inlineStr">
        <is>
          <t>Chia sẻ vị trí khi đang giao (tuỳ chọn)</t>
        </is>
      </c>
      <c r="D39" s="354" t="inlineStr">
        <is>
          <t>GPS-01 · DOC-v1.0-01 §D3</t>
        </is>
      </c>
      <c r="E39" s="276">
        <f>COUNTIF('Hoạt động'!$B$8:$B$502,"*"&amp;$B39&amp;"*")+COUNTIF('Cá nhân'!$B$8:$B$502,"*"&amp;$B39&amp;"*")+COUNTIF('Thông báo'!$B$8:$B$502,"*"&amp;$B39&amp;"*")+COUNTIF('Đăng tin'!$B$8:$B$502,"*"&amp;$B39&amp;"*")+COUNTIF('Trang chủ'!$B$8:$B$502,"*"&amp;$B39&amp;"*")+COUNTIF('Bảng tin &amp; Chi tiết tin'!$B$8:$B$502,"*"&amp;$B39&amp;"*")+COUNTIF('Theo dõi đơn'!$B$8:$B$502,"*"&amp;$B39&amp;"*")+COUNTIF('Huỷ đơn'!$B$8:$B$502,"*"&amp;$B39&amp;"*")+COUNTIF('Tặng quà'!$B$8:$B$502,"*"&amp;$B39&amp;"*")</f>
        <v/>
      </c>
      <c r="F39" s="276">
        <f>SUMPRODUCT(ISNUMBER(SEARCH($B39,'Hoạt động'!$B$8:$B$502))*('Hoạt động'!$AO$8:$AO$502&lt;&gt;""))+SUMPRODUCT(ISNUMBER(SEARCH($B39,'Cá nhân'!$B$8:$B$502))*('Cá nhân'!$AO$8:$AO$502&lt;&gt;""))+SUMPRODUCT(ISNUMBER(SEARCH($B39,'Thông báo'!$B$8:$B$502))*('Thông báo'!$AO$8:$AO$502&lt;&gt;""))+SUMPRODUCT(ISNUMBER(SEARCH($B39,'Đăng tin'!$B$8:$B$502))*('Đăng tin'!$AO$8:$AO$502&lt;&gt;""))+SUMPRODUCT(ISNUMBER(SEARCH($B39,'Trang chủ'!$B$8:$B$502))*('Trang chủ'!$AO$8:$AO$502&lt;&gt;""))+SUMPRODUCT(ISNUMBER(SEARCH($B39,'Bảng tin &amp; Chi tiết tin'!$B$8:$B$502))*('Bảng tin &amp; Chi tiết tin'!$AO$8:$AO$502&lt;&gt;""))+SUMPRODUCT(ISNUMBER(SEARCH($B39,'Theo dõi đơn'!$B$8:$B$502))*('Theo dõi đơn'!$AO$8:$AO$502&lt;&gt;""))+SUMPRODUCT(ISNUMBER(SEARCH($B39,'Huỷ đơn'!$B$8:$B$502))*('Huỷ đơn'!$AO$8:$AO$502&lt;&gt;""))+SUMPRODUCT(ISNUMBER(SEARCH($B39,'Tặng quà'!$B$8:$B$502))*('Tặng quà'!$AO$8:$AO$502&lt;&gt;""))</f>
        <v/>
      </c>
      <c r="G39" s="276">
        <f>COUNTIFS('Hoạt động'!$B$8:$B$502,"*"&amp;$B39&amp;"*",'Hoạt động'!$AO$8:$AO$502,"Pass")+COUNTIFS('Cá nhân'!$B$8:$B$502,"*"&amp;$B39&amp;"*",'Cá nhân'!$AO$8:$AO$502,"Pass")+COUNTIFS('Thông báo'!$B$8:$B$502,"*"&amp;$B39&amp;"*",'Thông báo'!$AO$8:$AO$502,"Pass")+COUNTIFS('Đăng tin'!$B$8:$B$502,"*"&amp;$B39&amp;"*",'Đăng tin'!$AO$8:$AO$502,"Pass")+COUNTIFS('Trang chủ'!$B$8:$B$502,"*"&amp;$B39&amp;"*",'Trang chủ'!$AO$8:$AO$502,"Pass")+COUNTIFS('Bảng tin &amp; Chi tiết tin'!$B$8:$B$502,"*"&amp;$B39&amp;"*",'Bảng tin &amp; Chi tiết tin'!$AO$8:$AO$502,"Pass")+COUNTIFS('Theo dõi đơn'!$B$8:$B$502,"*"&amp;$B39&amp;"*",'Theo dõi đơn'!$AO$8:$AO$502,"Pass")+COUNTIFS('Huỷ đơn'!$B$8:$B$502,"*"&amp;$B39&amp;"*",'Huỷ đơn'!$AO$8:$AO$502,"Pass")+COUNTIFS('Tặng quà'!$B$8:$B$502,"*"&amp;$B39&amp;"*",'Tặng quà'!$AO$8:$AO$502,"Pass")</f>
        <v/>
      </c>
      <c r="H39" s="276">
        <f>COUNTIFS('Hoạt động'!$B$8:$B$502,"*"&amp;$B39&amp;"*",'Hoạt động'!$AO$8:$AO$502,"Fail")+COUNTIFS('Cá nhân'!$B$8:$B$502,"*"&amp;$B39&amp;"*",'Cá nhân'!$AO$8:$AO$502,"Fail")+COUNTIFS('Thông báo'!$B$8:$B$502,"*"&amp;$B39&amp;"*",'Thông báo'!$AO$8:$AO$502,"Fail")+COUNTIFS('Đăng tin'!$B$8:$B$502,"*"&amp;$B39&amp;"*",'Đăng tin'!$AO$8:$AO$502,"Fail")+COUNTIFS('Trang chủ'!$B$8:$B$502,"*"&amp;$B39&amp;"*",'Trang chủ'!$AO$8:$AO$502,"Fail")+COUNTIFS('Bảng tin &amp; Chi tiết tin'!$B$8:$B$502,"*"&amp;$B39&amp;"*",'Bảng tin &amp; Chi tiết tin'!$AO$8:$AO$502,"Fail")+COUNTIFS('Theo dõi đơn'!$B$8:$B$502,"*"&amp;$B39&amp;"*",'Theo dõi đơn'!$AO$8:$AO$502,"Fail")+COUNTIFS('Huỷ đơn'!$B$8:$B$502,"*"&amp;$B39&amp;"*",'Huỷ đơn'!$AO$8:$AO$502,"Fail")+COUNTIFS('Tặng quà'!$B$8:$B$502,"*"&amp;$B39&amp;"*",'Tặng quà'!$AO$8:$AO$502,"Fail")</f>
        <v/>
      </c>
      <c r="I39" s="277">
        <f>IFERROR(F39/E39,0)</f>
        <v/>
      </c>
      <c r="J39" s="354">
        <f>IF(E39=0,"Chưa có TC (gap)",IF(H39&gt;0,"Có lỗi (Fail)",IF(F39&gt;=E39,"Đã test xong","Đang test")))</f>
        <v/>
      </c>
    </row>
    <row r="40" ht="15" customHeight="1" s="225">
      <c r="B40" s="411" t="inlineStr">
        <is>
          <t>REQ-DLV-003</t>
        </is>
      </c>
      <c r="C40" s="278" t="inlineStr">
        <is>
          <t>Xác nhận đã nhận hàng + escalate</t>
        </is>
      </c>
      <c r="D40" s="354" t="inlineStr">
        <is>
          <t>DLV-03, BR-CNF-04, BR-INT-03 · DOC-v1.0-01 §D3, §D4, §A5 + DOC-v1.0-04</t>
        </is>
      </c>
      <c r="E40" s="276">
        <f>COUNTIF('Hoạt động'!$B$8:$B$502,"*"&amp;$B40&amp;"*")+COUNTIF('Cá nhân'!$B$8:$B$502,"*"&amp;$B40&amp;"*")+COUNTIF('Thông báo'!$B$8:$B$502,"*"&amp;$B40&amp;"*")+COUNTIF('Đăng tin'!$B$8:$B$502,"*"&amp;$B40&amp;"*")+COUNTIF('Trang chủ'!$B$8:$B$502,"*"&amp;$B40&amp;"*")+COUNTIF('Bảng tin &amp; Chi tiết tin'!$B$8:$B$502,"*"&amp;$B40&amp;"*")+COUNTIF('Theo dõi đơn'!$B$8:$B$502,"*"&amp;$B40&amp;"*")+COUNTIF('Huỷ đơn'!$B$8:$B$502,"*"&amp;$B40&amp;"*")+COUNTIF('Tặng quà'!$B$8:$B$502,"*"&amp;$B40&amp;"*")</f>
        <v/>
      </c>
      <c r="F40" s="276">
        <f>SUMPRODUCT(ISNUMBER(SEARCH($B40,'Hoạt động'!$B$8:$B$502))*('Hoạt động'!$AO$8:$AO$502&lt;&gt;""))+SUMPRODUCT(ISNUMBER(SEARCH($B40,'Cá nhân'!$B$8:$B$502))*('Cá nhân'!$AO$8:$AO$502&lt;&gt;""))+SUMPRODUCT(ISNUMBER(SEARCH($B40,'Thông báo'!$B$8:$B$502))*('Thông báo'!$AO$8:$AO$502&lt;&gt;""))+SUMPRODUCT(ISNUMBER(SEARCH($B40,'Đăng tin'!$B$8:$B$502))*('Đăng tin'!$AO$8:$AO$502&lt;&gt;""))+SUMPRODUCT(ISNUMBER(SEARCH($B40,'Trang chủ'!$B$8:$B$502))*('Trang chủ'!$AO$8:$AO$502&lt;&gt;""))+SUMPRODUCT(ISNUMBER(SEARCH($B40,'Bảng tin &amp; Chi tiết tin'!$B$8:$B$502))*('Bảng tin &amp; Chi tiết tin'!$AO$8:$AO$502&lt;&gt;""))+SUMPRODUCT(ISNUMBER(SEARCH($B40,'Theo dõi đơn'!$B$8:$B$502))*('Theo dõi đơn'!$AO$8:$AO$502&lt;&gt;""))+SUMPRODUCT(ISNUMBER(SEARCH($B40,'Huỷ đơn'!$B$8:$B$502))*('Huỷ đơn'!$AO$8:$AO$502&lt;&gt;""))+SUMPRODUCT(ISNUMBER(SEARCH($B40,'Tặng quà'!$B$8:$B$502))*('Tặng quà'!$AO$8:$AO$502&lt;&gt;""))</f>
        <v/>
      </c>
      <c r="G40" s="276">
        <f>COUNTIFS('Hoạt động'!$B$8:$B$502,"*"&amp;$B40&amp;"*",'Hoạt động'!$AO$8:$AO$502,"Pass")+COUNTIFS('Cá nhân'!$B$8:$B$502,"*"&amp;$B40&amp;"*",'Cá nhân'!$AO$8:$AO$502,"Pass")+COUNTIFS('Thông báo'!$B$8:$B$502,"*"&amp;$B40&amp;"*",'Thông báo'!$AO$8:$AO$502,"Pass")+COUNTIFS('Đăng tin'!$B$8:$B$502,"*"&amp;$B40&amp;"*",'Đăng tin'!$AO$8:$AO$502,"Pass")+COUNTIFS('Trang chủ'!$B$8:$B$502,"*"&amp;$B40&amp;"*",'Trang chủ'!$AO$8:$AO$502,"Pass")+COUNTIFS('Bảng tin &amp; Chi tiết tin'!$B$8:$B$502,"*"&amp;$B40&amp;"*",'Bảng tin &amp; Chi tiết tin'!$AO$8:$AO$502,"Pass")+COUNTIFS('Theo dõi đơn'!$B$8:$B$502,"*"&amp;$B40&amp;"*",'Theo dõi đơn'!$AO$8:$AO$502,"Pass")+COUNTIFS('Huỷ đơn'!$B$8:$B$502,"*"&amp;$B40&amp;"*",'Huỷ đơn'!$AO$8:$AO$502,"Pass")+COUNTIFS('Tặng quà'!$B$8:$B$502,"*"&amp;$B40&amp;"*",'Tặng quà'!$AO$8:$AO$502,"Pass")</f>
        <v/>
      </c>
      <c r="H40" s="276">
        <f>COUNTIFS('Hoạt động'!$B$8:$B$502,"*"&amp;$B40&amp;"*",'Hoạt động'!$AO$8:$AO$502,"Fail")+COUNTIFS('Cá nhân'!$B$8:$B$502,"*"&amp;$B40&amp;"*",'Cá nhân'!$AO$8:$AO$502,"Fail")+COUNTIFS('Thông báo'!$B$8:$B$502,"*"&amp;$B40&amp;"*",'Thông báo'!$AO$8:$AO$502,"Fail")+COUNTIFS('Đăng tin'!$B$8:$B$502,"*"&amp;$B40&amp;"*",'Đăng tin'!$AO$8:$AO$502,"Fail")+COUNTIFS('Trang chủ'!$B$8:$B$502,"*"&amp;$B40&amp;"*",'Trang chủ'!$AO$8:$AO$502,"Fail")+COUNTIFS('Bảng tin &amp; Chi tiết tin'!$B$8:$B$502,"*"&amp;$B40&amp;"*",'Bảng tin &amp; Chi tiết tin'!$AO$8:$AO$502,"Fail")+COUNTIFS('Theo dõi đơn'!$B$8:$B$502,"*"&amp;$B40&amp;"*",'Theo dõi đơn'!$AO$8:$AO$502,"Fail")+COUNTIFS('Huỷ đơn'!$B$8:$B$502,"*"&amp;$B40&amp;"*",'Huỷ đơn'!$AO$8:$AO$502,"Fail")+COUNTIFS('Tặng quà'!$B$8:$B$502,"*"&amp;$B40&amp;"*",'Tặng quà'!$AO$8:$AO$502,"Fail")</f>
        <v/>
      </c>
      <c r="I40" s="277">
        <f>IFERROR(F40/E40,0)</f>
        <v/>
      </c>
      <c r="J40" s="354">
        <f>IF(E40=0,"Chưa có TC (gap)",IF(H40&gt;0,"Có lỗi (Fail)",IF(F40&gt;=E40,"Đã test xong","Đang test")))</f>
        <v/>
      </c>
    </row>
    <row r="41" ht="15" customHeight="1" s="225">
      <c r="B41" s="411" t="inlineStr">
        <is>
          <t>REQ-DLV-004</t>
        </is>
      </c>
      <c r="C41" s="278" t="inlineStr">
        <is>
          <t>(Tuỳ chọn) ghi nhận chi phí đối soát offline</t>
        </is>
      </c>
      <c r="D41" s="354" t="inlineStr">
        <is>
          <t>COST-01, BR-COST-01 · DOC-v1.0-01 §D3, §D4</t>
        </is>
      </c>
      <c r="E41" s="276">
        <f>COUNTIF('Hoạt động'!$B$8:$B$502,"*"&amp;$B41&amp;"*")+COUNTIF('Cá nhân'!$B$8:$B$502,"*"&amp;$B41&amp;"*")+COUNTIF('Thông báo'!$B$8:$B$502,"*"&amp;$B41&amp;"*")+COUNTIF('Đăng tin'!$B$8:$B$502,"*"&amp;$B41&amp;"*")+COUNTIF('Trang chủ'!$B$8:$B$502,"*"&amp;$B41&amp;"*")+COUNTIF('Bảng tin &amp; Chi tiết tin'!$B$8:$B$502,"*"&amp;$B41&amp;"*")+COUNTIF('Theo dõi đơn'!$B$8:$B$502,"*"&amp;$B41&amp;"*")+COUNTIF('Huỷ đơn'!$B$8:$B$502,"*"&amp;$B41&amp;"*")+COUNTIF('Tặng quà'!$B$8:$B$502,"*"&amp;$B41&amp;"*")</f>
        <v/>
      </c>
      <c r="F41" s="276">
        <f>SUMPRODUCT(ISNUMBER(SEARCH($B41,'Hoạt động'!$B$8:$B$502))*('Hoạt động'!$AO$8:$AO$502&lt;&gt;""))+SUMPRODUCT(ISNUMBER(SEARCH($B41,'Cá nhân'!$B$8:$B$502))*('Cá nhân'!$AO$8:$AO$502&lt;&gt;""))+SUMPRODUCT(ISNUMBER(SEARCH($B41,'Thông báo'!$B$8:$B$502))*('Thông báo'!$AO$8:$AO$502&lt;&gt;""))+SUMPRODUCT(ISNUMBER(SEARCH($B41,'Đăng tin'!$B$8:$B$502))*('Đăng tin'!$AO$8:$AO$502&lt;&gt;""))+SUMPRODUCT(ISNUMBER(SEARCH($B41,'Trang chủ'!$B$8:$B$502))*('Trang chủ'!$AO$8:$AO$502&lt;&gt;""))+SUMPRODUCT(ISNUMBER(SEARCH($B41,'Bảng tin &amp; Chi tiết tin'!$B$8:$B$502))*('Bảng tin &amp; Chi tiết tin'!$AO$8:$AO$502&lt;&gt;""))+SUMPRODUCT(ISNUMBER(SEARCH($B41,'Theo dõi đơn'!$B$8:$B$502))*('Theo dõi đơn'!$AO$8:$AO$502&lt;&gt;""))+SUMPRODUCT(ISNUMBER(SEARCH($B41,'Huỷ đơn'!$B$8:$B$502))*('Huỷ đơn'!$AO$8:$AO$502&lt;&gt;""))+SUMPRODUCT(ISNUMBER(SEARCH($B41,'Tặng quà'!$B$8:$B$502))*('Tặng quà'!$AO$8:$AO$502&lt;&gt;""))</f>
        <v/>
      </c>
      <c r="G41" s="276">
        <f>COUNTIFS('Hoạt động'!$B$8:$B$502,"*"&amp;$B41&amp;"*",'Hoạt động'!$AO$8:$AO$502,"Pass")+COUNTIFS('Cá nhân'!$B$8:$B$502,"*"&amp;$B41&amp;"*",'Cá nhân'!$AO$8:$AO$502,"Pass")+COUNTIFS('Thông báo'!$B$8:$B$502,"*"&amp;$B41&amp;"*",'Thông báo'!$AO$8:$AO$502,"Pass")+COUNTIFS('Đăng tin'!$B$8:$B$502,"*"&amp;$B41&amp;"*",'Đăng tin'!$AO$8:$AO$502,"Pass")+COUNTIFS('Trang chủ'!$B$8:$B$502,"*"&amp;$B41&amp;"*",'Trang chủ'!$AO$8:$AO$502,"Pass")+COUNTIFS('Bảng tin &amp; Chi tiết tin'!$B$8:$B$502,"*"&amp;$B41&amp;"*",'Bảng tin &amp; Chi tiết tin'!$AO$8:$AO$502,"Pass")+COUNTIFS('Theo dõi đơn'!$B$8:$B$502,"*"&amp;$B41&amp;"*",'Theo dõi đơn'!$AO$8:$AO$502,"Pass")+COUNTIFS('Huỷ đơn'!$B$8:$B$502,"*"&amp;$B41&amp;"*",'Huỷ đơn'!$AO$8:$AO$502,"Pass")+COUNTIFS('Tặng quà'!$B$8:$B$502,"*"&amp;$B41&amp;"*",'Tặng quà'!$AO$8:$AO$502,"Pass")</f>
        <v/>
      </c>
      <c r="H41" s="276">
        <f>COUNTIFS('Hoạt động'!$B$8:$B$502,"*"&amp;$B41&amp;"*",'Hoạt động'!$AO$8:$AO$502,"Fail")+COUNTIFS('Cá nhân'!$B$8:$B$502,"*"&amp;$B41&amp;"*",'Cá nhân'!$AO$8:$AO$502,"Fail")+COUNTIFS('Thông báo'!$B$8:$B$502,"*"&amp;$B41&amp;"*",'Thông báo'!$AO$8:$AO$502,"Fail")+COUNTIFS('Đăng tin'!$B$8:$B$502,"*"&amp;$B41&amp;"*",'Đăng tin'!$AO$8:$AO$502,"Fail")+COUNTIFS('Trang chủ'!$B$8:$B$502,"*"&amp;$B41&amp;"*",'Trang chủ'!$AO$8:$AO$502,"Fail")+COUNTIFS('Bảng tin &amp; Chi tiết tin'!$B$8:$B$502,"*"&amp;$B41&amp;"*",'Bảng tin &amp; Chi tiết tin'!$AO$8:$AO$502,"Fail")+COUNTIFS('Theo dõi đơn'!$B$8:$B$502,"*"&amp;$B41&amp;"*",'Theo dõi đơn'!$AO$8:$AO$502,"Fail")+COUNTIFS('Huỷ đơn'!$B$8:$B$502,"*"&amp;$B41&amp;"*",'Huỷ đơn'!$AO$8:$AO$502,"Fail")+COUNTIFS('Tặng quà'!$B$8:$B$502,"*"&amp;$B41&amp;"*",'Tặng quà'!$AO$8:$AO$502,"Fail")</f>
        <v/>
      </c>
      <c r="I41" s="277">
        <f>IFERROR(F41/E41,0)</f>
        <v/>
      </c>
      <c r="J41" s="354">
        <f>IF(E41=0,"Chưa có TC (gap)",IF(H41&gt;0,"Có lỗi (Fail)",IF(F41&gt;=E41,"Đã test xong","Đang test")))</f>
        <v/>
      </c>
    </row>
    <row r="42" ht="15" customHeight="1" s="225">
      <c r="B42" s="411" t="inlineStr">
        <is>
          <t>REQ-DLV-005</t>
        </is>
      </c>
      <c r="C42" s="278" t="inlineStr">
        <is>
          <t>Sau khi lấy hàng (IN_TRANSIT) không huỷ thường → phải tạo sự cố</t>
        </is>
      </c>
      <c r="D42" s="354" t="inlineStr">
        <is>
          <t>BR-ASN-03 · DOC-v1.0-01 §D4</t>
        </is>
      </c>
      <c r="E42" s="276">
        <f>COUNTIF('Hoạt động'!$B$8:$B$502,"*"&amp;$B42&amp;"*")+COUNTIF('Cá nhân'!$B$8:$B$502,"*"&amp;$B42&amp;"*")+COUNTIF('Thông báo'!$B$8:$B$502,"*"&amp;$B42&amp;"*")+COUNTIF('Đăng tin'!$B$8:$B$502,"*"&amp;$B42&amp;"*")+COUNTIF('Trang chủ'!$B$8:$B$502,"*"&amp;$B42&amp;"*")+COUNTIF('Bảng tin &amp; Chi tiết tin'!$B$8:$B$502,"*"&amp;$B42&amp;"*")+COUNTIF('Theo dõi đơn'!$B$8:$B$502,"*"&amp;$B42&amp;"*")+COUNTIF('Huỷ đơn'!$B$8:$B$502,"*"&amp;$B42&amp;"*")+COUNTIF('Tặng quà'!$B$8:$B$502,"*"&amp;$B42&amp;"*")</f>
        <v/>
      </c>
      <c r="F42" s="276">
        <f>SUMPRODUCT(ISNUMBER(SEARCH($B42,'Hoạt động'!$B$8:$B$502))*('Hoạt động'!$AO$8:$AO$502&lt;&gt;""))+SUMPRODUCT(ISNUMBER(SEARCH($B42,'Cá nhân'!$B$8:$B$502))*('Cá nhân'!$AO$8:$AO$502&lt;&gt;""))+SUMPRODUCT(ISNUMBER(SEARCH($B42,'Thông báo'!$B$8:$B$502))*('Thông báo'!$AO$8:$AO$502&lt;&gt;""))+SUMPRODUCT(ISNUMBER(SEARCH($B42,'Đăng tin'!$B$8:$B$502))*('Đăng tin'!$AO$8:$AO$502&lt;&gt;""))+SUMPRODUCT(ISNUMBER(SEARCH($B42,'Trang chủ'!$B$8:$B$502))*('Trang chủ'!$AO$8:$AO$502&lt;&gt;""))+SUMPRODUCT(ISNUMBER(SEARCH($B42,'Bảng tin &amp; Chi tiết tin'!$B$8:$B$502))*('Bảng tin &amp; Chi tiết tin'!$AO$8:$AO$502&lt;&gt;""))+SUMPRODUCT(ISNUMBER(SEARCH($B42,'Theo dõi đơn'!$B$8:$B$502))*('Theo dõi đơn'!$AO$8:$AO$502&lt;&gt;""))+SUMPRODUCT(ISNUMBER(SEARCH($B42,'Huỷ đơn'!$B$8:$B$502))*('Huỷ đơn'!$AO$8:$AO$502&lt;&gt;""))+SUMPRODUCT(ISNUMBER(SEARCH($B42,'Tặng quà'!$B$8:$B$502))*('Tặng quà'!$AO$8:$AO$502&lt;&gt;""))</f>
        <v/>
      </c>
      <c r="G42" s="276">
        <f>COUNTIFS('Hoạt động'!$B$8:$B$502,"*"&amp;$B42&amp;"*",'Hoạt động'!$AO$8:$AO$502,"Pass")+COUNTIFS('Cá nhân'!$B$8:$B$502,"*"&amp;$B42&amp;"*",'Cá nhân'!$AO$8:$AO$502,"Pass")+COUNTIFS('Thông báo'!$B$8:$B$502,"*"&amp;$B42&amp;"*",'Thông báo'!$AO$8:$AO$502,"Pass")+COUNTIFS('Đăng tin'!$B$8:$B$502,"*"&amp;$B42&amp;"*",'Đăng tin'!$AO$8:$AO$502,"Pass")+COUNTIFS('Trang chủ'!$B$8:$B$502,"*"&amp;$B42&amp;"*",'Trang chủ'!$AO$8:$AO$502,"Pass")+COUNTIFS('Bảng tin &amp; Chi tiết tin'!$B$8:$B$502,"*"&amp;$B42&amp;"*",'Bảng tin &amp; Chi tiết tin'!$AO$8:$AO$502,"Pass")+COUNTIFS('Theo dõi đơn'!$B$8:$B$502,"*"&amp;$B42&amp;"*",'Theo dõi đơn'!$AO$8:$AO$502,"Pass")+COUNTIFS('Huỷ đơn'!$B$8:$B$502,"*"&amp;$B42&amp;"*",'Huỷ đơn'!$AO$8:$AO$502,"Pass")+COUNTIFS('Tặng quà'!$B$8:$B$502,"*"&amp;$B42&amp;"*",'Tặng quà'!$AO$8:$AO$502,"Pass")</f>
        <v/>
      </c>
      <c r="H42" s="276">
        <f>COUNTIFS('Hoạt động'!$B$8:$B$502,"*"&amp;$B42&amp;"*",'Hoạt động'!$AO$8:$AO$502,"Fail")+COUNTIFS('Cá nhân'!$B$8:$B$502,"*"&amp;$B42&amp;"*",'Cá nhân'!$AO$8:$AO$502,"Fail")+COUNTIFS('Thông báo'!$B$8:$B$502,"*"&amp;$B42&amp;"*",'Thông báo'!$AO$8:$AO$502,"Fail")+COUNTIFS('Đăng tin'!$B$8:$B$502,"*"&amp;$B42&amp;"*",'Đăng tin'!$AO$8:$AO$502,"Fail")+COUNTIFS('Trang chủ'!$B$8:$B$502,"*"&amp;$B42&amp;"*",'Trang chủ'!$AO$8:$AO$502,"Fail")+COUNTIFS('Bảng tin &amp; Chi tiết tin'!$B$8:$B$502,"*"&amp;$B42&amp;"*",'Bảng tin &amp; Chi tiết tin'!$AO$8:$AO$502,"Fail")+COUNTIFS('Theo dõi đơn'!$B$8:$B$502,"*"&amp;$B42&amp;"*",'Theo dõi đơn'!$AO$8:$AO$502,"Fail")+COUNTIFS('Huỷ đơn'!$B$8:$B$502,"*"&amp;$B42&amp;"*",'Huỷ đơn'!$AO$8:$AO$502,"Fail")+COUNTIFS('Tặng quà'!$B$8:$B$502,"*"&amp;$B42&amp;"*",'Tặng quà'!$AO$8:$AO$502,"Fail")</f>
        <v/>
      </c>
      <c r="I42" s="277">
        <f>IFERROR(F42/E42,0)</f>
        <v/>
      </c>
      <c r="J42" s="354">
        <f>IF(E42=0,"Chưa có TC (gap)",IF(H42&gt;0,"Có lỗi (Fail)",IF(F42&gt;=E42,"Đã test xong","Đang test")))</f>
        <v/>
      </c>
    </row>
    <row r="43" ht="15" customHeight="1" s="225">
      <c r="B43" s="411" t="inlineStr">
        <is>
          <t>REQ-DLV-006</t>
        </is>
      </c>
      <c r="C43" s="278" t="inlineStr">
        <is>
          <t>Thứ tự bắt buộc: "Tôi đã lấy hàng" trước "Đã giao"</t>
        </is>
      </c>
      <c r="D43" s="354" t="inlineStr">
        <is>
          <t>US-D09 · DOC-v1.0-01 §D1b</t>
        </is>
      </c>
      <c r="E43" s="276">
        <f>COUNTIF('Hoạt động'!$B$8:$B$502,"*"&amp;$B43&amp;"*")+COUNTIF('Cá nhân'!$B$8:$B$502,"*"&amp;$B43&amp;"*")+COUNTIF('Thông báo'!$B$8:$B$502,"*"&amp;$B43&amp;"*")+COUNTIF('Đăng tin'!$B$8:$B$502,"*"&amp;$B43&amp;"*")+COUNTIF('Trang chủ'!$B$8:$B$502,"*"&amp;$B43&amp;"*")+COUNTIF('Bảng tin &amp; Chi tiết tin'!$B$8:$B$502,"*"&amp;$B43&amp;"*")+COUNTIF('Theo dõi đơn'!$B$8:$B$502,"*"&amp;$B43&amp;"*")+COUNTIF('Huỷ đơn'!$B$8:$B$502,"*"&amp;$B43&amp;"*")+COUNTIF('Tặng quà'!$B$8:$B$502,"*"&amp;$B43&amp;"*")</f>
        <v/>
      </c>
      <c r="F43" s="276">
        <f>SUMPRODUCT(ISNUMBER(SEARCH($B43,'Hoạt động'!$B$8:$B$502))*('Hoạt động'!$AO$8:$AO$502&lt;&gt;""))+SUMPRODUCT(ISNUMBER(SEARCH($B43,'Cá nhân'!$B$8:$B$502))*('Cá nhân'!$AO$8:$AO$502&lt;&gt;""))+SUMPRODUCT(ISNUMBER(SEARCH($B43,'Thông báo'!$B$8:$B$502))*('Thông báo'!$AO$8:$AO$502&lt;&gt;""))+SUMPRODUCT(ISNUMBER(SEARCH($B43,'Đăng tin'!$B$8:$B$502))*('Đăng tin'!$AO$8:$AO$502&lt;&gt;""))+SUMPRODUCT(ISNUMBER(SEARCH($B43,'Trang chủ'!$B$8:$B$502))*('Trang chủ'!$AO$8:$AO$502&lt;&gt;""))+SUMPRODUCT(ISNUMBER(SEARCH($B43,'Bảng tin &amp; Chi tiết tin'!$B$8:$B$502))*('Bảng tin &amp; Chi tiết tin'!$AO$8:$AO$502&lt;&gt;""))+SUMPRODUCT(ISNUMBER(SEARCH($B43,'Theo dõi đơn'!$B$8:$B$502))*('Theo dõi đơn'!$AO$8:$AO$502&lt;&gt;""))+SUMPRODUCT(ISNUMBER(SEARCH($B43,'Huỷ đơn'!$B$8:$B$502))*('Huỷ đơn'!$AO$8:$AO$502&lt;&gt;""))+SUMPRODUCT(ISNUMBER(SEARCH($B43,'Tặng quà'!$B$8:$B$502))*('Tặng quà'!$AO$8:$AO$502&lt;&gt;""))</f>
        <v/>
      </c>
      <c r="G43" s="276">
        <f>COUNTIFS('Hoạt động'!$B$8:$B$502,"*"&amp;$B43&amp;"*",'Hoạt động'!$AO$8:$AO$502,"Pass")+COUNTIFS('Cá nhân'!$B$8:$B$502,"*"&amp;$B43&amp;"*",'Cá nhân'!$AO$8:$AO$502,"Pass")+COUNTIFS('Thông báo'!$B$8:$B$502,"*"&amp;$B43&amp;"*",'Thông báo'!$AO$8:$AO$502,"Pass")+COUNTIFS('Đăng tin'!$B$8:$B$502,"*"&amp;$B43&amp;"*",'Đăng tin'!$AO$8:$AO$502,"Pass")+COUNTIFS('Trang chủ'!$B$8:$B$502,"*"&amp;$B43&amp;"*",'Trang chủ'!$AO$8:$AO$502,"Pass")+COUNTIFS('Bảng tin &amp; Chi tiết tin'!$B$8:$B$502,"*"&amp;$B43&amp;"*",'Bảng tin &amp; Chi tiết tin'!$AO$8:$AO$502,"Pass")+COUNTIFS('Theo dõi đơn'!$B$8:$B$502,"*"&amp;$B43&amp;"*",'Theo dõi đơn'!$AO$8:$AO$502,"Pass")+COUNTIFS('Huỷ đơn'!$B$8:$B$502,"*"&amp;$B43&amp;"*",'Huỷ đơn'!$AO$8:$AO$502,"Pass")+COUNTIFS('Tặng quà'!$B$8:$B$502,"*"&amp;$B43&amp;"*",'Tặng quà'!$AO$8:$AO$502,"Pass")</f>
        <v/>
      </c>
      <c r="H43" s="276">
        <f>COUNTIFS('Hoạt động'!$B$8:$B$502,"*"&amp;$B43&amp;"*",'Hoạt động'!$AO$8:$AO$502,"Fail")+COUNTIFS('Cá nhân'!$B$8:$B$502,"*"&amp;$B43&amp;"*",'Cá nhân'!$AO$8:$AO$502,"Fail")+COUNTIFS('Thông báo'!$B$8:$B$502,"*"&amp;$B43&amp;"*",'Thông báo'!$AO$8:$AO$502,"Fail")+COUNTIFS('Đăng tin'!$B$8:$B$502,"*"&amp;$B43&amp;"*",'Đăng tin'!$AO$8:$AO$502,"Fail")+COUNTIFS('Trang chủ'!$B$8:$B$502,"*"&amp;$B43&amp;"*",'Trang chủ'!$AO$8:$AO$502,"Fail")+COUNTIFS('Bảng tin &amp; Chi tiết tin'!$B$8:$B$502,"*"&amp;$B43&amp;"*",'Bảng tin &amp; Chi tiết tin'!$AO$8:$AO$502,"Fail")+COUNTIFS('Theo dõi đơn'!$B$8:$B$502,"*"&amp;$B43&amp;"*",'Theo dõi đơn'!$AO$8:$AO$502,"Fail")+COUNTIFS('Huỷ đơn'!$B$8:$B$502,"*"&amp;$B43&amp;"*",'Huỷ đơn'!$AO$8:$AO$502,"Fail")+COUNTIFS('Tặng quà'!$B$8:$B$502,"*"&amp;$B43&amp;"*",'Tặng quà'!$AO$8:$AO$502,"Fail")</f>
        <v/>
      </c>
      <c r="I43" s="277">
        <f>IFERROR(F43/E43,0)</f>
        <v/>
      </c>
      <c r="J43" s="354">
        <f>IF(E43=0,"Chưa có TC (gap)",IF(H43&gt;0,"Có lỗi (Fail)",IF(F43&gt;=E43,"Đã test xong","Đang test")))</f>
        <v/>
      </c>
    </row>
    <row r="44" ht="15" customHeight="1" s="225">
      <c r="B44" s="411" t="inlineStr">
        <is>
          <t>REQ-GIFT-003</t>
        </is>
      </c>
      <c r="C44" s="278" t="inlineStr">
        <is>
          <t>Nút "Cảm ơn người vận chuyển" khoá lại sau khi gửi quà</t>
        </is>
      </c>
      <c r="D44" s="354" t="inlineStr">
        <is>
          <t>DOC-v1.0-04 + DOC-v1.0-05</t>
        </is>
      </c>
      <c r="E44" s="276">
        <f>COUNTIF('Hoạt động'!$B$8:$B$502,"*"&amp;$B44&amp;"*")+COUNTIF('Cá nhân'!$B$8:$B$502,"*"&amp;$B44&amp;"*")+COUNTIF('Thông báo'!$B$8:$B$502,"*"&amp;$B44&amp;"*")+COUNTIF('Đăng tin'!$B$8:$B$502,"*"&amp;$B44&amp;"*")+COUNTIF('Trang chủ'!$B$8:$B$502,"*"&amp;$B44&amp;"*")+COUNTIF('Bảng tin &amp; Chi tiết tin'!$B$8:$B$502,"*"&amp;$B44&amp;"*")+COUNTIF('Theo dõi đơn'!$B$8:$B$502,"*"&amp;$B44&amp;"*")+COUNTIF('Huỷ đơn'!$B$8:$B$502,"*"&amp;$B44&amp;"*")+COUNTIF('Tặng quà'!$B$8:$B$502,"*"&amp;$B44&amp;"*")</f>
        <v/>
      </c>
      <c r="F44" s="276">
        <f>SUMPRODUCT(ISNUMBER(SEARCH($B44,'Hoạt động'!$B$8:$B$502))*('Hoạt động'!$AO$8:$AO$502&lt;&gt;""))+SUMPRODUCT(ISNUMBER(SEARCH($B44,'Cá nhân'!$B$8:$B$502))*('Cá nhân'!$AO$8:$AO$502&lt;&gt;""))+SUMPRODUCT(ISNUMBER(SEARCH($B44,'Thông báo'!$B$8:$B$502))*('Thông báo'!$AO$8:$AO$502&lt;&gt;""))+SUMPRODUCT(ISNUMBER(SEARCH($B44,'Đăng tin'!$B$8:$B$502))*('Đăng tin'!$AO$8:$AO$502&lt;&gt;""))+SUMPRODUCT(ISNUMBER(SEARCH($B44,'Trang chủ'!$B$8:$B$502))*('Trang chủ'!$AO$8:$AO$502&lt;&gt;""))+SUMPRODUCT(ISNUMBER(SEARCH($B44,'Bảng tin &amp; Chi tiết tin'!$B$8:$B$502))*('Bảng tin &amp; Chi tiết tin'!$AO$8:$AO$502&lt;&gt;""))+SUMPRODUCT(ISNUMBER(SEARCH($B44,'Theo dõi đơn'!$B$8:$B$502))*('Theo dõi đơn'!$AO$8:$AO$502&lt;&gt;""))+SUMPRODUCT(ISNUMBER(SEARCH($B44,'Huỷ đơn'!$B$8:$B$502))*('Huỷ đơn'!$AO$8:$AO$502&lt;&gt;""))+SUMPRODUCT(ISNUMBER(SEARCH($B44,'Tặng quà'!$B$8:$B$502))*('Tặng quà'!$AO$8:$AO$502&lt;&gt;""))</f>
        <v/>
      </c>
      <c r="G44" s="276">
        <f>COUNTIFS('Hoạt động'!$B$8:$B$502,"*"&amp;$B44&amp;"*",'Hoạt động'!$AO$8:$AO$502,"Pass")+COUNTIFS('Cá nhân'!$B$8:$B$502,"*"&amp;$B44&amp;"*",'Cá nhân'!$AO$8:$AO$502,"Pass")+COUNTIFS('Thông báo'!$B$8:$B$502,"*"&amp;$B44&amp;"*",'Thông báo'!$AO$8:$AO$502,"Pass")+COUNTIFS('Đăng tin'!$B$8:$B$502,"*"&amp;$B44&amp;"*",'Đăng tin'!$AO$8:$AO$502,"Pass")+COUNTIFS('Trang chủ'!$B$8:$B$502,"*"&amp;$B44&amp;"*",'Trang chủ'!$AO$8:$AO$502,"Pass")+COUNTIFS('Bảng tin &amp; Chi tiết tin'!$B$8:$B$502,"*"&amp;$B44&amp;"*",'Bảng tin &amp; Chi tiết tin'!$AO$8:$AO$502,"Pass")+COUNTIFS('Theo dõi đơn'!$B$8:$B$502,"*"&amp;$B44&amp;"*",'Theo dõi đơn'!$AO$8:$AO$502,"Pass")+COUNTIFS('Huỷ đơn'!$B$8:$B$502,"*"&amp;$B44&amp;"*",'Huỷ đơn'!$AO$8:$AO$502,"Pass")+COUNTIFS('Tặng quà'!$B$8:$B$502,"*"&amp;$B44&amp;"*",'Tặng quà'!$AO$8:$AO$502,"Pass")</f>
        <v/>
      </c>
      <c r="H44" s="276">
        <f>COUNTIFS('Hoạt động'!$B$8:$B$502,"*"&amp;$B44&amp;"*",'Hoạt động'!$AO$8:$AO$502,"Fail")+COUNTIFS('Cá nhân'!$B$8:$B$502,"*"&amp;$B44&amp;"*",'Cá nhân'!$AO$8:$AO$502,"Fail")+COUNTIFS('Thông báo'!$B$8:$B$502,"*"&amp;$B44&amp;"*",'Thông báo'!$AO$8:$AO$502,"Fail")+COUNTIFS('Đăng tin'!$B$8:$B$502,"*"&amp;$B44&amp;"*",'Đăng tin'!$AO$8:$AO$502,"Fail")+COUNTIFS('Trang chủ'!$B$8:$B$502,"*"&amp;$B44&amp;"*",'Trang chủ'!$AO$8:$AO$502,"Fail")+COUNTIFS('Bảng tin &amp; Chi tiết tin'!$B$8:$B$502,"*"&amp;$B44&amp;"*",'Bảng tin &amp; Chi tiết tin'!$AO$8:$AO$502,"Fail")+COUNTIFS('Theo dõi đơn'!$B$8:$B$502,"*"&amp;$B44&amp;"*",'Theo dõi đơn'!$AO$8:$AO$502,"Fail")+COUNTIFS('Huỷ đơn'!$B$8:$B$502,"*"&amp;$B44&amp;"*",'Huỷ đơn'!$AO$8:$AO$502,"Fail")+COUNTIFS('Tặng quà'!$B$8:$B$502,"*"&amp;$B44&amp;"*",'Tặng quà'!$AO$8:$AO$502,"Fail")</f>
        <v/>
      </c>
      <c r="I44" s="277">
        <f>IFERROR(F44/E44,0)</f>
        <v/>
      </c>
      <c r="J44" s="354">
        <f>IF(E44=0,"Chưa có TC (gap)",IF(H44&gt;0,"Có lỗi (Fail)",IF(F44&gt;=E44,"Đã test xong","Đang test")))</f>
        <v/>
      </c>
    </row>
    <row r="45" ht="15" customHeight="1" s="225">
      <c r="B45" s="411" t="inlineStr">
        <is>
          <t>REQ-CNL-002</t>
        </is>
      </c>
      <c r="C45" s="278" t="inlineStr">
        <is>
          <t>Carrier huỷ khi chưa lấy hàng → trả đơn về "Chờ ghép"</t>
        </is>
      </c>
      <c r="D45" s="354" t="inlineStr">
        <is>
          <t>OPR-09 · DOC-v1.0-01 §D7</t>
        </is>
      </c>
      <c r="E45" s="276">
        <f>COUNTIF('Hoạt động'!$B$8:$B$502,"*"&amp;$B45&amp;"*")+COUNTIF('Cá nhân'!$B$8:$B$502,"*"&amp;$B45&amp;"*")+COUNTIF('Thông báo'!$B$8:$B$502,"*"&amp;$B45&amp;"*")+COUNTIF('Đăng tin'!$B$8:$B$502,"*"&amp;$B45&amp;"*")+COUNTIF('Trang chủ'!$B$8:$B$502,"*"&amp;$B45&amp;"*")+COUNTIF('Bảng tin &amp; Chi tiết tin'!$B$8:$B$502,"*"&amp;$B45&amp;"*")+COUNTIF('Theo dõi đơn'!$B$8:$B$502,"*"&amp;$B45&amp;"*")+COUNTIF('Huỷ đơn'!$B$8:$B$502,"*"&amp;$B45&amp;"*")+COUNTIF('Tặng quà'!$B$8:$B$502,"*"&amp;$B45&amp;"*")</f>
        <v/>
      </c>
      <c r="F45" s="276">
        <f>SUMPRODUCT(ISNUMBER(SEARCH($B45,'Hoạt động'!$B$8:$B$502))*('Hoạt động'!$AO$8:$AO$502&lt;&gt;""))+SUMPRODUCT(ISNUMBER(SEARCH($B45,'Cá nhân'!$B$8:$B$502))*('Cá nhân'!$AO$8:$AO$502&lt;&gt;""))+SUMPRODUCT(ISNUMBER(SEARCH($B45,'Thông báo'!$B$8:$B$502))*('Thông báo'!$AO$8:$AO$502&lt;&gt;""))+SUMPRODUCT(ISNUMBER(SEARCH($B45,'Đăng tin'!$B$8:$B$502))*('Đăng tin'!$AO$8:$AO$502&lt;&gt;""))+SUMPRODUCT(ISNUMBER(SEARCH($B45,'Trang chủ'!$B$8:$B$502))*('Trang chủ'!$AO$8:$AO$502&lt;&gt;""))+SUMPRODUCT(ISNUMBER(SEARCH($B45,'Bảng tin &amp; Chi tiết tin'!$B$8:$B$502))*('Bảng tin &amp; Chi tiết tin'!$AO$8:$AO$502&lt;&gt;""))+SUMPRODUCT(ISNUMBER(SEARCH($B45,'Theo dõi đơn'!$B$8:$B$502))*('Theo dõi đơn'!$AO$8:$AO$502&lt;&gt;""))+SUMPRODUCT(ISNUMBER(SEARCH($B45,'Huỷ đơn'!$B$8:$B$502))*('Huỷ đơn'!$AO$8:$AO$502&lt;&gt;""))+SUMPRODUCT(ISNUMBER(SEARCH($B45,'Tặng quà'!$B$8:$B$502))*('Tặng quà'!$AO$8:$AO$502&lt;&gt;""))</f>
        <v/>
      </c>
      <c r="G45" s="276">
        <f>COUNTIFS('Hoạt động'!$B$8:$B$502,"*"&amp;$B45&amp;"*",'Hoạt động'!$AO$8:$AO$502,"Pass")+COUNTIFS('Cá nhân'!$B$8:$B$502,"*"&amp;$B45&amp;"*",'Cá nhân'!$AO$8:$AO$502,"Pass")+COUNTIFS('Thông báo'!$B$8:$B$502,"*"&amp;$B45&amp;"*",'Thông báo'!$AO$8:$AO$502,"Pass")+COUNTIFS('Đăng tin'!$B$8:$B$502,"*"&amp;$B45&amp;"*",'Đăng tin'!$AO$8:$AO$502,"Pass")+COUNTIFS('Trang chủ'!$B$8:$B$502,"*"&amp;$B45&amp;"*",'Trang chủ'!$AO$8:$AO$502,"Pass")+COUNTIFS('Bảng tin &amp; Chi tiết tin'!$B$8:$B$502,"*"&amp;$B45&amp;"*",'Bảng tin &amp; Chi tiết tin'!$AO$8:$AO$502,"Pass")+COUNTIFS('Theo dõi đơn'!$B$8:$B$502,"*"&amp;$B45&amp;"*",'Theo dõi đơn'!$AO$8:$AO$502,"Pass")+COUNTIFS('Huỷ đơn'!$B$8:$B$502,"*"&amp;$B45&amp;"*",'Huỷ đơn'!$AO$8:$AO$502,"Pass")+COUNTIFS('Tặng quà'!$B$8:$B$502,"*"&amp;$B45&amp;"*",'Tặng quà'!$AO$8:$AO$502,"Pass")</f>
        <v/>
      </c>
      <c r="H45" s="276">
        <f>COUNTIFS('Hoạt động'!$B$8:$B$502,"*"&amp;$B45&amp;"*",'Hoạt động'!$AO$8:$AO$502,"Fail")+COUNTIFS('Cá nhân'!$B$8:$B$502,"*"&amp;$B45&amp;"*",'Cá nhân'!$AO$8:$AO$502,"Fail")+COUNTIFS('Thông báo'!$B$8:$B$502,"*"&amp;$B45&amp;"*",'Thông báo'!$AO$8:$AO$502,"Fail")+COUNTIFS('Đăng tin'!$B$8:$B$502,"*"&amp;$B45&amp;"*",'Đăng tin'!$AO$8:$AO$502,"Fail")+COUNTIFS('Trang chủ'!$B$8:$B$502,"*"&amp;$B45&amp;"*",'Trang chủ'!$AO$8:$AO$502,"Fail")+COUNTIFS('Bảng tin &amp; Chi tiết tin'!$B$8:$B$502,"*"&amp;$B45&amp;"*",'Bảng tin &amp; Chi tiết tin'!$AO$8:$AO$502,"Fail")+COUNTIFS('Theo dõi đơn'!$B$8:$B$502,"*"&amp;$B45&amp;"*",'Theo dõi đơn'!$AO$8:$AO$502,"Fail")+COUNTIFS('Huỷ đơn'!$B$8:$B$502,"*"&amp;$B45&amp;"*",'Huỷ đơn'!$AO$8:$AO$502,"Fail")+COUNTIFS('Tặng quà'!$B$8:$B$502,"*"&amp;$B45&amp;"*",'Tặng quà'!$AO$8:$AO$502,"Fail")</f>
        <v/>
      </c>
      <c r="I45" s="277">
        <f>IFERROR(F45/E45,0)</f>
        <v/>
      </c>
      <c r="J45" s="354">
        <f>IF(E45=0,"Chưa có TC (gap)",IF(H45&gt;0,"Có lỗi (Fail)",IF(F45&gt;=E45,"Đã test xong","Đang test")))</f>
        <v/>
      </c>
    </row>
    <row r="46" ht="15" customHeight="1" s="225">
      <c r="B46" s="411" t="inlineStr">
        <is>
          <t>REQ-CNL-003</t>
        </is>
      </c>
      <c r="C46" s="278" t="inlineStr">
        <is>
          <t>Điều kiện được phép huỷ theo trạng thái</t>
        </is>
      </c>
      <c r="D46" s="354" t="inlineStr">
        <is>
          <t>OPR-11 · DOC-v1.0-01 §D7</t>
        </is>
      </c>
      <c r="E46" s="276">
        <f>COUNTIF('Hoạt động'!$B$8:$B$502,"*"&amp;$B46&amp;"*")+COUNTIF('Cá nhân'!$B$8:$B$502,"*"&amp;$B46&amp;"*")+COUNTIF('Thông báo'!$B$8:$B$502,"*"&amp;$B46&amp;"*")+COUNTIF('Đăng tin'!$B$8:$B$502,"*"&amp;$B46&amp;"*")+COUNTIF('Trang chủ'!$B$8:$B$502,"*"&amp;$B46&amp;"*")+COUNTIF('Bảng tin &amp; Chi tiết tin'!$B$8:$B$502,"*"&amp;$B46&amp;"*")+COUNTIF('Theo dõi đơn'!$B$8:$B$502,"*"&amp;$B46&amp;"*")+COUNTIF('Huỷ đơn'!$B$8:$B$502,"*"&amp;$B46&amp;"*")+COUNTIF('Tặng quà'!$B$8:$B$502,"*"&amp;$B46&amp;"*")</f>
        <v/>
      </c>
      <c r="F46" s="276">
        <f>SUMPRODUCT(ISNUMBER(SEARCH($B46,'Hoạt động'!$B$8:$B$502))*('Hoạt động'!$AO$8:$AO$502&lt;&gt;""))+SUMPRODUCT(ISNUMBER(SEARCH($B46,'Cá nhân'!$B$8:$B$502))*('Cá nhân'!$AO$8:$AO$502&lt;&gt;""))+SUMPRODUCT(ISNUMBER(SEARCH($B46,'Thông báo'!$B$8:$B$502))*('Thông báo'!$AO$8:$AO$502&lt;&gt;""))+SUMPRODUCT(ISNUMBER(SEARCH($B46,'Đăng tin'!$B$8:$B$502))*('Đăng tin'!$AO$8:$AO$502&lt;&gt;""))+SUMPRODUCT(ISNUMBER(SEARCH($B46,'Trang chủ'!$B$8:$B$502))*('Trang chủ'!$AO$8:$AO$502&lt;&gt;""))+SUMPRODUCT(ISNUMBER(SEARCH($B46,'Bảng tin &amp; Chi tiết tin'!$B$8:$B$502))*('Bảng tin &amp; Chi tiết tin'!$AO$8:$AO$502&lt;&gt;""))+SUMPRODUCT(ISNUMBER(SEARCH($B46,'Theo dõi đơn'!$B$8:$B$502))*('Theo dõi đơn'!$AO$8:$AO$502&lt;&gt;""))+SUMPRODUCT(ISNUMBER(SEARCH($B46,'Huỷ đơn'!$B$8:$B$502))*('Huỷ đơn'!$AO$8:$AO$502&lt;&gt;""))+SUMPRODUCT(ISNUMBER(SEARCH($B46,'Tặng quà'!$B$8:$B$502))*('Tặng quà'!$AO$8:$AO$502&lt;&gt;""))</f>
        <v/>
      </c>
      <c r="G46" s="276">
        <f>COUNTIFS('Hoạt động'!$B$8:$B$502,"*"&amp;$B46&amp;"*",'Hoạt động'!$AO$8:$AO$502,"Pass")+COUNTIFS('Cá nhân'!$B$8:$B$502,"*"&amp;$B46&amp;"*",'Cá nhân'!$AO$8:$AO$502,"Pass")+COUNTIFS('Thông báo'!$B$8:$B$502,"*"&amp;$B46&amp;"*",'Thông báo'!$AO$8:$AO$502,"Pass")+COUNTIFS('Đăng tin'!$B$8:$B$502,"*"&amp;$B46&amp;"*",'Đăng tin'!$AO$8:$AO$502,"Pass")+COUNTIFS('Trang chủ'!$B$8:$B$502,"*"&amp;$B46&amp;"*",'Trang chủ'!$AO$8:$AO$502,"Pass")+COUNTIFS('Bảng tin &amp; Chi tiết tin'!$B$8:$B$502,"*"&amp;$B46&amp;"*",'Bảng tin &amp; Chi tiết tin'!$AO$8:$AO$502,"Pass")+COUNTIFS('Theo dõi đơn'!$B$8:$B$502,"*"&amp;$B46&amp;"*",'Theo dõi đơn'!$AO$8:$AO$502,"Pass")+COUNTIFS('Huỷ đơn'!$B$8:$B$502,"*"&amp;$B46&amp;"*",'Huỷ đơn'!$AO$8:$AO$502,"Pass")+COUNTIFS('Tặng quà'!$B$8:$B$502,"*"&amp;$B46&amp;"*",'Tặng quà'!$AO$8:$AO$502,"Pass")</f>
        <v/>
      </c>
      <c r="H46" s="276">
        <f>COUNTIFS('Hoạt động'!$B$8:$B$502,"*"&amp;$B46&amp;"*",'Hoạt động'!$AO$8:$AO$502,"Fail")+COUNTIFS('Cá nhân'!$B$8:$B$502,"*"&amp;$B46&amp;"*",'Cá nhân'!$AO$8:$AO$502,"Fail")+COUNTIFS('Thông báo'!$B$8:$B$502,"*"&amp;$B46&amp;"*",'Thông báo'!$AO$8:$AO$502,"Fail")+COUNTIFS('Đăng tin'!$B$8:$B$502,"*"&amp;$B46&amp;"*",'Đăng tin'!$AO$8:$AO$502,"Fail")+COUNTIFS('Trang chủ'!$B$8:$B$502,"*"&amp;$B46&amp;"*",'Trang chủ'!$AO$8:$AO$502,"Fail")+COUNTIFS('Bảng tin &amp; Chi tiết tin'!$B$8:$B$502,"*"&amp;$B46&amp;"*",'Bảng tin &amp; Chi tiết tin'!$AO$8:$AO$502,"Fail")+COUNTIFS('Theo dõi đơn'!$B$8:$B$502,"*"&amp;$B46&amp;"*",'Theo dõi đơn'!$AO$8:$AO$502,"Fail")+COUNTIFS('Huỷ đơn'!$B$8:$B$502,"*"&amp;$B46&amp;"*",'Huỷ đơn'!$AO$8:$AO$502,"Fail")+COUNTIFS('Tặng quà'!$B$8:$B$502,"*"&amp;$B46&amp;"*",'Tặng quà'!$AO$8:$AO$502,"Fail")</f>
        <v/>
      </c>
      <c r="I46" s="277">
        <f>IFERROR(F46/E46,0)</f>
        <v/>
      </c>
      <c r="J46" s="354">
        <f>IF(E46=0,"Chưa có TC (gap)",IF(H46&gt;0,"Có lỗi (Fail)",IF(F46&gt;=E46,"Đã test xong","Đang test")))</f>
        <v/>
      </c>
    </row>
    <row r="47" ht="15.75" customHeight="1" s="225">
      <c r="B47" s="356" t="inlineStr">
        <is>
          <t>Tổng</t>
        </is>
      </c>
      <c r="C47" s="412" t="n"/>
      <c r="E47" s="267">
        <f>SUM(E6:E46)</f>
        <v/>
      </c>
      <c r="F47" s="267">
        <f>SUM(F6:F46)</f>
        <v/>
      </c>
      <c r="G47" s="267">
        <f>SUM(G6:G46)</f>
        <v/>
      </c>
      <c r="H47" s="267">
        <f>SUM(H6:H46)</f>
        <v/>
      </c>
      <c r="I47" s="280">
        <f>IFERROR(F47/E47,0)</f>
        <v/>
      </c>
      <c r="J47" s="357" t="n"/>
    </row>
    <row r="48" ht="15.75" customHeight="1" s="225"/>
    <row r="49" ht="15.75" customHeight="1" s="225">
      <c r="B49" s="413" t="inlineStr">
        <is>
          <t>Ghi chú: Số liệu tự đếm trên CẢ 9 sheet Test Cases, Test Case 2..Test Case 9 (khớp gần đúng "*Req*" nên 1 TC gắn nhiều Req vẫn được tính cho từng Req). Yêu cầu có Số TC = 0 → tô đỏ = LỖ HỔNG PHỦ (gap), cần bổ sung test case. % phủ = Đã chạy / Số TC.</t>
        </is>
      </c>
    </row>
    <row r="50" ht="15.75" customHeight="1" s="225">
      <c r="B50" s="411" t="n"/>
      <c r="C50" s="278" t="n"/>
      <c r="D50" s="354" t="n"/>
      <c r="E50" s="276" t="n"/>
      <c r="F50" s="276" t="n"/>
      <c r="G50" s="276" t="n"/>
      <c r="H50" s="276" t="n"/>
      <c r="I50" s="277" t="n"/>
      <c r="J50" s="354" t="n"/>
    </row>
    <row r="51" ht="15.75" customHeight="1" s="225">
      <c r="B51" s="411" t="n"/>
      <c r="C51" s="278" t="n"/>
      <c r="D51" s="354" t="n"/>
      <c r="E51" s="276" t="n"/>
      <c r="F51" s="276" t="n"/>
      <c r="G51" s="276" t="n"/>
      <c r="H51" s="276" t="n"/>
      <c r="I51" s="277" t="n"/>
      <c r="J51" s="354" t="n"/>
    </row>
    <row r="52" ht="15.75" customHeight="1" s="225">
      <c r="B52" s="356" t="n"/>
      <c r="C52" s="412" t="n"/>
      <c r="E52" s="267" t="n"/>
      <c r="F52" s="267" t="n"/>
      <c r="G52" s="267" t="n"/>
      <c r="H52" s="267" t="n"/>
      <c r="I52" s="280" t="n"/>
      <c r="J52" s="357" t="n"/>
    </row>
    <row r="53" ht="15.75" customHeight="1" s="225"/>
    <row r="54" ht="15.75" customHeight="1" s="225">
      <c r="B54" s="413" t="n"/>
    </row>
    <row r="55" ht="15.75" customHeight="1" s="225"/>
    <row r="56" ht="15.75" customHeight="1" s="225"/>
    <row r="57" ht="15.75" customHeight="1" s="225"/>
    <row r="58" ht="15.75" customHeight="1" s="225"/>
    <row r="59" ht="15.75" customHeight="1" s="225"/>
    <row r="60" ht="15.75" customHeight="1" s="225"/>
    <row r="61" ht="15.75" customHeight="1" s="225"/>
    <row r="62" ht="15.75" customHeight="1" s="225"/>
    <row r="63" ht="15.75" customHeight="1" s="225"/>
    <row r="64" ht="15.75" customHeight="1" s="225"/>
    <row r="65" ht="15.75" customHeight="1" s="225"/>
    <row r="66" ht="15.75" customHeight="1" s="225"/>
    <row r="67" ht="15.75" customHeight="1" s="225"/>
    <row r="68" ht="15.75" customHeight="1" s="225"/>
    <row r="69" ht="15.75" customHeight="1" s="225"/>
    <row r="70" ht="15.75" customHeight="1" s="225"/>
    <row r="71" ht="15.75" customHeight="1" s="225"/>
    <row r="72" ht="15.75" customHeight="1" s="225"/>
    <row r="73" ht="15.75" customHeight="1" s="225"/>
    <row r="74" ht="15.75" customHeight="1" s="225"/>
    <row r="75" ht="15.75" customHeight="1" s="225"/>
    <row r="76" ht="15.75" customHeight="1" s="225"/>
    <row r="77" ht="15.75" customHeight="1" s="225"/>
    <row r="78" ht="15.75" customHeight="1" s="225"/>
    <row r="79" ht="15.75" customHeight="1" s="225"/>
    <row r="80" ht="15.75" customHeight="1" s="225"/>
    <row r="81" ht="15.75" customHeight="1" s="225"/>
    <row r="82" ht="15.75" customHeight="1" s="225"/>
    <row r="83" ht="15.75" customHeight="1" s="225"/>
    <row r="84" ht="15.75" customHeight="1" s="225"/>
    <row r="85" ht="15.75" customHeight="1" s="225"/>
    <row r="86" ht="15.75" customHeight="1" s="225"/>
    <row r="87" ht="15.75" customHeight="1" s="225"/>
    <row r="88" ht="15.75" customHeight="1" s="225"/>
    <row r="89" ht="15.75" customHeight="1" s="225"/>
    <row r="90" ht="15.75" customHeight="1" s="225"/>
    <row r="91" ht="15.75" customHeight="1" s="225"/>
    <row r="92" ht="15.75" customHeight="1" s="225"/>
    <row r="93" ht="15.75" customHeight="1" s="225"/>
    <row r="94" ht="15.75" customHeight="1" s="225"/>
    <row r="95" ht="15.75" customHeight="1" s="225"/>
    <row r="96" ht="15.75" customHeight="1" s="225"/>
    <row r="97" ht="15.75" customHeight="1" s="225"/>
    <row r="98" ht="15.75" customHeight="1" s="225"/>
    <row r="99" ht="15.75" customHeight="1" s="225"/>
    <row r="100" ht="15.75" customHeight="1" s="225"/>
    <row r="101" ht="15.75" customHeight="1" s="225"/>
    <row r="102" ht="15.75" customHeight="1" s="225"/>
    <row r="103" ht="15.75" customHeight="1" s="225"/>
    <row r="104" ht="15.75" customHeight="1" s="225"/>
    <row r="105" ht="15.75" customHeight="1" s="225"/>
    <row r="106" ht="15.75" customHeight="1" s="225"/>
    <row r="107" ht="15.75" customHeight="1" s="225"/>
    <row r="108" ht="15.75" customHeight="1" s="225"/>
    <row r="109" ht="15.75" customHeight="1" s="225"/>
    <row r="110" ht="15.75" customHeight="1" s="225"/>
    <row r="111" ht="15.75" customHeight="1" s="225"/>
    <row r="112" ht="15.75" customHeight="1" s="225"/>
    <row r="113" ht="15.75" customHeight="1" s="225"/>
    <row r="114" ht="15.75" customHeight="1" s="225"/>
    <row r="115" ht="15.75" customHeight="1" s="225"/>
    <row r="116" ht="15.75" customHeight="1" s="225"/>
    <row r="117" ht="15.75" customHeight="1" s="225"/>
    <row r="118" ht="15.75" customHeight="1" s="225"/>
    <row r="119" ht="15.75" customHeight="1" s="225"/>
    <row r="120" ht="15.75" customHeight="1" s="225"/>
    <row r="121" ht="15.75" customHeight="1" s="225"/>
    <row r="122" ht="15.75" customHeight="1" s="225"/>
    <row r="123" ht="15.75" customHeight="1" s="225"/>
    <row r="124" ht="15.75" customHeight="1" s="225"/>
    <row r="125" ht="15.75" customHeight="1" s="225"/>
    <row r="126" ht="15.75" customHeight="1" s="225"/>
    <row r="127" ht="15.75" customHeight="1" s="225"/>
    <row r="128" ht="15.75" customHeight="1" s="225"/>
    <row r="129" ht="15.75" customHeight="1" s="225"/>
    <row r="130" ht="15.75" customHeight="1" s="225"/>
    <row r="131" ht="15.75" customHeight="1" s="225"/>
    <row r="132" ht="15.75" customHeight="1" s="225"/>
    <row r="133" ht="15.75" customHeight="1" s="225"/>
    <row r="134" ht="15.75" customHeight="1" s="225"/>
    <row r="135" ht="15.75" customHeight="1" s="225"/>
    <row r="136" ht="15.75" customHeight="1" s="225"/>
    <row r="137" ht="15.75" customHeight="1" s="225"/>
    <row r="138" ht="15.75" customHeight="1" s="225"/>
    <row r="139" ht="15.75" customHeight="1" s="225"/>
    <row r="140" ht="15.75" customHeight="1" s="225"/>
    <row r="141" ht="15.75" customHeight="1" s="225"/>
    <row r="142" ht="15.75" customHeight="1" s="225"/>
    <row r="143" ht="15.75" customHeight="1" s="225"/>
    <row r="144" ht="15.75" customHeight="1" s="225"/>
    <row r="145" ht="15.75" customHeight="1" s="225"/>
    <row r="146" ht="15.75" customHeight="1" s="225"/>
    <row r="147" ht="15.75" customHeight="1" s="225"/>
    <row r="148" ht="15.75" customHeight="1" s="225"/>
    <row r="149" ht="15.75" customHeight="1" s="225"/>
    <row r="150" ht="15.75" customHeight="1" s="225"/>
    <row r="151" ht="15.75" customHeight="1" s="225"/>
    <row r="152" ht="15.75" customHeight="1" s="225"/>
    <row r="153" ht="15.75" customHeight="1" s="225"/>
    <row r="154" ht="15.75" customHeight="1" s="225"/>
    <row r="155" ht="15.75" customHeight="1" s="225"/>
    <row r="156" ht="15.75" customHeight="1" s="225"/>
    <row r="157" ht="15.75" customHeight="1" s="225"/>
    <row r="158" ht="15.75" customHeight="1" s="225"/>
    <row r="159" ht="15.75" customHeight="1" s="225"/>
    <row r="160" ht="15.75" customHeight="1" s="225"/>
    <row r="161" ht="15.75" customHeight="1" s="225"/>
    <row r="162" ht="15.75" customHeight="1" s="225"/>
    <row r="163" ht="15.75" customHeight="1" s="225"/>
    <row r="164" ht="15.75" customHeight="1" s="225"/>
    <row r="165" ht="15.75" customHeight="1" s="225"/>
    <row r="166" ht="15.75" customHeight="1" s="225"/>
    <row r="167" ht="15.75" customHeight="1" s="225"/>
    <row r="168" ht="15.75" customHeight="1" s="225"/>
    <row r="169" ht="15.75" customHeight="1" s="225"/>
    <row r="170" ht="15.75" customHeight="1" s="225"/>
    <row r="171" ht="15.75" customHeight="1" s="225"/>
    <row r="172" ht="15.75" customHeight="1" s="225"/>
    <row r="173" ht="15.75" customHeight="1" s="225"/>
    <row r="174" ht="15.75" customHeight="1" s="225"/>
    <row r="175" ht="15.75" customHeight="1" s="225"/>
    <row r="176" ht="15.75" customHeight="1" s="225"/>
    <row r="177" ht="15.75" customHeight="1" s="225"/>
    <row r="178" ht="15.75" customHeight="1" s="225"/>
    <row r="179" ht="15.75" customHeight="1" s="225"/>
    <row r="180" ht="15.75" customHeight="1" s="225"/>
    <row r="181" ht="15.75" customHeight="1" s="225"/>
    <row r="182" ht="15.75" customHeight="1" s="225"/>
    <row r="183" ht="15.75" customHeight="1" s="225"/>
    <row r="184" ht="15.75" customHeight="1" s="225"/>
    <row r="185" ht="15.75" customHeight="1" s="225"/>
    <row r="186" ht="15.75" customHeight="1" s="225"/>
    <row r="187" ht="15.75" customHeight="1" s="225"/>
    <row r="188" ht="15.75" customHeight="1" s="225"/>
    <row r="189" ht="15.75" customHeight="1" s="225"/>
    <row r="190" ht="15.75" customHeight="1" s="225"/>
    <row r="191" ht="15.75" customHeight="1" s="225"/>
    <row r="192" ht="15.75" customHeight="1" s="225"/>
    <row r="193" ht="15.75" customHeight="1" s="225"/>
    <row r="194" ht="15.75" customHeight="1" s="225"/>
    <row r="195" ht="15.75" customHeight="1" s="225"/>
    <row r="196" ht="15.75" customHeight="1" s="225"/>
    <row r="197" ht="15.75" customHeight="1" s="225"/>
    <row r="198" ht="15.75" customHeight="1" s="225"/>
    <row r="199" ht="15.75" customHeight="1" s="225"/>
    <row r="200" ht="15.75" customHeight="1" s="225"/>
    <row r="201" ht="15.75" customHeight="1" s="225"/>
    <row r="202" ht="15.75" customHeight="1" s="225"/>
    <row r="203" ht="15.75" customHeight="1" s="225"/>
    <row r="204" ht="15.75" customHeight="1" s="225"/>
    <row r="205" ht="15.75" customHeight="1" s="225"/>
    <row r="206" ht="15.75" customHeight="1" s="225"/>
    <row r="207" ht="15.75" customHeight="1" s="225"/>
    <row r="208" ht="15.75" customHeight="1" s="225"/>
    <row r="209" ht="15.75" customHeight="1" s="225"/>
    <row r="210" ht="15.75" customHeight="1" s="225"/>
    <row r="211" ht="15.75" customHeight="1" s="225"/>
    <row r="212" ht="15.75" customHeight="1" s="225"/>
    <row r="213" ht="15.75" customHeight="1" s="225"/>
    <row r="214" ht="15.75" customHeight="1" s="225"/>
    <row r="215" ht="15.75" customHeight="1" s="225"/>
    <row r="216" ht="15.75" customHeight="1" s="225"/>
    <row r="217" ht="15.75" customHeight="1" s="225"/>
    <row r="218" ht="15.75" customHeight="1" s="225"/>
    <row r="219" ht="15.75" customHeight="1" s="225"/>
    <row r="220" ht="15.75" customHeight="1" s="225"/>
    <row r="221" ht="15.75" customHeight="1" s="225"/>
    <row r="222" ht="15.75" customHeight="1" s="225"/>
    <row r="223" ht="15.75" customHeight="1" s="225"/>
    <row r="224" ht="15.75" customHeight="1" s="225"/>
    <row r="225" ht="15.75" customHeight="1" s="225"/>
    <row r="226" ht="15.75" customHeight="1" s="225"/>
    <row r="227" ht="15.75" customHeight="1" s="225"/>
    <row r="228" ht="15.75" customHeight="1" s="225"/>
    <row r="229" ht="15.75" customHeight="1" s="225"/>
    <row r="230" ht="15.75" customHeight="1" s="225"/>
    <row r="231" ht="15.75" customHeight="1" s="225"/>
    <row r="232" ht="15.75" customHeight="1" s="225"/>
    <row r="233" ht="15.75" customHeight="1" s="225"/>
    <row r="234" ht="15.75" customHeight="1" s="225"/>
    <row r="235" ht="15.75" customHeight="1" s="225"/>
    <row r="236" ht="15.75" customHeight="1" s="225"/>
    <row r="237" ht="15.75" customHeight="1" s="225"/>
    <row r="238" ht="15.75" customHeight="1" s="225"/>
    <row r="239" ht="15.75" customHeight="1" s="225"/>
    <row r="240" ht="15.75" customHeight="1" s="225"/>
    <row r="241" ht="15.75" customHeight="1" s="225"/>
    <row r="242" ht="15.75" customHeight="1" s="225"/>
    <row r="243" ht="15.75" customHeight="1" s="225"/>
    <row r="244" ht="15.75" customHeight="1" s="225"/>
    <row r="245" ht="15.75" customHeight="1" s="225"/>
    <row r="246" ht="15.75" customHeight="1" s="225"/>
    <row r="247" ht="15.75" customHeight="1" s="225"/>
    <row r="248" ht="15.75" customHeight="1" s="225"/>
    <row r="249" ht="15.75" customHeight="1" s="225"/>
    <row r="250" ht="15.75" customHeight="1" s="225"/>
    <row r="251" ht="15.75" customHeight="1" s="225"/>
    <row r="252" ht="15.75" customHeight="1" s="225"/>
    <row r="253" ht="15.75" customHeight="1" s="225"/>
    <row r="254" ht="15.75" customHeight="1" s="225"/>
    <row r="255" ht="15.75" customHeight="1" s="225"/>
    <row r="256" ht="15.75" customHeight="1" s="225"/>
    <row r="257" ht="15.75" customHeight="1" s="225"/>
    <row r="258" ht="15.75" customHeight="1" s="225"/>
    <row r="259" ht="15.75" customHeight="1" s="225"/>
    <row r="260" ht="15.75" customHeight="1" s="225"/>
    <row r="261" ht="15.75" customHeight="1" s="225"/>
    <row r="262" ht="15.75" customHeight="1" s="225"/>
    <row r="263" ht="15.75" customHeight="1" s="225"/>
    <row r="264" ht="15.75" customHeight="1" s="225"/>
    <row r="265" ht="15.75" customHeight="1" s="225"/>
    <row r="266" ht="15.75" customHeight="1" s="225"/>
    <row r="267" ht="15.75" customHeight="1" s="225"/>
    <row r="268" ht="15.75" customHeight="1" s="225"/>
    <row r="269" ht="15.75" customHeight="1" s="225"/>
    <row r="270" ht="15.75" customHeight="1" s="225"/>
    <row r="271" ht="15.75" customHeight="1" s="225"/>
    <row r="272" ht="15.75" customHeight="1" s="225"/>
    <row r="273" ht="15.75" customHeight="1" s="225"/>
    <row r="274" ht="15.75" customHeight="1" s="225"/>
    <row r="275" ht="15.75" customHeight="1" s="225"/>
    <row r="276" ht="15.75" customHeight="1" s="225"/>
    <row r="277" ht="15.75" customHeight="1" s="225"/>
    <row r="278" ht="15.75" customHeight="1" s="225"/>
    <row r="279" ht="15.75" customHeight="1" s="225"/>
    <row r="280" ht="15.75" customHeight="1" s="225"/>
    <row r="281" ht="15.75" customHeight="1" s="225"/>
    <row r="282" ht="15.75" customHeight="1" s="225"/>
    <row r="283" ht="15.75" customHeight="1" s="225"/>
    <row r="284" ht="15.75" customHeight="1" s="225"/>
    <row r="285" ht="15.75" customHeight="1" s="225"/>
    <row r="286" ht="15.75" customHeight="1" s="225"/>
    <row r="287" ht="15.75" customHeight="1" s="225"/>
    <row r="288" ht="15.75" customHeight="1" s="225"/>
    <row r="289" ht="15.75" customHeight="1" s="225"/>
    <row r="290" ht="15.75" customHeight="1" s="225"/>
    <row r="291" ht="15.75" customHeight="1" s="225"/>
    <row r="292" ht="15.75" customHeight="1" s="225"/>
    <row r="293" ht="15.75" customHeight="1" s="225"/>
    <row r="294" ht="15.75" customHeight="1" s="225"/>
    <row r="295" ht="15.75" customHeight="1" s="225"/>
    <row r="296" ht="15.75" customHeight="1" s="225"/>
    <row r="297" ht="15.75" customHeight="1" s="225"/>
    <row r="298" ht="15.75" customHeight="1" s="225"/>
    <row r="299" ht="15.75" customHeight="1" s="225"/>
    <row r="300" ht="15.75" customHeight="1" s="225"/>
    <row r="301" ht="15.75" customHeight="1" s="225"/>
    <row r="302" ht="15.75" customHeight="1" s="225"/>
    <row r="303" ht="15.75" customHeight="1" s="225"/>
    <row r="304" ht="15.75" customHeight="1" s="225"/>
    <row r="305" ht="15.75" customHeight="1" s="225"/>
    <row r="306" ht="15.75" customHeight="1" s="225"/>
    <row r="307" ht="15.75" customHeight="1" s="225"/>
    <row r="308" ht="15.75" customHeight="1" s="225"/>
    <row r="309" ht="15.75" customHeight="1" s="225"/>
    <row r="310" ht="15.75" customHeight="1" s="225"/>
    <row r="311" ht="15.75" customHeight="1" s="225"/>
    <row r="312" ht="15.75" customHeight="1" s="225"/>
    <row r="313" ht="15.75" customHeight="1" s="225"/>
    <row r="314" ht="15.75" customHeight="1" s="225"/>
    <row r="315" ht="15.75" customHeight="1" s="225"/>
    <row r="316" ht="15.75" customHeight="1" s="225"/>
    <row r="317" ht="15.75" customHeight="1" s="225"/>
    <row r="318" ht="15.75" customHeight="1" s="225"/>
    <row r="319" ht="15.75" customHeight="1" s="225"/>
    <row r="320" ht="15.75" customHeight="1" s="225"/>
    <row r="321" ht="15.75" customHeight="1" s="225"/>
    <row r="322" ht="15.75" customHeight="1" s="225"/>
    <row r="323" ht="15.75" customHeight="1" s="225"/>
    <row r="324" ht="15.75" customHeight="1" s="225"/>
    <row r="325" ht="15.75" customHeight="1" s="225"/>
    <row r="326" ht="15.75" customHeight="1" s="225"/>
    <row r="327" ht="15.75" customHeight="1" s="225"/>
    <row r="328" ht="15.75" customHeight="1" s="225"/>
    <row r="329" ht="15.75" customHeight="1" s="225"/>
    <row r="330" ht="15.75" customHeight="1" s="225"/>
    <row r="331" ht="15.75" customHeight="1" s="225"/>
    <row r="332" ht="15.75" customHeight="1" s="225"/>
    <row r="333" ht="15.75" customHeight="1" s="225"/>
    <row r="334" ht="15.75" customHeight="1" s="225"/>
    <row r="335" ht="15.75" customHeight="1" s="225"/>
    <row r="336" ht="15.75" customHeight="1" s="225"/>
    <row r="337" ht="15.75" customHeight="1" s="225"/>
    <row r="338" ht="15.75" customHeight="1" s="225"/>
    <row r="339" ht="15.75" customHeight="1" s="225"/>
    <row r="340" ht="15.75" customHeight="1" s="225"/>
    <row r="341" ht="15.75" customHeight="1" s="225"/>
    <row r="342" ht="15.75" customHeight="1" s="225"/>
    <row r="343" ht="15.75" customHeight="1" s="225"/>
    <row r="344" ht="15.75" customHeight="1" s="225"/>
    <row r="345" ht="15.75" customHeight="1" s="225"/>
    <row r="346" ht="15.75" customHeight="1" s="225"/>
    <row r="347" ht="15.75" customHeight="1" s="225"/>
    <row r="348" ht="15.75" customHeight="1" s="225"/>
    <row r="349" ht="15.75" customHeight="1" s="225"/>
    <row r="350" ht="15.75" customHeight="1" s="225"/>
    <row r="351" ht="15.75" customHeight="1" s="225"/>
    <row r="352" ht="15.75" customHeight="1" s="225"/>
    <row r="353" ht="15.75" customHeight="1" s="225"/>
    <row r="354" ht="15.75" customHeight="1" s="225"/>
    <row r="355" ht="15.75" customHeight="1" s="225"/>
    <row r="356" ht="15.75" customHeight="1" s="225"/>
    <row r="357" ht="15.75" customHeight="1" s="225"/>
    <row r="358" ht="15.75" customHeight="1" s="225"/>
    <row r="359" ht="15.75" customHeight="1" s="225"/>
    <row r="360" ht="15.75" customHeight="1" s="225"/>
    <row r="361" ht="15.75" customHeight="1" s="225"/>
    <row r="362" ht="15.75" customHeight="1" s="225"/>
    <row r="363" ht="15.75" customHeight="1" s="225"/>
    <row r="364" ht="15.75" customHeight="1" s="225"/>
    <row r="365" ht="15.75" customHeight="1" s="225"/>
    <row r="366" ht="15.75" customHeight="1" s="225"/>
    <row r="367" ht="15.75" customHeight="1" s="225"/>
    <row r="368" ht="15.75" customHeight="1" s="225"/>
    <row r="369" ht="15.75" customHeight="1" s="225"/>
    <row r="370" ht="15.75" customHeight="1" s="225"/>
    <row r="371" ht="15.75" customHeight="1" s="225"/>
    <row r="372" ht="15.75" customHeight="1" s="225"/>
    <row r="373" ht="15.75" customHeight="1" s="225"/>
    <row r="374" ht="15.75" customHeight="1" s="225"/>
    <row r="375" ht="15.75" customHeight="1" s="225"/>
    <row r="376" ht="15.75" customHeight="1" s="225"/>
    <row r="377" ht="15.75" customHeight="1" s="225"/>
    <row r="378" ht="15.75" customHeight="1" s="225"/>
    <row r="379" ht="15.75" customHeight="1" s="225"/>
    <row r="380" ht="15.75" customHeight="1" s="225"/>
    <row r="381" ht="15.75" customHeight="1" s="225"/>
    <row r="382" ht="15.75" customHeight="1" s="225"/>
    <row r="383" ht="15.75" customHeight="1" s="225"/>
    <row r="384" ht="15.75" customHeight="1" s="225"/>
    <row r="385" ht="15.75" customHeight="1" s="225"/>
    <row r="386" ht="15.75" customHeight="1" s="225"/>
    <row r="387" ht="15.75" customHeight="1" s="225"/>
    <row r="388" ht="15.75" customHeight="1" s="225"/>
    <row r="389" ht="15.75" customHeight="1" s="225"/>
    <row r="390" ht="15.75" customHeight="1" s="225"/>
    <row r="391" ht="15.75" customHeight="1" s="225"/>
    <row r="392" ht="15.75" customHeight="1" s="225"/>
    <row r="393" ht="15.75" customHeight="1" s="225"/>
    <row r="394" ht="15.75" customHeight="1" s="225"/>
    <row r="395" ht="15.75" customHeight="1" s="225"/>
    <row r="396" ht="15.75" customHeight="1" s="225"/>
    <row r="397" ht="15.75" customHeight="1" s="225"/>
    <row r="398" ht="15.75" customHeight="1" s="225"/>
    <row r="399" ht="15.75" customHeight="1" s="225"/>
    <row r="400" ht="15.75" customHeight="1" s="225"/>
    <row r="401" ht="15.75" customHeight="1" s="225"/>
    <row r="402" ht="15.75" customHeight="1" s="225"/>
    <row r="403" ht="15.75" customHeight="1" s="225"/>
    <row r="404" ht="15.75" customHeight="1" s="225"/>
    <row r="405" ht="15.75" customHeight="1" s="225"/>
    <row r="406" ht="15.75" customHeight="1" s="225"/>
    <row r="407" ht="15.75" customHeight="1" s="225"/>
    <row r="408" ht="15.75" customHeight="1" s="225"/>
    <row r="409" ht="15.75" customHeight="1" s="225"/>
    <row r="410" ht="15.75" customHeight="1" s="225"/>
    <row r="411" ht="15.75" customHeight="1" s="225"/>
    <row r="412" ht="15.75" customHeight="1" s="225"/>
    <row r="413" ht="15.75" customHeight="1" s="225"/>
    <row r="414" ht="15.75" customHeight="1" s="225"/>
    <row r="415" ht="15.75" customHeight="1" s="225"/>
    <row r="416" ht="15.75" customHeight="1" s="225"/>
    <row r="417" ht="15.75" customHeight="1" s="225"/>
    <row r="418" ht="15.75" customHeight="1" s="225"/>
    <row r="419" ht="15.75" customHeight="1" s="225"/>
    <row r="420" ht="15.75" customHeight="1" s="225"/>
    <row r="421" ht="15.75" customHeight="1" s="225"/>
    <row r="422" ht="15.75" customHeight="1" s="225"/>
    <row r="423" ht="15.75" customHeight="1" s="225"/>
    <row r="424" ht="15.75" customHeight="1" s="225"/>
    <row r="425" ht="15.75" customHeight="1" s="225"/>
    <row r="426" ht="15.75" customHeight="1" s="225"/>
    <row r="427" ht="15.75" customHeight="1" s="225"/>
    <row r="428" ht="15.75" customHeight="1" s="225"/>
    <row r="429" ht="15.75" customHeight="1" s="225"/>
    <row r="430" ht="15.75" customHeight="1" s="225"/>
    <row r="431" ht="15.75" customHeight="1" s="225"/>
    <row r="432" ht="15.75" customHeight="1" s="225"/>
    <row r="433" ht="15.75" customHeight="1" s="225"/>
    <row r="434" ht="15.75" customHeight="1" s="225"/>
    <row r="435" ht="15.75" customHeight="1" s="225"/>
    <row r="436" ht="15.75" customHeight="1" s="225"/>
    <row r="437" ht="15.75" customHeight="1" s="225"/>
    <row r="438" ht="15.75" customHeight="1" s="225"/>
    <row r="439" ht="15.75" customHeight="1" s="225"/>
    <row r="440" ht="15.75" customHeight="1" s="225"/>
    <row r="441" ht="15.75" customHeight="1" s="225"/>
    <row r="442" ht="15.75" customHeight="1" s="225"/>
    <row r="443" ht="15.75" customHeight="1" s="225"/>
    <row r="444" ht="15.75" customHeight="1" s="225"/>
    <row r="445" ht="15.75" customHeight="1" s="225"/>
    <row r="446" ht="15.75" customHeight="1" s="225"/>
    <row r="447" ht="15.75" customHeight="1" s="225"/>
    <row r="448" ht="15.75" customHeight="1" s="225"/>
    <row r="449" ht="15.75" customHeight="1" s="225"/>
    <row r="450" ht="15.75" customHeight="1" s="225"/>
    <row r="451" ht="15.75" customHeight="1" s="225"/>
    <row r="452" ht="15.75" customHeight="1" s="225"/>
    <row r="453" ht="15.75" customHeight="1" s="225"/>
    <row r="454" ht="15.75" customHeight="1" s="225"/>
    <row r="455" ht="15.75" customHeight="1" s="225"/>
    <row r="456" ht="15.75" customHeight="1" s="225"/>
    <row r="457" ht="15.75" customHeight="1" s="225"/>
    <row r="458" ht="15.75" customHeight="1" s="225"/>
    <row r="459" ht="15.75" customHeight="1" s="225"/>
    <row r="460" ht="15.75" customHeight="1" s="225"/>
    <row r="461" ht="15.75" customHeight="1" s="225"/>
    <row r="462" ht="15.75" customHeight="1" s="225"/>
    <row r="463" ht="15.75" customHeight="1" s="225"/>
    <row r="464" ht="15.75" customHeight="1" s="225"/>
    <row r="465" ht="15.75" customHeight="1" s="225"/>
    <row r="466" ht="15.75" customHeight="1" s="225"/>
    <row r="467" ht="15.75" customHeight="1" s="225"/>
    <row r="468" ht="15.75" customHeight="1" s="225"/>
    <row r="469" ht="15.75" customHeight="1" s="225"/>
    <row r="470" ht="15.75" customHeight="1" s="225"/>
    <row r="471" ht="15.75" customHeight="1" s="225"/>
    <row r="472" ht="15.75" customHeight="1" s="225"/>
    <row r="473" ht="15.75" customHeight="1" s="225"/>
    <row r="474" ht="15.75" customHeight="1" s="225"/>
    <row r="475" ht="15.75" customHeight="1" s="225"/>
    <row r="476" ht="15.75" customHeight="1" s="225"/>
    <row r="477" ht="15.75" customHeight="1" s="225"/>
    <row r="478" ht="15.75" customHeight="1" s="225"/>
    <row r="479" ht="15.75" customHeight="1" s="225"/>
    <row r="480" ht="15.75" customHeight="1" s="225"/>
    <row r="481" ht="15.75" customHeight="1" s="225"/>
    <row r="482" ht="15.75" customHeight="1" s="225"/>
    <row r="483" ht="15.75" customHeight="1" s="225"/>
    <row r="484" ht="15.75" customHeight="1" s="225"/>
    <row r="485" ht="15.75" customHeight="1" s="225"/>
    <row r="486" ht="15.75" customHeight="1" s="225"/>
    <row r="487" ht="15.75" customHeight="1" s="225"/>
    <row r="488" ht="15.75" customHeight="1" s="225"/>
    <row r="489" ht="15.75" customHeight="1" s="225"/>
    <row r="490" ht="15.75" customHeight="1" s="225"/>
    <row r="491" ht="15.75" customHeight="1" s="225"/>
    <row r="492" ht="15.75" customHeight="1" s="225"/>
    <row r="493" ht="15.75" customHeight="1" s="225"/>
    <row r="494" ht="15.75" customHeight="1" s="225"/>
    <row r="495" ht="15.75" customHeight="1" s="225"/>
    <row r="496" ht="15.75" customHeight="1" s="225"/>
    <row r="497" ht="15.75" customHeight="1" s="225"/>
    <row r="498" ht="15.75" customHeight="1" s="225"/>
    <row r="499" ht="15.75" customHeight="1" s="225"/>
    <row r="500" ht="15.75" customHeight="1" s="225"/>
    <row r="501" ht="15.75" customHeight="1" s="225"/>
    <row r="502" ht="15.75" customHeight="1"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sheetData>
  <mergeCells count="2">
    <mergeCell ref="B3:J3"/>
    <mergeCell ref="B49:J49"/>
  </mergeCells>
  <conditionalFormatting sqref="B6:J46">
    <cfRule type="expression" rank="0" priority="2" equalAverage="0" aboveAverage="0" dxfId="0" text="" percent="0" bottom="0">
      <formula>$E6=0</formula>
    </cfRule>
  </conditionalFormatting>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drawing xmlns:r="http://schemas.openxmlformats.org/officeDocument/2006/relationships" r:id="rId1"/>
</worksheet>
</file>

<file path=xl/worksheets/sheet9.xml><?xml version="1.0" encoding="utf-8"?>
<worksheet xmlns="http://schemas.openxmlformats.org/spreadsheetml/2006/main">
  <sheetPr filterMode="0">
    <outlinePr summaryBelow="1" summaryRight="1"/>
    <pageSetUpPr fitToPage="1"/>
  </sheetPr>
  <dimension ref="A1:AQ502"/>
  <sheetViews>
    <sheetView showFormulas="0" showGridLines="0" showRowColHeaders="1" showZeros="1" rightToLeft="0" tabSelected="1" showOutlineSymbols="1" defaultGridColor="1" view="normal" topLeftCell="A1" colorId="64" zoomScale="100" zoomScaleNormal="100" zoomScalePageLayoutView="100" workbookViewId="0">
      <pane xSplit="1" ySplit="24" topLeftCell="B2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activeCellId="0" sqref="A1"/>
      <selection pane="topRight" activeCell="B1" activeCellId="0" sqref="B1"/>
      <selection pane="bottomLeft" activeCell="A25" activeCellId="0" sqref="A25"/>
      <selection pane="bottomRight" activeCell="H31" activeCellId="0" sqref="H3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TC_01</t>
        </is>
      </c>
      <c r="D2" s="233" t="n"/>
      <c r="E2" s="231" t="n"/>
    </row>
    <row r="3" ht="15" customHeight="1" s="225">
      <c r="A3" s="414" t="inlineStr">
        <is>
          <t>Tên chức năng</t>
        </is>
      </c>
      <c r="B3" s="231" t="n"/>
      <c r="C3" s="415" t="inlineStr">
        <is>
          <t>Hoạt động (Đơn của tôi)</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Hoạt động (Đơn của tôi)</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60" customHeight="1" s="225">
      <c r="A8" s="426">
        <f>IF(C8="","",$C$2&amp;"."&amp;COUNTA($C$8:C8)&amp;"")</f>
        <v/>
      </c>
      <c r="B8" s="426" t="inlineStr">
        <is>
          <t>REQ-ORD-011</t>
        </is>
      </c>
      <c r="C8" s="426" t="inlineStr">
        <is>
          <t>DOC-v1.0-02 §3.7 + ảnh Hoạt động</t>
        </is>
      </c>
      <c r="D8" s="426" t="inlineStr">
        <is>
          <t>UI</t>
        </is>
      </c>
      <c r="E8" s="426" t="inlineStr">
        <is>
          <t>Low</t>
        </is>
      </c>
      <c r="F8" s="427" t="inlineStr">
        <is>
          <t>Check bottom nav đủ 5 tab và "Hoạt động" highlight đúng khi đang ở màn này</t>
        </is>
      </c>
      <c r="G8" s="427" t="inlineStr">
        <is>
          <t>Đã đăng nhập app FoxPro (FoxEco SDK)</t>
        </is>
      </c>
      <c r="H8" s="427" t="inlineStr">
        <is>
          <t>1. Mở app FoxEco
2. Từ bất kỳ tab nào, bấm "Hoạt động" tại bottom nav
3. Quan sát thanh bottom nav</t>
        </is>
      </c>
      <c r="I8" s="427" t="inlineStr">
        <is>
          <t>3. Bottom nav hiển thị đủ 5 tab: "Trang chủ", "Bảng tin", nút [+] (Đăng tin), "Hoạt động", "Cá nhân"; tab "Hoạt động" hiển thị highlight màu cam (active), 4 tab còn lại không highlight</t>
        </is>
      </c>
      <c r="J8" s="426" t="inlineStr">
        <is>
          <t>AI</t>
        </is>
      </c>
      <c r="K8" s="426" t="inlineStr">
        <is>
          <t>Pending</t>
        </is>
      </c>
      <c r="L8" s="426" t="inlineStr">
        <is>
          <t>No</t>
        </is>
      </c>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f>IF($A8="","",IF(OR($N8="Yes",$S8="Yes",$X8="Yes",$AC8="Yes",$AH8="Yes"),"Yes","No"))</f>
        <v/>
      </c>
      <c r="AN8" s="430">
        <f>IF($A8="","",IFERROR(IF($AI8&lt;&gt;"",$AI8,IF($AD8&lt;&gt;"",$AD8,IF($Y8&lt;&gt;"",$Y8,IF($T8&lt;&gt;"",$T8,IF($O8&lt;&gt;"",$O8,""))))),""))</f>
        <v/>
      </c>
      <c r="AO8" s="430">
        <f>IFERROR(IF($AJ8&lt;&gt;"",$AJ8,IF($AE8&lt;&gt;"",$AE8,IF($Z8&lt;&gt;"",$Z8,IF($U8&lt;&gt;"",$U8,IF($P8&lt;&gt;"",$P8,""))))),"")</f>
        <v/>
      </c>
      <c r="AP8" s="431" t="n"/>
    </row>
    <row r="9" ht="60" customHeight="1" s="225">
      <c r="A9" s="426" t="n"/>
      <c r="B9" s="432" t="inlineStr">
        <is>
          <t>Block Tab switcher</t>
        </is>
      </c>
      <c r="C9" s="233" t="n"/>
      <c r="D9" s="233" t="n"/>
      <c r="E9" s="233" t="n"/>
      <c r="F9" s="233" t="n"/>
      <c r="G9" s="233" t="n"/>
      <c r="H9" s="233" t="n"/>
      <c r="I9" s="231" t="n"/>
      <c r="J9" s="426" t="n"/>
      <c r="K9" s="426" t="n"/>
      <c r="L9" s="426" t="n"/>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t="n"/>
      <c r="AN9" s="430" t="n"/>
      <c r="AO9" s="430" t="n"/>
      <c r="AP9" s="431" t="n"/>
    </row>
    <row r="10" ht="60" customHeight="1" s="225">
      <c r="A10" s="426">
        <f>IF(C10="","",$C$2&amp;"."&amp;COUNTA($C$8:C10)&amp;"")</f>
        <v/>
      </c>
      <c r="B10" s="426" t="inlineStr">
        <is>
          <t>REQ-ORD-011</t>
        </is>
      </c>
      <c r="C10" s="426" t="inlineStr">
        <is>
          <t>DOC-v1.0-02 §3.7 + ảnh Hoạt động</t>
        </is>
      </c>
      <c r="D10" s="426" t="inlineStr">
        <is>
          <t>UI</t>
        </is>
      </c>
      <c r="E10" s="426" t="inlineStr">
        <is>
          <t>Medium</t>
        </is>
      </c>
      <c r="F10" s="427" t="inlineStr">
        <is>
          <t>Check hiển thị đủ 2 tab "Đang diễn ra"/"Đã hoàn thành" tại màn Hoạt động</t>
        </is>
      </c>
      <c r="G10" s="427" t="inlineStr">
        <is>
          <t>Đã đăng nhập, đang ở màn Hoạt động</t>
        </is>
      </c>
      <c r="H10" s="427" t="inlineStr">
        <is>
          <t>1. Mở app FoxEco
2. Bấm "Hoạt động" tại bottom nav
3. Quan sát khu vực tab switcher đầu màn</t>
        </is>
      </c>
      <c r="I10" s="427" t="inlineStr">
        <is>
          <t>3. Hiển thị đủ 2 tab đúng label "Đang diễn ra" và "Đã hoàn thành"</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n"/>
    </row>
    <row r="11" ht="15" customHeight="1" s="225">
      <c r="A11" s="426">
        <f>IF(C11="","",$C$2&amp;"."&amp;COUNTA($C$8:C11)&amp;"")</f>
        <v/>
      </c>
      <c r="B11" s="426" t="inlineStr">
        <is>
          <t>REQ-ORD-011</t>
        </is>
      </c>
      <c r="C11" s="426" t="inlineStr">
        <is>
          <t>DOC-v1.0-02 §3.7 + ảnh Hoạt động</t>
        </is>
      </c>
      <c r="D11" s="426" t="inlineStr">
        <is>
          <t>UI</t>
        </is>
      </c>
      <c r="E11" s="426" t="inlineStr">
        <is>
          <t>Medium</t>
        </is>
      </c>
      <c r="F11" s="427" t="inlineStr">
        <is>
          <t>Check tab mặc định khi mới vào màn Hoạt động là "Đang diễn ra"</t>
        </is>
      </c>
      <c r="G11" s="427" t="inlineStr">
        <is>
          <t>Đã đăng nhập, CHƯA từng vào màn Hoạt động trong phiên hiện tại (state PRISTINE)</t>
        </is>
      </c>
      <c r="H11" s="427" t="inlineStr">
        <is>
          <t>1. Mở app FoxEco
2. Bấm "Hoạt động" tại bottom nav lần đầu
3. Quan sát tab đang được chọn (active)</t>
        </is>
      </c>
      <c r="I11" s="427" t="inlineStr">
        <is>
          <t>3. Tab "Đang diễn ra" được highlight/chọn mặc định, danh sách hiển thị theo tab này</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n"/>
    </row>
    <row r="12" ht="60" customHeight="1" s="225">
      <c r="A12" s="426">
        <f>IF(C12="","",$C$2&amp;"."&amp;COUNTA($C$8:C12)&amp;"")</f>
        <v/>
      </c>
      <c r="B12" s="426" t="inlineStr">
        <is>
          <t>REQ-ORD-011</t>
        </is>
      </c>
      <c r="C12" s="426" t="inlineStr">
        <is>
          <t>DOC-v1.0-02 §3.7 + ảnh Hoạt động</t>
        </is>
      </c>
      <c r="D12" s="426" t="inlineStr">
        <is>
          <t>Functional</t>
        </is>
      </c>
      <c r="E12" s="426" t="inlineStr">
        <is>
          <t>Medium</t>
        </is>
      </c>
      <c r="F12" s="427" t="inlineStr">
        <is>
          <t>Check dữ liệu đúng tại tab "Đang diễn ra"</t>
        </is>
      </c>
      <c r="G12" s="427" t="inlineStr">
        <is>
          <t>Đã đăng nhập, có đơn ở nhiều trạng thái đang diễn ra (Chờ ghép/Đã ghép/Đang giao) lẫn đơn đã Hoàn thành/Hết hạn/Đã huỷ</t>
        </is>
      </c>
      <c r="H12" s="427" t="inlineStr">
        <is>
          <t>1. Mở app FoxEco
2. Bấm "Hoạt động" tại bottom nav
3. Mở tab "Đang diễn ra" (nếu chưa active)
4. Quan sát toàn bộ danh sách đơn hiển thị</t>
        </is>
      </c>
      <c r="I12" s="427" t="inlineStr">
        <is>
          <t>4. Danh sách CHỈ chứa đơn ở trạng thái đang diễn ra (Chờ ghép/Đã ghép/Đang giao/Đã huỷ); KHÔNG lẫn đơn Hoàn thành/Hết hạn</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Technique: EP-mixed-aggregate (baseline) | Xem EP-matched/EP-in-transit TC kế tiếp cho từng trạng thái riêng; partition "Chờ ghép" đã có ở SC-ORD-020/021 | Cập nhật 2026-07-30: bổ sung đơn Đã huỷ vào bộ dữ liệu trộn (user xác nhận đơn Đã huỷ CÓ hiển thị ở tab này).</t>
        </is>
      </c>
    </row>
    <row r="13" ht="60" customHeight="1" s="225">
      <c r="A13" s="426">
        <f>IF(C13="","",$C$2&amp;"."&amp;COUNTA($C$8:C13)&amp;"")</f>
        <v/>
      </c>
      <c r="B13" s="426" t="inlineStr">
        <is>
          <t>REQ-ORD-011</t>
        </is>
      </c>
      <c r="C13" s="426" t="inlineStr">
        <is>
          <t>DOC-v1.0-02 §3.7 + ảnh Hoạt động</t>
        </is>
      </c>
      <c r="D13" s="426" t="inlineStr">
        <is>
          <t>Functional</t>
        </is>
      </c>
      <c r="E13" s="426" t="inlineStr">
        <is>
          <t>Medium</t>
        </is>
      </c>
      <c r="F13" s="427" t="inlineStr">
        <is>
          <t>Check dữ liệu đúng tại tab "Đã hoàn thành"</t>
        </is>
      </c>
      <c r="G13" s="427" t="inlineStr">
        <is>
          <t>Đã đăng nhập, có đơn Hoàn thành/Hết hạn lẫn đơn đang diễn ra (Chờ ghép/Đã ghép/Đang giao)</t>
        </is>
      </c>
      <c r="H13" s="427" t="inlineStr">
        <is>
          <t>1. Mở app FoxEco
2. Bấm "Hoạt động" tại bottom nav
3. Bấm tab "Đã hoàn thành"
4. Quan sát toàn bộ danh sách đơn hiển thị</t>
        </is>
      </c>
      <c r="I13" s="427" t="inlineStr">
        <is>
          <t>4. Danh sách CHỈ chứa đơn Hoàn thành/Hết hạn; KHÔNG lẫn đơn đang diễn ra</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EP-mixed-aggregate (baseline) | EP theo từng trạng thái riêng (Hoàn thành/Hết hạn) đã có ở SC-ORD-019/SC-ORD-005 — dedupe, không tạo thêm TC</t>
        </is>
      </c>
    </row>
    <row r="14" ht="60" customHeight="1" s="225">
      <c r="A14" s="426">
        <f>IF(C14="","",$C$2&amp;"."&amp;COUNTA($C$8:C14)&amp;"")</f>
        <v/>
      </c>
      <c r="B14" s="426" t="inlineStr">
        <is>
          <t>REQ-ORD-011</t>
        </is>
      </c>
      <c r="C14" s="426" t="inlineStr">
        <is>
          <t>DOC-v1.0-02 §3.7 + ảnh Hoạt động</t>
        </is>
      </c>
      <c r="D14" s="426" t="inlineStr">
        <is>
          <t>Functional</t>
        </is>
      </c>
      <c r="E14" s="426" t="inlineStr">
        <is>
          <t>Medium</t>
        </is>
      </c>
      <c r="F14" s="427" t="inlineStr">
        <is>
          <t>Check đơn trạng thái "Đã ghép" hiển thị tại tab "Đang diễn ra"</t>
        </is>
      </c>
      <c r="G14" s="427" t="inlineStr">
        <is>
          <t>Có đơn đang ở trạng thái "Đã ghép" (MATCHED)</t>
        </is>
      </c>
      <c r="H14" s="427" t="inlineStr">
        <is>
          <t>1. Mở app FoxEco
2. Bấm "Hoạt động" tại bottom nav
3. Mở tab "Đang diễn ra" (nếu chưa active)
4. Tìm card đơn "Đã ghép" trong danh sách</t>
        </is>
      </c>
      <c r="I14" s="427" t="inlineStr">
        <is>
          <t>4. Card đơn "Đã ghép" xuất hiện đúng trong danh sách tab "Đang diễn ra", hiển thị đúng badge "Đã ghép"</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EP-matched</t>
        </is>
      </c>
    </row>
    <row r="15" ht="15" customHeight="1" s="225">
      <c r="A15" s="426">
        <f>IF(C15="","",$C$2&amp;"."&amp;COUNTA($C$8:C15)&amp;"")</f>
        <v/>
      </c>
      <c r="B15" s="426" t="inlineStr">
        <is>
          <t>REQ-ORD-011</t>
        </is>
      </c>
      <c r="C15" s="426" t="inlineStr">
        <is>
          <t>DOC-v1.0-02 §3.7 + ảnh Hoạt động</t>
        </is>
      </c>
      <c r="D15" s="426" t="inlineStr">
        <is>
          <t>Functional</t>
        </is>
      </c>
      <c r="E15" s="426" t="inlineStr">
        <is>
          <t>Medium</t>
        </is>
      </c>
      <c r="F15" s="427" t="inlineStr">
        <is>
          <t>Check đơn trạng thái "Đang giao" hiển thị tại tab "Đang diễn ra"</t>
        </is>
      </c>
      <c r="G15" s="427" t="inlineStr">
        <is>
          <t>Có đơn đang ở trạng thái "Đang giao" (IN_TRANSIT)</t>
        </is>
      </c>
      <c r="H15" s="427" t="inlineStr">
        <is>
          <t>1. Mở app FoxEco
2. Bấm "Hoạt động" tại bottom nav
3. Mở tab "Đang diễn ra" (nếu chưa active)
4. Tìm card đơn "Đang giao" trong danh sách</t>
        </is>
      </c>
      <c r="I15" s="427" t="inlineStr">
        <is>
          <t>4. Card đơn "Đang giao" xuất hiện đúng trong danh sách tab "Đang diễn ra", hiển thị đúng badge "Đang giao"</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inlineStr">
        <is>
          <t>Technique: EP-in-transit</t>
        </is>
      </c>
    </row>
    <row r="16" ht="60" customHeight="1" s="225">
      <c r="A16" s="426" t="n"/>
      <c r="B16" s="432" t="inlineStr">
        <is>
          <t>Block Card danh sách đơn</t>
        </is>
      </c>
      <c r="C16" s="233" t="n"/>
      <c r="D16" s="233" t="n"/>
      <c r="E16" s="233" t="n"/>
      <c r="F16" s="233" t="n"/>
      <c r="G16" s="233" t="n"/>
      <c r="H16" s="233" t="n"/>
      <c r="I16" s="231" t="n"/>
      <c r="J16" s="426" t="n"/>
      <c r="K16" s="426" t="n"/>
      <c r="L16" s="426" t="n"/>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t="n"/>
      <c r="AN16" s="430" t="n"/>
      <c r="AO16" s="430" t="n"/>
      <c r="AP16" s="431" t="n"/>
    </row>
    <row r="17" ht="60" customHeight="1" s="225">
      <c r="A17" s="426">
        <f>IF(C17="","",$C$2&amp;"."&amp;COUNTA($C$8:C17)&amp;"")</f>
        <v/>
      </c>
      <c r="B17" s="426" t="inlineStr">
        <is>
          <t>REQ-ORD-011</t>
        </is>
      </c>
      <c r="C17" s="426" t="inlineStr">
        <is>
          <t>DOC-v1.0-02 §3.7 + ảnh Hoạt động</t>
        </is>
      </c>
      <c r="D17" s="426" t="inlineStr">
        <is>
          <t>UI</t>
        </is>
      </c>
      <c r="E17" s="426" t="inlineStr">
        <is>
          <t>Medium</t>
        </is>
      </c>
      <c r="F17" s="427" t="inlineStr">
        <is>
          <t>Check đầy đủ + đúng 5 trường hiển thị trên 1 card đơn tại màn Hoạt động</t>
        </is>
      </c>
      <c r="G17" s="427" t="inlineStr">
        <is>
          <t>Có ít nhất 1 đơn hiển thị trong danh sách (bất kỳ tab nào)</t>
        </is>
      </c>
      <c r="H17" s="427" t="inlineStr">
        <is>
          <t>1. Mở app FoxEco
2. Bấm "Hoạt động" tại bottom nav
3. Quan sát 1 card đơn bất kỳ trong danh sách</t>
        </is>
      </c>
      <c r="I17" s="427" t="inlineStr">
        <is>
          <t>3. Card hiển thị đủ 5 trường: (1) icon trạng thái, (2) tên tin, (3) tuyến "Từ → Đến", (4) ngày, (5) badge trạng thái — không thiếu, không rỗng bất thường</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Field/column completeness check — auto-derived (xem generate.md Step 3b)</t>
        </is>
      </c>
    </row>
    <row r="18" ht="30" customHeight="1" s="225">
      <c r="A18" s="426">
        <f>IF(C18="","",$C$2&amp;"."&amp;COUNTA($C$8:C18)&amp;"")</f>
        <v/>
      </c>
      <c r="B18" s="426" t="inlineStr">
        <is>
          <t>REQ-ORD-004</t>
        </is>
      </c>
      <c r="C18" s="426" t="inlineStr">
        <is>
          <t>DOC-v1.0-01</t>
        </is>
      </c>
      <c r="D18" s="426" t="inlineStr">
        <is>
          <t>Functional</t>
        </is>
      </c>
      <c r="E18" s="426" t="inlineStr">
        <is>
          <t>High</t>
        </is>
      </c>
      <c r="F18" s="427" t="inlineStr">
        <is>
          <t>Check tin tự động chuyển "Hết hạn" khi quá "Đến ngày", hiển thị đúng tại Hoạt động</t>
        </is>
      </c>
      <c r="G18" s="427" t="inlineStr">
        <is>
          <t>Có tin NEED ở trạng thái POSTED với "Đến ngày" đã set gần (test nhanh), không có ai nhận mang giúp tới hạn</t>
        </is>
      </c>
      <c r="H18" s="427" t="inlineStr">
        <is>
          <t>1. Đăng tin NEED với "Đến ngày" = [ngày gần, vd hôm nay]
2. Chờ tới thời điểm "Đến ngày" mà không có Carrier nhận
3. Mở app FoxEco → bấm "Hoạt động" → tab "Đã hoàn thành"</t>
        </is>
      </c>
      <c r="I18" s="427" t="inlineStr">
        <is>
          <t>3. Tin tự động chuyển trạng thái EXPIRED; card hiển thị icon đồng hồ xám + badge "Hết hạn" + dòng lý do "Không có ai nhận mang giúp trong thời gian đăng — tin đã tự động đóng."</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BVA-at-expiry (baseline) | Xem BVA-before-expiry TC kế tiếp cho boundary trước hạn | Nguồn: merge CA v1.1 `C-ORDER-2` — v1.0 từng chốt ngưỡng EXPIRED = "Từ ngày"; BRD v3.2 ghi rõ 2 lần là "Đến ngày" và user xác nhận lại "Den ngay dung" (đảo ngược resolution cũ). Nhãn TC làm rõ để không đọc nhầm thành "Từ ngày"</t>
        </is>
      </c>
    </row>
    <row r="19" ht="60" customHeight="1" s="225">
      <c r="A19" s="426">
        <f>IF(C19="","",$C$2&amp;"."&amp;COUNTA($C$8:C19)&amp;"")</f>
        <v/>
      </c>
      <c r="B19" s="426" t="inlineStr">
        <is>
          <t>REQ-ORD-004</t>
        </is>
      </c>
      <c r="C19" s="426" t="inlineStr">
        <is>
          <t>DOC-v1.0-01</t>
        </is>
      </c>
      <c r="D19" s="426" t="inlineStr">
        <is>
          <t>Functional</t>
        </is>
      </c>
      <c r="E19" s="426" t="inlineStr">
        <is>
          <t>Medium</t>
        </is>
      </c>
      <c r="F19" s="427" t="inlineStr">
        <is>
          <t>Check tin CHƯA tự động chuyển "Hết hạn" khi CHƯA tới "Đến ngày" (boundary ngay trước hạn)</t>
        </is>
      </c>
      <c r="G19" s="427" t="inlineStr">
        <is>
          <t>Có tin NEED ở trạng thái POSTED với "Đến ngày" còn cách hiện tại 1 khoảng rất ngắn (vd còn 1 phút, dữ liệu test dàn dựng), chưa ai nhận mang giúp</t>
        </is>
      </c>
      <c r="H19" s="427" t="inlineStr">
        <is>
          <t>1. Đăng tin NEED với "Đến ngày" = [thời điểm còn 1 phút nữa mới tới hạn]
2. Ngay TRƯỚC thời điểm "Đến ngày" (boundary min-1), mở app FoxEco → bấm "Hoạt động" → tab "Đang diễn ra"
3. Quan sát card tin vừa đăng</t>
        </is>
      </c>
      <c r="I19" s="427" t="inlineStr">
        <is>
          <t>3. Tin vẫn ở trạng thái "Chờ ghép" (POSTED), CHƯA tự chuyển "Hết hạn" — badge hiển thị đúng "Chờ ghép"</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BVA-before-expiry | Cần bổ sung test data trong catalog (catalog chưa có mốc hạn tin cụ thể để dựng boundary chính xác) | Nguồn: merge CA v1.1 `C-ORDER-2` — v1.0 từng chốt ngưỡng EXPIRED = "Từ ngày"; BRD v3.2 ghi rõ 2 lần là "Đến ngày" và user xác nhận lại "Den ngay dung" (đảo ngược resolution cũ). Nhãn TC làm rõ để không đọc nhầm thành "Từ ngày"</t>
        </is>
      </c>
    </row>
    <row r="20" ht="60" customHeight="1" s="225">
      <c r="A20" s="426">
        <f>IF(C20="","",$C$2&amp;"."&amp;COUNTA($C$8:C20)&amp;"")</f>
        <v/>
      </c>
      <c r="B20" s="426" t="inlineStr">
        <is>
          <t>REQ-ORD-011</t>
        </is>
      </c>
      <c r="C20" s="426" t="inlineStr">
        <is>
          <t>DOC-v1.0-02 §3.7 + ảnh Hoạt động</t>
        </is>
      </c>
      <c r="D20" s="426" t="inlineStr">
        <is>
          <t>UI</t>
        </is>
      </c>
      <c r="E20" s="426" t="inlineStr">
        <is>
          <t>Low</t>
        </is>
      </c>
      <c r="F20" s="427" t="inlineStr">
        <is>
          <t>Check card trạng thái "Hoàn thành" hiển thị đúng tại tab "Đã hoàn thành"</t>
        </is>
      </c>
      <c r="G20" s="427" t="inlineStr">
        <is>
          <t>Có đơn đã chuyển trạng thái COMPLETED</t>
        </is>
      </c>
      <c r="H20" s="427" t="inlineStr">
        <is>
          <t>1. Mở app FoxEco → bấm "Hoạt động" → tab "Đã hoàn thành"
2. Quan sát card đơn COMPLETED</t>
        </is>
      </c>
      <c r="I20" s="427" t="inlineStr">
        <is>
          <t>2. Card hiển thị icon check màu xanh + badge "Hoàn thành" (KHÔNG assert dòng rating "★★★★★ Đã đánh giá" nếu có xuất hiện — xem C-GIFT-01, out of scope v1.0)</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IF($A20="","",IF(OR($N20="Yes",$S20="Yes",$X20="Yes",$AC20="Yes",$AH20="Yes"),"Yes","No"))</f>
        <v/>
      </c>
      <c r="AN20" s="430">
        <f>IF($A20="","",IFERROR(IF($AI20&lt;&gt;"",$AI20,IF($AD20&lt;&gt;"",$AD20,IF($Y20&lt;&gt;"",$Y20,IF($T20&lt;&gt;"",$T20,IF($O20&lt;&gt;"",$O20,""))))),""))</f>
        <v/>
      </c>
      <c r="AO20" s="430">
        <f>IFERROR(IF($AJ20&lt;&gt;"",$AJ20,IF($AE20&lt;&gt;"",$AE20,IF($Z20&lt;&gt;"",$Z20,IF($U20&lt;&gt;"",$U20,IF($P20&lt;&gt;"",$P20,""))))),"")</f>
        <v/>
      </c>
      <c r="AP20" s="431" t="inlineStr">
        <is>
          <t>Technique: EP-completed (baseline) | Dùng chung phân vùng cho SC-ORD-026 tab data</t>
        </is>
      </c>
    </row>
    <row r="21" ht="15" customHeight="1" s="225">
      <c r="A21" s="426">
        <f>IF(C21="","",$C$2&amp;"."&amp;COUNTA($C$8:C21)&amp;"")</f>
        <v/>
      </c>
      <c r="B21" s="426" t="inlineStr">
        <is>
          <t>REQ-ORD-011</t>
        </is>
      </c>
      <c r="C21" s="426" t="inlineStr">
        <is>
          <t>DOC-v1.0-02 §3.7 + ảnh Hoạt động</t>
        </is>
      </c>
      <c r="D21" s="426" t="inlineStr">
        <is>
          <t>UI</t>
        </is>
      </c>
      <c r="E21" s="426" t="inlineStr">
        <is>
          <t>Low</t>
        </is>
      </c>
      <c r="F21" s="427" t="inlineStr">
        <is>
          <t>Check card trạng thái "Chờ ghép" hiển thị đúng tại tab "Đang diễn ra"</t>
        </is>
      </c>
      <c r="G21" s="427" t="inlineStr">
        <is>
          <t>Có tin NEED/OFFER ở trạng thái POSTED (chưa ai nhận)</t>
        </is>
      </c>
      <c r="H21" s="427" t="inlineStr">
        <is>
          <t>1. Mở app FoxEco → bấm "Hoạt động" → tab "Đang diễn ra"
2. Quan sát card tin POSTED</t>
        </is>
      </c>
      <c r="I21" s="427" t="inlineStr">
        <is>
          <t>2. Card hiển thị đúng badge "Chờ ghép"</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Technique: EP-posted (baseline) | Dùng chung phân vùng cho SC-ORD-017 tab data + SC-ORD-021 tap-to-detail</t>
        </is>
      </c>
    </row>
    <row r="22" ht="60" customHeight="1" s="225">
      <c r="A22" s="426">
        <f>IF(C22="","",$C$2&amp;"."&amp;COUNTA($C$8:C22)&amp;"")</f>
        <v/>
      </c>
      <c r="B22" s="426" t="inlineStr">
        <is>
          <t>REQ-ORD-011</t>
        </is>
      </c>
      <c r="C22" s="426" t="inlineStr">
        <is>
          <t>DOC-v1.0-02 §3.7 + ảnh Hoạt động</t>
        </is>
      </c>
      <c r="D22" s="426" t="inlineStr">
        <is>
          <t>Functional</t>
        </is>
      </c>
      <c r="E22" s="426" t="inlineStr">
        <is>
          <t>Medium</t>
        </is>
      </c>
      <c r="F22" s="427" t="inlineStr">
        <is>
          <t>Check bấm vào card trạng thái "Chờ ghép" mở đúng màn Chi tiết tin</t>
        </is>
      </c>
      <c r="G22" s="427" t="inlineStr">
        <is>
          <t>Có đơn ở trạng thái "Chờ ghép" tại màn Hoạt động</t>
        </is>
      </c>
      <c r="H22" s="427" t="inlineStr">
        <is>
          <t>1. Mở app FoxEco → bấm "Hoạt động"
2. Bấm vào card đơn "Chờ ghép"</t>
        </is>
      </c>
      <c r="I22" s="427" t="inlineStr">
        <is>
          <t>2. Điều hướng đúng sang màn "Chi tiết tin" của đơn đó</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IF($A22="","",IF(OR($N22="Yes",$S22="Yes",$X22="Yes",$AC22="Yes",$AH22="Yes"),"Yes","No"))</f>
        <v/>
      </c>
      <c r="AN22" s="430">
        <f>IF($A22="","",IFERROR(IF($AI22&lt;&gt;"",$AI22,IF($AD22&lt;&gt;"",$AD22,IF($Y22&lt;&gt;"",$Y22,IF($T22&lt;&gt;"",$T22,IF($O22&lt;&gt;"",$O22,""))))),""))</f>
        <v/>
      </c>
      <c r="AO22" s="430">
        <f>IFERROR(IF($AJ22&lt;&gt;"",$AJ22,IF($AE22&lt;&gt;"",$AE22,IF($Z22&lt;&gt;"",$Z22,IF($U22&lt;&gt;"",$U22,IF($P22&lt;&gt;"",$P22,""))))),"")</f>
        <v/>
      </c>
      <c r="AP22" s="431" t="inlineStr">
        <is>
          <t>Technique: EP-posted (baseline ví dụ) | Xem EP-matched/EP-in-transit/EP-completed TC kế tiếp cho các trạng thái còn lại</t>
        </is>
      </c>
    </row>
    <row r="23" ht="60" customHeight="1" s="225">
      <c r="A23" s="426">
        <f>IF(C23="","",$C$2&amp;"."&amp;COUNTA($C$8:C23)&amp;"")</f>
        <v/>
      </c>
      <c r="B23" s="426" t="inlineStr">
        <is>
          <t>REQ-ORD-011</t>
        </is>
      </c>
      <c r="C23" s="426" t="inlineStr">
        <is>
          <t>DOC-v1.0-02 §3.7 + ảnh Hoạt động</t>
        </is>
      </c>
      <c r="D23" s="426" t="inlineStr">
        <is>
          <t>Functional</t>
        </is>
      </c>
      <c r="E23" s="426" t="inlineStr">
        <is>
          <t>Medium</t>
        </is>
      </c>
      <c r="F23" s="427" t="inlineStr">
        <is>
          <t>Check bấm vào card trạng thái "Đã ghép" mở đúng màn Chi tiết tin</t>
        </is>
      </c>
      <c r="G23" s="427" t="inlineStr">
        <is>
          <t>Có đơn ở trạng thái "Đã ghép" tại màn Hoạt động</t>
        </is>
      </c>
      <c r="H23" s="427" t="inlineStr">
        <is>
          <t>1. Mở app FoxEco → bấm "Hoạt động"
2. Bấm vào card đơn "Đã ghép"</t>
        </is>
      </c>
      <c r="I23" s="427" t="inlineStr">
        <is>
          <t>2. Điều hướng đúng sang màn "Chi tiết tin" của đơn đó</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Technique: EP-matched</t>
        </is>
      </c>
    </row>
    <row r="24" ht="60" customHeight="1" s="225">
      <c r="A24" s="426">
        <f>IF(C24="","",$C$2&amp;"."&amp;COUNTA($C$8:C24)&amp;"")</f>
        <v/>
      </c>
      <c r="B24" s="426" t="inlineStr">
        <is>
          <t>REQ-ORD-011</t>
        </is>
      </c>
      <c r="C24" s="426" t="inlineStr">
        <is>
          <t>DOC-v1.0-02 §3.7 + ảnh Hoạt động</t>
        </is>
      </c>
      <c r="D24" s="426" t="inlineStr">
        <is>
          <t>Functional</t>
        </is>
      </c>
      <c r="E24" s="426" t="inlineStr">
        <is>
          <t>Medium</t>
        </is>
      </c>
      <c r="F24" s="427" t="inlineStr">
        <is>
          <t>Check bấm vào card trạng thái "Đang giao" mở đúng màn Chi tiết tin</t>
        </is>
      </c>
      <c r="G24" s="427" t="inlineStr">
        <is>
          <t>Có đơn ở trạng thái "Đang giao" tại màn Hoạt động</t>
        </is>
      </c>
      <c r="H24" s="427" t="inlineStr">
        <is>
          <t>1. Mở app FoxEco → bấm "Hoạt động"
2. Bấm vào card đơn "Đang giao"</t>
        </is>
      </c>
      <c r="I24" s="427" t="inlineStr">
        <is>
          <t>2. Điều hướng đúng sang màn "Chi tiết tin" của đơn đó</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EP-in-transit</t>
        </is>
      </c>
    </row>
    <row r="25" ht="15.75" customHeight="1" s="225">
      <c r="A25" s="426">
        <f>IF(C25="","",$C$2&amp;"."&amp;COUNTA($C$8:C25)&amp;"")</f>
        <v/>
      </c>
      <c r="B25" s="426" t="inlineStr">
        <is>
          <t>REQ-ORD-011</t>
        </is>
      </c>
      <c r="C25" s="426" t="inlineStr">
        <is>
          <t>DOC-v1.0-02 §3.7 + ảnh Hoạt động</t>
        </is>
      </c>
      <c r="D25" s="426" t="inlineStr">
        <is>
          <t>Functional</t>
        </is>
      </c>
      <c r="E25" s="426" t="inlineStr">
        <is>
          <t>Low</t>
        </is>
      </c>
      <c r="F25" s="427" t="inlineStr">
        <is>
          <t>Check bấm vào card trạng thái "Hoàn thành" mở đúng màn Chi tiết tin</t>
        </is>
      </c>
      <c r="G25" s="427" t="inlineStr">
        <is>
          <t>Có đơn ở trạng thái "Hoàn thành" tại màn Hoạt động</t>
        </is>
      </c>
      <c r="H25" s="427" t="inlineStr">
        <is>
          <t>1. Mở app FoxEco → bấm "Hoạt động" → tab "Đã hoàn thành"
2. Bấm vào card đơn "Hoàn thành"</t>
        </is>
      </c>
      <c r="I25" s="427" t="inlineStr">
        <is>
          <t>2. Điều hướng đúng sang màn "Chi tiết tin" của đơn đó</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EP-completed</t>
        </is>
      </c>
    </row>
    <row r="26" ht="60" customHeight="1" s="225">
      <c r="A26" s="426">
        <f>IF(C26="","",$C$2&amp;"."&amp;COUNTA($C$8:C26)&amp;"")</f>
        <v/>
      </c>
      <c r="B26" s="426" t="inlineStr">
        <is>
          <t>REQ-ORD-011, REQ-CNL-001</t>
        </is>
      </c>
      <c r="C26" s="426" t="inlineStr">
        <is>
          <t>DOC-v1.0-05</t>
        </is>
      </c>
      <c r="D26" s="426" t="inlineStr">
        <is>
          <t>Functional</t>
        </is>
      </c>
      <c r="E26" s="426" t="inlineStr">
        <is>
          <t>Low</t>
        </is>
      </c>
      <c r="F26" s="427" t="inlineStr">
        <is>
          <t>Check bấm vào card trạng thái "Đã huỷ" mở đúng màn Chi tiết tin/Theo dõi đơn</t>
        </is>
      </c>
      <c r="G26" s="427" t="inlineStr">
        <is>
          <t>Có đơn ở trạng thái "Đã huỷ", đang hiển thị dạng card tại tab "Đang diễn ra"</t>
        </is>
      </c>
      <c r="H26" s="427" t="inlineStr">
        <is>
          <t>1. Mở app FoxEco → bấm "Hoạt động" → tab "Đang diễn ra"
2. Bấm vào card có badge "Đã huỷ"</t>
        </is>
      </c>
      <c r="I26" s="427" t="inlineStr">
        <is>
          <t>2. Điều hướng đúng sang màn "Chi tiết tin"/"Theo dõi đơn" của đơn đó (giống hành vi các trạng thái khác, KHÁC "Hết hạn")</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EP-actor-cancelled-clickable | Bổ sung 2026-07-30 theo yêu cầu user (QA GiangDC2 xác nhận trực tiếp trên app STG: card "Đã huỷ" CÓ bấm được, khác với card "Hết hạn" — non-clickable). Cùng nhóm SC-ORD-021 (4→5 TC).</t>
        </is>
      </c>
    </row>
    <row r="27" ht="60" customHeight="1" s="225">
      <c r="A27" s="426">
        <f>IF(C27="","",$C$2&amp;"."&amp;COUNTA($C$8:C27)&amp;"")</f>
        <v/>
      </c>
      <c r="B27" s="426" t="inlineStr">
        <is>
          <t>REQ-ORD-011</t>
        </is>
      </c>
      <c r="C27" s="426" t="inlineStr">
        <is>
          <t>DOC-v1.0-02 §3.7 + ảnh Hoạt động</t>
        </is>
      </c>
      <c r="D27" s="426" t="inlineStr">
        <is>
          <t>Functional</t>
        </is>
      </c>
      <c r="E27" s="426" t="inlineStr">
        <is>
          <t>Low</t>
        </is>
      </c>
      <c r="F27" s="427" t="inlineStr">
        <is>
          <t>Check bấm vào card "Hết hạn" không cho thao tác</t>
        </is>
      </c>
      <c r="G27" s="427" t="inlineStr">
        <is>
          <t>Có đơn ở trạng thái "Hết hạn" (EXPIRED) tại tab "Đã hoàn thành"</t>
        </is>
      </c>
      <c r="H27" s="427" t="inlineStr">
        <is>
          <t>1. Mở app FoxEco → bấm "Hoạt động" → tab "Đã hoàn thành"
2. Bấm vào card có badge "Hết hạn"</t>
        </is>
      </c>
      <c r="I27" s="427" t="inlineStr">
        <is>
          <t>2. Không có điều hướng/phản hồi nào xảy ra (card non-clickable)</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IF($A26="","",IF(OR($N26="Yes",$S26="Yes",$X26="Yes",$AC26="Yes",$AH26="Yes"),"Yes","No"))</f>
        <v/>
      </c>
      <c r="AN27" s="430">
        <f>IF($A26="","",IFERROR(IF($AI26&lt;&gt;"",$AI26,IF($AD26&lt;&gt;"",$AD26,IF($Y26&lt;&gt;"",$Y26,IF($T26&lt;&gt;"",$T26,IF($O26&lt;&gt;"",$O26,""))))),""))</f>
        <v/>
      </c>
      <c r="AO27" s="430">
        <f>IFERROR(IF($AJ26&lt;&gt;"",$AJ26,IF($AE26&lt;&gt;"",$AE26,IF($Z26&lt;&gt;"",$Z26,IF($U26&lt;&gt;"",$U26,IF($P26&lt;&gt;"",$P26,""))))),"")</f>
        <v/>
      </c>
      <c r="AP27" s="431" t="inlineStr">
        <is>
          <t>Technique: EP-invalid-expired (baseline) | Đối chứng cho EP-021 set (partition không hợp lệ/không thao tác được)</t>
        </is>
      </c>
    </row>
    <row r="28" ht="60" customHeight="1" s="225">
      <c r="A28" s="426">
        <f>IF(C28="","",$C$2&amp;"."&amp;COUNTA($C$8:C28)&amp;"")</f>
        <v/>
      </c>
      <c r="B28" s="426" t="inlineStr">
        <is>
          <t>REQ-ORD-011</t>
        </is>
      </c>
      <c r="C28" s="426" t="inlineStr">
        <is>
          <t>QA xác nhận app STG (2026-07-28) · C-ORD-06 Resolved</t>
        </is>
      </c>
      <c r="D28" s="426" t="inlineStr">
        <is>
          <t>UI</t>
        </is>
      </c>
      <c r="E28" s="426" t="inlineStr">
        <is>
          <t>Low</t>
        </is>
      </c>
      <c r="F28" s="427" t="inlineStr">
        <is>
          <t>Check empty state hiển thị khi tab "Đang diễn ra" rỗng</t>
        </is>
      </c>
      <c r="G28" s="427" t="inlineStr">
        <is>
          <t>Tài khoản chưa có đơn nào ở trạng thái đang diễn ra (Chờ ghép/Đã ghép/Đang giao)</t>
        </is>
      </c>
      <c r="H28" s="427" t="inlineStr">
        <is>
          <t>1. Mở app FoxEco → bấm "Hoạt động"
2. Mở tab "Đang diễn ra" (không có đơn nào)</t>
        </is>
      </c>
      <c r="I28" s="427" t="inlineStr">
        <is>
          <t>2. Hiển thị text "Hiện tại chưa có dữ liệu" (C-ORD-06, Resolved — QA xác nhận đúng UI thật)</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IF($A27="","",IF(OR($N27="Yes",$S27="Yes",$X27="Yes",$AC27="Yes",$AH27="Yes"),"Yes","No"))</f>
        <v/>
      </c>
      <c r="AN28" s="430">
        <f>IF($A27="","",IFERROR(IF($AI27&lt;&gt;"",$AI27,IF($AD27&lt;&gt;"",$AD27,IF($Y27&lt;&gt;"",$Y27,IF($T27&lt;&gt;"",$T27,IF($O27&lt;&gt;"",$O27,""))))),""))</f>
        <v/>
      </c>
      <c r="AO28" s="430">
        <f>IFERROR(IF($AJ27&lt;&gt;"",$AJ27,IF($AE27&lt;&gt;"",$AE27,IF($Z27&lt;&gt;"",$Z27,IF($U27&lt;&gt;"",$U27,IF($P27&lt;&gt;"",$P27,""))))),"")</f>
        <v/>
      </c>
      <c r="AP28" s="431" t="inlineStr">
        <is>
          <t>Technique: EP-tab-ongoing-empty | Text đã QA xác nhận trực tiếp trên UI thật (2026-07-28) — xem C-ORD-06 (Resolved)</t>
        </is>
      </c>
    </row>
    <row r="29" ht="60" customHeight="1" s="225">
      <c r="A29" s="426">
        <f>IF(C29="","",$C$2&amp;"."&amp;COUNTA($C$8:C29)&amp;"")</f>
        <v/>
      </c>
      <c r="B29" s="426" t="inlineStr">
        <is>
          <t>REQ-ORD-011</t>
        </is>
      </c>
      <c r="C29" s="426" t="inlineStr">
        <is>
          <t>QA xác nhận app STG (2026-07-28) · C-ORD-06 Resolved</t>
        </is>
      </c>
      <c r="D29" s="426" t="inlineStr">
        <is>
          <t>UI</t>
        </is>
      </c>
      <c r="E29" s="426" t="inlineStr">
        <is>
          <t>Low</t>
        </is>
      </c>
      <c r="F29" s="427" t="inlineStr">
        <is>
          <t>Check empty state hiển thị khi tab "Đã hoàn thành" rỗng</t>
        </is>
      </c>
      <c r="G29" s="427" t="inlineStr">
        <is>
          <t>Tài khoản chưa có đơn nào ở trạng thái Hoàn thành/Hết hạn</t>
        </is>
      </c>
      <c r="H29" s="427" t="inlineStr">
        <is>
          <t>1. Mở app FoxEco → bấm "Hoạt động"
2. Mở tab "Đã hoàn thành" (không có đơn nào)</t>
        </is>
      </c>
      <c r="I29" s="427" t="inlineStr">
        <is>
          <t>2. Hiển thị text "Hiện tại chưa có dữ liệu" (C-ORD-06, Resolved — QA xác nhận đúng UI thật)</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IF($A28="","",IF(OR($N28="Yes",$S28="Yes",$X28="Yes",$AC28="Yes",$AH28="Yes"),"Yes","No"))</f>
        <v/>
      </c>
      <c r="AN29" s="430">
        <f>IF($A28="","",IFERROR(IF($AI28&lt;&gt;"",$AI28,IF($AD28&lt;&gt;"",$AD28,IF($Y28&lt;&gt;"",$Y28,IF($T28&lt;&gt;"",$T28,IF($O28&lt;&gt;"",$O28,""))))),""))</f>
        <v/>
      </c>
      <c r="AO29" s="430">
        <f>IFERROR(IF($AJ28&lt;&gt;"",$AJ28,IF($AE28&lt;&gt;"",$AE28,IF($Z28&lt;&gt;"",$Z28,IF($U28&lt;&gt;"",$U28,IF($P28&lt;&gt;"",$P28,""))))),"")</f>
        <v/>
      </c>
      <c r="AP29" s="431" t="inlineStr">
        <is>
          <t>Technique: EP-tab-completed-empty | Text đã QA xác nhận trực tiếp trên UI thật (2026-07-28) — xem C-ORD-06 (Resolved)</t>
        </is>
      </c>
    </row>
    <row r="30" ht="15.75" customHeight="1" s="225">
      <c r="A30" s="426">
        <f>IF(C30="","",$C$2&amp;"."&amp;COUNTA($C$8:C30)&amp;"")</f>
        <v/>
      </c>
      <c r="B30" s="426" t="inlineStr">
        <is>
          <t>REQ-ORD-011, REQ-CNL-001</t>
        </is>
      </c>
      <c r="C30" s="426" t="inlineStr">
        <is>
          <t>DOC-v1.0-05</t>
        </is>
      </c>
      <c r="D30" s="426" t="inlineStr">
        <is>
          <t>Functional</t>
        </is>
      </c>
      <c r="E30" s="426" t="inlineStr">
        <is>
          <t>Medium</t>
        </is>
      </c>
      <c r="F30" s="427" t="inlineStr">
        <is>
          <t>Check đơn trạng thái "Đã huỷ" hiển thị đúng dạng card tại tab "Đang diễn ra"</t>
        </is>
      </c>
      <c r="G30" s="427" t="inlineStr">
        <is>
          <t>Có 1 đơn vừa được huỷ (qua popup "Huỷ đơn", bất kỳ vai trò nào huỷ)</t>
        </is>
      </c>
      <c r="H30" s="427" t="inlineStr">
        <is>
          <t>1. Huỷ 1 đơn đang ở POSTED hoặc MATCHED (xem TC huỷ đơn module CNL)
2. Mở app FoxEco → bấm "Hoạt động"
3. Kiểm tra lần lượt cả 2 tab "Đang diễn ra" và "Đã hoàn thành"</t>
        </is>
      </c>
      <c r="I30" s="427" t="inlineStr">
        <is>
          <t>3. Đơn vừa huỷ hiển thị ĐÚNG dạng card (badge "Đã huỷ") tại tab "Đang diễn ra"; KHÔNG xuất hiện ở tab "Đã hoàn thành"</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IF($A29="","",IF(OR($N29="Yes",$S29="Yes",$X29="Yes",$AC29="Yes",$AH29="Yes"),"Yes","No"))</f>
        <v/>
      </c>
      <c r="AN30" s="430">
        <f>IF($A29="","",IFERROR(IF($AI29&lt;&gt;"",$AI29,IF($AD29&lt;&gt;"",$AD29,IF($Y29&lt;&gt;"",$Y29,IF($T29&lt;&gt;"",$T29,IF($O29&lt;&gt;"",$O29,""))))),""))</f>
        <v/>
      </c>
      <c r="AO30" s="430">
        <f>IFERROR(IF($AJ29&lt;&gt;"",$AJ29,IF($AE29&lt;&gt;"",$AE29,IF($Z29&lt;&gt;"",$Z29,IF($U29&lt;&gt;"",$U29,IF($P29&lt;&gt;"",$P29,""))))),"")</f>
        <v/>
      </c>
      <c r="AP30" s="431" t="inlineStr">
        <is>
          <t>⚠ SỬA LẠI 2026-07-30 (user chỉnh, xem CHANGELOG): bản trước ghi "Đã huỷ KHÔNG hiển thị ở cả 2 tab" — SAI so với app thật. QA GiangDC2 xác nhận trực tiếp: đơn Đã huỷ VẪN hiển thị dạng card tại tab "Đang diễn ra" (không biến mất khỏi Hoạt động), chỉ không xuất hiện ở tab "Đã hoàn thành". Technique: EP-actor-cancelled-shown (baseline, sửa lại từ EP-actor-cancelled-hidden).</t>
        </is>
      </c>
    </row>
    <row r="31" s="225">
      <c r="A31" s="426" t="n"/>
      <c r="B31" s="426" t="n"/>
      <c r="C31" s="426" t="n"/>
      <c r="D31" s="426" t="n"/>
      <c r="E31" s="426" t="n"/>
      <c r="F31" s="427" t="n"/>
      <c r="G31" s="427" t="n"/>
      <c r="H31" s="427" t="n"/>
      <c r="I31" s="427" t="n"/>
      <c r="J31" s="426" t="n"/>
      <c r="K31" s="426" t="n"/>
      <c r="L31" s="426" t="n"/>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t="n"/>
      <c r="AN31" s="430" t="n"/>
      <c r="AO31" s="430" t="n"/>
      <c r="AP31" s="431" t="n"/>
    </row>
    <row r="32" s="225">
      <c r="A32" s="426" t="n"/>
      <c r="B32" s="426" t="n"/>
      <c r="C32" s="426" t="n"/>
      <c r="D32" s="426" t="n"/>
      <c r="E32" s="426" t="n"/>
      <c r="F32" s="427" t="n"/>
      <c r="G32" s="427" t="n"/>
      <c r="H32" s="427" t="n"/>
      <c r="I32" s="427" t="n"/>
      <c r="J32" s="426" t="n"/>
      <c r="K32" s="426" t="n"/>
      <c r="L32" s="426" t="n"/>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t="n"/>
      <c r="AN32" s="430" t="n"/>
      <c r="AO32" s="430" t="n"/>
      <c r="AP32" s="431" t="n"/>
    </row>
    <row r="33" s="225">
      <c r="A33" s="426" t="n"/>
      <c r="B33" s="426" t="n"/>
      <c r="C33" s="426" t="n"/>
      <c r="D33" s="426" t="n"/>
      <c r="E33" s="426" t="n"/>
      <c r="F33" s="427" t="n"/>
      <c r="G33" s="427" t="n"/>
      <c r="H33" s="427" t="n"/>
      <c r="I33" s="427" t="n"/>
      <c r="J33" s="426" t="n"/>
      <c r="K33" s="426" t="n"/>
      <c r="L33" s="426" t="n"/>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t="n"/>
      <c r="AN33" s="430" t="n"/>
      <c r="AO33" s="430" t="n"/>
      <c r="AP33" s="431" t="n"/>
    </row>
    <row r="34" s="225">
      <c r="A34" s="426" t="n"/>
      <c r="B34" s="426" t="n"/>
      <c r="C34" s="426" t="n"/>
      <c r="D34" s="426" t="n"/>
      <c r="E34" s="426" t="n"/>
      <c r="F34" s="427" t="n"/>
      <c r="G34" s="427" t="n"/>
      <c r="H34" s="427" t="n"/>
      <c r="I34" s="427" t="n"/>
      <c r="J34" s="426" t="n"/>
      <c r="K34" s="426" t="n"/>
      <c r="L34" s="426" t="n"/>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t="n"/>
      <c r="AN34" s="430" t="n"/>
      <c r="AO34" s="430" t="n"/>
      <c r="AP34" s="431" t="n"/>
    </row>
    <row r="35" s="225">
      <c r="A35" s="426" t="n"/>
      <c r="B35" s="426" t="n"/>
      <c r="C35" s="426" t="n"/>
      <c r="D35" s="426" t="n"/>
      <c r="E35" s="426" t="n"/>
      <c r="F35" s="427" t="n"/>
      <c r="G35" s="427" t="n"/>
      <c r="H35" s="427" t="n"/>
      <c r="I35" s="427" t="n"/>
      <c r="J35" s="426" t="n"/>
      <c r="K35" s="426" t="n"/>
      <c r="L35" s="426" t="n"/>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n"/>
    </row>
    <row r="36" s="225">
      <c r="A36" s="426" t="n"/>
      <c r="B36" s="426" t="n"/>
      <c r="C36" s="426" t="n"/>
      <c r="D36" s="426" t="n"/>
      <c r="E36" s="426" t="n"/>
      <c r="F36" s="427" t="n"/>
      <c r="G36" s="427" t="n"/>
      <c r="H36" s="427" t="n"/>
      <c r="I36" s="427" t="n"/>
      <c r="J36" s="426" t="n"/>
      <c r="K36" s="426" t="n"/>
      <c r="L36" s="426" t="n"/>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t="n"/>
      <c r="AN36" s="430" t="n"/>
      <c r="AO36" s="430" t="n"/>
      <c r="AP36" s="431" t="n"/>
    </row>
    <row r="37" s="225">
      <c r="A37" s="426" t="n"/>
      <c r="B37" s="426" t="n"/>
      <c r="C37" s="426" t="n"/>
      <c r="D37" s="426" t="n"/>
      <c r="E37" s="426" t="n"/>
      <c r="F37" s="427" t="n"/>
      <c r="G37" s="427" t="n"/>
      <c r="H37" s="427" t="n"/>
      <c r="I37" s="427" t="n"/>
      <c r="J37" s="426" t="n"/>
      <c r="K37" s="426" t="n"/>
      <c r="L37" s="426" t="n"/>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t="n"/>
      <c r="AN37" s="430" t="n"/>
      <c r="AO37" s="430" t="n"/>
      <c r="AP37" s="431" t="n"/>
    </row>
    <row r="38" s="225">
      <c r="A38" s="426" t="n"/>
      <c r="B38" s="426" t="n"/>
      <c r="C38" s="426" t="n"/>
      <c r="D38" s="426" t="n"/>
      <c r="E38" s="426" t="n"/>
      <c r="F38" s="427" t="n"/>
      <c r="G38" s="427" t="n"/>
      <c r="H38" s="427" t="n"/>
      <c r="I38" s="427" t="n"/>
      <c r="J38" s="426" t="n"/>
      <c r="K38" s="426" t="n"/>
      <c r="L38" s="426" t="n"/>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t="n"/>
      <c r="AN38" s="430" t="n"/>
      <c r="AO38" s="430" t="n"/>
      <c r="AP38" s="431" t="n"/>
    </row>
    <row r="39" s="225">
      <c r="A39" s="426" t="n"/>
      <c r="B39" s="426" t="n"/>
      <c r="C39" s="426" t="n"/>
      <c r="D39" s="426" t="n"/>
      <c r="E39" s="426" t="n"/>
      <c r="F39" s="427" t="n"/>
      <c r="G39" s="427" t="n"/>
      <c r="H39" s="427" t="n"/>
      <c r="I39" s="427" t="n"/>
      <c r="J39" s="426" t="n"/>
      <c r="K39" s="426" t="n"/>
      <c r="L39" s="426" t="n"/>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t="n"/>
      <c r="AN39" s="430" t="n"/>
      <c r="AO39" s="430" t="n"/>
      <c r="AP39" s="431" t="n"/>
    </row>
    <row r="40" s="225">
      <c r="A40" s="426" t="n"/>
      <c r="B40" s="426" t="n"/>
      <c r="C40" s="426" t="n"/>
      <c r="D40" s="426" t="n"/>
      <c r="E40" s="426" t="n"/>
      <c r="F40" s="427" t="n"/>
      <c r="G40" s="427" t="n"/>
      <c r="H40" s="427" t="n"/>
      <c r="I40" s="427" t="n"/>
      <c r="J40" s="426" t="n"/>
      <c r="K40" s="426" t="n"/>
      <c r="L40" s="426" t="n"/>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t="n"/>
      <c r="AN40" s="430" t="n"/>
      <c r="AO40" s="430" t="n"/>
      <c r="AP40" s="431" t="n"/>
    </row>
    <row r="41" s="225">
      <c r="A41" s="426" t="n"/>
      <c r="B41" s="426" t="n"/>
      <c r="C41" s="426" t="n"/>
      <c r="D41" s="426" t="n"/>
      <c r="E41" s="426" t="n"/>
      <c r="F41" s="427" t="n"/>
      <c r="G41" s="427" t="n"/>
      <c r="H41" s="427" t="n"/>
      <c r="I41" s="427" t="n"/>
      <c r="J41" s="426" t="n"/>
      <c r="K41" s="426" t="n"/>
      <c r="L41" s="426" t="n"/>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t="n"/>
      <c r="AN41" s="430" t="n"/>
      <c r="AO41" s="430" t="n"/>
      <c r="AP41" s="431" t="n"/>
    </row>
    <row r="42" s="225">
      <c r="A42" s="426" t="n"/>
      <c r="B42" s="426" t="n"/>
      <c r="C42" s="426" t="n"/>
      <c r="D42" s="426" t="n"/>
      <c r="E42" s="426" t="n"/>
      <c r="F42" s="427" t="n"/>
      <c r="G42" s="427" t="n"/>
      <c r="H42" s="427" t="n"/>
      <c r="I42" s="427"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t="n"/>
      <c r="B43" s="426" t="n"/>
      <c r="C43" s="426" t="n"/>
      <c r="D43" s="426" t="n"/>
      <c r="E43" s="426" t="n"/>
      <c r="F43" s="427" t="n"/>
      <c r="G43" s="427" t="n"/>
      <c r="H43" s="427" t="n"/>
      <c r="I43" s="427" t="n"/>
      <c r="J43" s="426" t="n"/>
      <c r="K43" s="426" t="n"/>
      <c r="L43" s="426" t="n"/>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t="n"/>
      <c r="AN43" s="430" t="n"/>
      <c r="AO43" s="430" t="n"/>
      <c r="AP43" s="431" t="n"/>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2">
    <mergeCell ref="A7:I7"/>
    <mergeCell ref="B16:I16"/>
    <mergeCell ref="AH5:AL5"/>
    <mergeCell ref="C2:E2"/>
    <mergeCell ref="A5:C5"/>
    <mergeCell ref="AC5:AG5"/>
    <mergeCell ref="J5:M5"/>
    <mergeCell ref="A3:B3"/>
    <mergeCell ref="G3:H3"/>
    <mergeCell ref="N5:R5"/>
    <mergeCell ref="I3:J3"/>
    <mergeCell ref="A2:B2"/>
    <mergeCell ref="D5:I5"/>
    <mergeCell ref="C3:E3"/>
    <mergeCell ref="X5:AB5"/>
    <mergeCell ref="A4:B4"/>
    <mergeCell ref="G4:H4"/>
    <mergeCell ref="B9:I9"/>
    <mergeCell ref="I4:J4"/>
    <mergeCell ref="AM5:AP5"/>
    <mergeCell ref="S5:W5"/>
    <mergeCell ref="C4:E4"/>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100" workbookViewId="0">
      <pane xSplit="1" ySplit="24" topLeftCell="B2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activeCellId="0"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TC_02</t>
        </is>
      </c>
      <c r="D2" s="233" t="n"/>
      <c r="E2" s="231" t="n"/>
    </row>
    <row r="3" ht="15" customHeight="1" s="225">
      <c r="A3" s="414" t="inlineStr">
        <is>
          <t>Tên chức năng</t>
        </is>
      </c>
      <c r="B3" s="231" t="n"/>
      <c r="C3" s="415" t="inlineStr">
        <is>
          <t>Cá nhân</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Cá nhân</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60" customHeight="1" s="225">
      <c r="A8" s="426" t="n"/>
      <c r="B8" s="432" t="inlineStr">
        <is>
          <t>Block Thông tin định danh</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REQ-USR-002</t>
        </is>
      </c>
      <c r="C9" s="426" t="inlineStr">
        <is>
          <t>DOC-v1.0-01</t>
        </is>
      </c>
      <c r="D9" s="426" t="inlineStr">
        <is>
          <t>Functional</t>
        </is>
      </c>
      <c r="E9" s="426" t="inlineStr">
        <is>
          <t>Medium</t>
        </is>
      </c>
      <c r="F9" s="427" t="inlineStr">
        <is>
          <t>Check xem hồ sơ cá nhân (view-only), đủ 6 trường, không có nút chỉnh sửa</t>
        </is>
      </c>
      <c r="G9" s="427" t="inlineStr">
        <is>
          <t>Đã đăng nhập, đang ở màn Cá nhân</t>
        </is>
      </c>
      <c r="H9" s="427" t="inlineStr">
        <is>
          <t>1. Mở app FoxEco
2. Bấm "Cá nhân" tại bottom nav
3. Quan sát khu vực hồ sơ (Thông tin định danh)
4. Tìm mọi nút "Chỉnh sửa"/"Cập nhật" trên màn</t>
        </is>
      </c>
      <c r="I9" s="427" t="inlineStr">
        <is>
          <t>3. Hiển thị đúng dữ liệu cho đủ 6 trường: tên, SĐT, avatar, phòng ban, khu vực, kênh liên hệ
4. KHÔNG có bất kỳ nút/form "Chỉnh sửa"/"Cập nhật" nào (view-only, xem C-USR-03)</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n"/>
    </row>
    <row r="10" ht="60" customHeight="1" s="225">
      <c r="A10" s="426">
        <f>IF(C10="","",$C$2&amp;"."&amp;COUNTA($C$8:C10)&amp;"")</f>
        <v/>
      </c>
      <c r="B10" s="426" t="inlineStr">
        <is>
          <t>REQ-USR-003</t>
        </is>
      </c>
      <c r="C10" s="426" t="inlineStr">
        <is>
          <t>DOC-v1.0-01</t>
        </is>
      </c>
      <c r="D10" s="426" t="inlineStr">
        <is>
          <t>UI</t>
        </is>
      </c>
      <c r="E10" s="426" t="inlineStr">
        <is>
          <t>Medium</t>
        </is>
      </c>
      <c r="F10" s="427" t="inlineStr">
        <is>
          <t>Check hiển thị đúng phòng ban + khu vực/tỉnh trên hồ sơ</t>
        </is>
      </c>
      <c r="G10" s="427" t="inlineStr">
        <is>
          <t>Đã đăng nhập, tài khoản có sẵn phòng ban + khu vực trên SSO</t>
        </is>
      </c>
      <c r="H10" s="427" t="inlineStr">
        <is>
          <t>1. Mở app FoxEco
2. Bấm "Cá nhân" tại bottom nav
3. Quan sát trường phòng ban + khu vực/tỉnh</t>
        </is>
      </c>
      <c r="I10" s="427" t="inlineStr">
        <is>
          <t>3. Hiển thị đúng phòng ban + khu vực/tỉnh của user (đúng dữ liệu SSO, vd "Phòng Kỹ thuật · MNV: FTEL2291")</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n"/>
    </row>
    <row r="11" ht="15" customHeight="1" s="225">
      <c r="A11" s="426" t="n"/>
      <c r="B11" s="432" t="inlineStr">
        <is>
          <t>Block Chỉ số đóng góp</t>
        </is>
      </c>
      <c r="C11" s="233" t="n"/>
      <c r="D11" s="233" t="n"/>
      <c r="E11" s="233" t="n"/>
      <c r="F11" s="233" t="n"/>
      <c r="G11" s="233" t="n"/>
      <c r="H11" s="233" t="n"/>
      <c r="I11" s="231" t="n"/>
      <c r="J11" s="426" t="n"/>
      <c r="K11" s="426" t="n"/>
      <c r="L11" s="426" t="n"/>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t="n"/>
      <c r="AN11" s="430" t="n"/>
      <c r="AO11" s="430" t="n"/>
      <c r="AP11" s="431" t="n"/>
    </row>
    <row r="12" ht="60" customHeight="1" s="225">
      <c r="A12" s="426">
        <f>IF(C12="","",$C$2&amp;"."&amp;COUNTA($C$8:C12)&amp;"")</f>
        <v/>
      </c>
      <c r="B12" s="426" t="inlineStr">
        <is>
          <t>REQ-USR-004</t>
        </is>
      </c>
      <c r="C12" s="426" t="inlineStr">
        <is>
          <t>DOC-v1.0-01, DOC-v1.0-04</t>
        </is>
      </c>
      <c r="D12" s="426" t="inlineStr">
        <is>
          <t>UI</t>
        </is>
      </c>
      <c r="E12" s="426" t="inlineStr">
        <is>
          <t>Medium</t>
        </is>
      </c>
      <c r="F12" s="427" t="inlineStr">
        <is>
          <t>Check đầy đủ + đúng 6 phần tử hiển thị tại header màn Cá nhân</t>
        </is>
      </c>
      <c r="G12" s="427" t="inlineStr">
        <is>
          <t>Đã đăng nhập, mở màn Cá nhân</t>
        </is>
      </c>
      <c r="H12" s="427" t="inlineStr">
        <is>
          <t>1. Mở app FoxEco
2. Bấm "Cá nhân" tại bottom nav
3. Quan sát toàn bộ header cam đầu màn</t>
        </is>
      </c>
      <c r="I12" s="427" t="inlineStr">
        <is>
          <t>3. Header hiển thị đủ 6 phần tử: (1) avatar, (2) tên, (3) "Phòng [ban] · MNV: [mã NV]", (4) badge tier "🏆 Hạng Đồng hành", (5) 2 chỉ số ("N đơn đã giúp"/"N quà đã nhận"), (6) menu "Đơn của tôi"/"Quà đã nhận" — không thiếu phần tử nào</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Field/column completeness check — auto-derived (xem generate.md Step 3b)</t>
        </is>
      </c>
    </row>
    <row r="13" ht="60" customHeight="1" s="225">
      <c r="A13" s="426">
        <f>IF(C13="","",$C$2&amp;"."&amp;COUNTA($C$8:C13)&amp;"")</f>
        <v/>
      </c>
      <c r="B13" s="426" t="inlineStr">
        <is>
          <t>REQ-USR-004</t>
        </is>
      </c>
      <c r="C13" s="426" t="inlineStr">
        <is>
          <t>DOC-v1.0-01, DOC-v1.0-02</t>
        </is>
      </c>
      <c r="D13" s="426" t="inlineStr">
        <is>
          <t>Functional</t>
        </is>
      </c>
      <c r="E13" s="426" t="inlineStr">
        <is>
          <t>Medium</t>
        </is>
      </c>
      <c r="F13" s="427" t="inlineStr">
        <is>
          <t>Check hiển thị đúng 2 chỉ số đóng góp, không hiện điểm ECO/tier/CO2</t>
        </is>
      </c>
      <c r="G13" s="427" t="inlineStr">
        <is>
          <t>Đã đăng nhập, có lịch sử đơn đã giúp + quà đã nhận</t>
        </is>
      </c>
      <c r="H13" s="427" t="inlineStr">
        <is>
          <t>1. Mở app FoxEco
2. Bấm "Cá nhân" tại bottom nav
3. Đối chiếu số liệu "N đơn đã giúp"/"N quà đã nhận" với dữ liệu thực tế</t>
        </is>
      </c>
      <c r="I13" s="427" t="inlineStr">
        <is>
          <t>3. Hiển thị đúng "Tổng đơn đã giúp" + "Tổng quà đã nhận"; KHÔNG hiển thị điểm ECO/điểm uy tín dạng số/CO₂ ở bất kỳ đâu trên màn (badge tier chỉ hiển thị tĩnh, không kèm logic tính hạng — xem C-USR-01)</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EP-normal (baseline) | Xem BVA-zero/BVA-one/BVA-large TC kế tiếp cho các boundary khác của cùng field</t>
        </is>
      </c>
    </row>
    <row r="14" ht="60" customHeight="1" s="225">
      <c r="A14" s="426">
        <f>IF(C14="","",$C$2&amp;"."&amp;COUNTA($C$8:C14)&amp;"")</f>
        <v/>
      </c>
      <c r="B14" s="426" t="inlineStr">
        <is>
          <t>REQ-USR-004</t>
        </is>
      </c>
      <c r="C14" s="426" t="inlineStr">
        <is>
          <t>DOC-v1.0-01, DOC-v1.0-02</t>
        </is>
      </c>
      <c r="D14" s="426" t="inlineStr">
        <is>
          <t>UI</t>
        </is>
      </c>
      <c r="E14" s="426" t="inlineStr">
        <is>
          <t>Medium</t>
        </is>
      </c>
      <c r="F14" s="427" t="inlineStr">
        <is>
          <t>Check hiển thị đúng khi chỉ số đóng góp = 0 (chưa từng giúp đơn / chưa nhận quà)</t>
        </is>
      </c>
      <c r="G14" s="427" t="inlineStr">
        <is>
          <t>Đã đăng nhập, tài khoản CHƯA từng giúp đơn nào và CHƯA từng nhận quà nào (0 đơn đã giúp, 0 quà đã nhận)</t>
        </is>
      </c>
      <c r="H14" s="427" t="inlineStr">
        <is>
          <t>1. Mở app FoxEco
2. Bấm "Cá nhân" tại bottom nav
3. Quan sát 2 chỉ số tại header</t>
        </is>
      </c>
      <c r="I14" s="427" t="inlineStr">
        <is>
          <t>3. Hiển thị đúng "0 đơn đã giúp" và "0 quà đã nhận" (số 0 hiển thị rõ ràng, KHÔNG để trống/ẩn/thay bằng dấu gạch ngang)</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BVA-zero</t>
        </is>
      </c>
    </row>
    <row r="15" ht="15" customHeight="1" s="225">
      <c r="A15" s="426">
        <f>IF(C15="","",$C$2&amp;"."&amp;COUNTA($C$8:C15)&amp;"")</f>
        <v/>
      </c>
      <c r="B15" s="426" t="inlineStr">
        <is>
          <t>REQ-USR-004</t>
        </is>
      </c>
      <c r="C15" s="426" t="inlineStr">
        <is>
          <t>DOC-v1.0-01, DOC-v1.0-02</t>
        </is>
      </c>
      <c r="D15" s="426" t="inlineStr">
        <is>
          <t>UI</t>
        </is>
      </c>
      <c r="E15" s="426" t="inlineStr">
        <is>
          <t>Low</t>
        </is>
      </c>
      <c r="F15" s="427" t="inlineStr">
        <is>
          <t>Check hiển thị đúng khi chỉ số đóng góp = 1 (boundary vừa phát sinh)</t>
        </is>
      </c>
      <c r="G15" s="427" t="inlineStr">
        <is>
          <t>Đã đăng nhập, tài khoản vừa có ĐÚNG 1 đơn đã giúp và 1 quà đã nhận (boundary =1)</t>
        </is>
      </c>
      <c r="H15" s="427" t="inlineStr">
        <is>
          <t>1. Mở app FoxEco
2. Bấm "Cá nhân" tại bottom nav
3. Quan sát 2 chỉ số tại header</t>
        </is>
      </c>
      <c r="I15" s="427" t="inlineStr">
        <is>
          <t>3. Hiển thị đúng "1 đơn đã giúp" và "1 quà đã nhận"</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inlineStr">
        <is>
          <t>Technique: BVA-one</t>
        </is>
      </c>
    </row>
    <row r="16" ht="60" customHeight="1" s="225">
      <c r="A16" s="426">
        <f>IF(C16="","",$C$2&amp;"."&amp;COUNTA($C$8:C16)&amp;"")</f>
        <v/>
      </c>
      <c r="B16" s="426" t="inlineStr">
        <is>
          <t>REQ-USR-004</t>
        </is>
      </c>
      <c r="C16" s="426" t="inlineStr">
        <is>
          <t>DOC-v1.0-01, DOC-v1.0-02</t>
        </is>
      </c>
      <c r="D16" s="426" t="inlineStr">
        <is>
          <t>UI</t>
        </is>
      </c>
      <c r="E16" s="426" t="inlineStr">
        <is>
          <t>Low</t>
        </is>
      </c>
      <c r="F16" s="427" t="inlineStr">
        <is>
          <t>Check hiển thị số liệu lớn tại chỉ số đóng góp không bị cắt/tràn UI</t>
        </is>
      </c>
      <c r="G16" s="427" t="inlineStr">
        <is>
          <t>Đã đăng nhập, tài khoản có số lượng đơn đã giúp/quà đã nhận rất lớn (vd ≥999, dữ liệu test dàn dựng)</t>
        </is>
      </c>
      <c r="H16" s="427" t="inlineStr">
        <is>
          <t>1. Mở app FoxEco
2. Bấm "Cá nhân" tại bottom nav
3. Quan sát 2 chỉ số tại header, đối chiếu với số liệu thực tế</t>
        </is>
      </c>
      <c r="I16" s="427" t="inlineStr">
        <is>
          <t>3. Hiển thị đúng số liệu lớn, KHÔNG bị cắt/tràn UI/xuống dòng sai (vd "999 đơn đã giúp" hiển thị đủ)</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BVA-large | Cần bổ sung test data trong catalog (catalog chưa có giá trị boundary lớn cụ thể cho chỉ số này)</t>
        </is>
      </c>
    </row>
    <row r="17" ht="60" customHeight="1" s="225">
      <c r="A17" s="426" t="n"/>
      <c r="B17" s="432" t="inlineStr">
        <is>
          <t>Block Menu điều hướng</t>
        </is>
      </c>
      <c r="C17" s="233" t="n"/>
      <c r="D17" s="233" t="n"/>
      <c r="E17" s="233" t="n"/>
      <c r="F17" s="233" t="n"/>
      <c r="G17" s="233" t="n"/>
      <c r="H17" s="233" t="n"/>
      <c r="I17" s="231" t="n"/>
      <c r="J17" s="426" t="n"/>
      <c r="K17" s="426" t="n"/>
      <c r="L17" s="426" t="n"/>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t="n"/>
      <c r="AN17" s="430" t="n"/>
      <c r="AO17" s="430" t="n"/>
      <c r="AP17" s="431" t="n"/>
    </row>
    <row r="18" ht="30" customHeight="1" s="225">
      <c r="A18" s="426">
        <f>IF(C18="","",$C$2&amp;"."&amp;COUNTA($C$8:C18)&amp;"")</f>
        <v/>
      </c>
      <c r="B18" s="426" t="inlineStr">
        <is>
          <t>REQ-USR-004</t>
        </is>
      </c>
      <c r="C18" s="426" t="inlineStr">
        <is>
          <t>DOC-v1.0-02 §3.9</t>
        </is>
      </c>
      <c r="D18" s="426" t="inlineStr">
        <is>
          <t>Functional</t>
        </is>
      </c>
      <c r="E18" s="426" t="inlineStr">
        <is>
          <t>Low</t>
        </is>
      </c>
      <c r="F18" s="427" t="inlineStr">
        <is>
          <t>Check menu "Đơn của tôi" tại Cá nhân điều hướng đúng sang màn Hoạt động</t>
        </is>
      </c>
      <c r="G18" s="427" t="inlineStr">
        <is>
          <t>Đã đăng nhập, đang ở màn Cá nhân</t>
        </is>
      </c>
      <c r="H18" s="427" t="inlineStr">
        <is>
          <t>1. Mở app FoxEco
2. Bấm "Cá nhân" tại bottom nav
3. Bấm menu "Đơn của tôi"</t>
        </is>
      </c>
      <c r="I18" s="427" t="inlineStr">
        <is>
          <t>3. Điều hướng đúng sang màn "Hoạt động" (Đơn của tôi)</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n"/>
    </row>
    <row r="19" ht="60" customHeight="1" s="225">
      <c r="A19" s="426">
        <f>IF(C19="","",$C$2&amp;"."&amp;COUNTA($C$8:C19)&amp;"")</f>
        <v/>
      </c>
      <c r="B19" s="426" t="inlineStr">
        <is>
          <t>REQ-USR-004</t>
        </is>
      </c>
      <c r="C19" s="426" t="inlineStr">
        <is>
          <t>DOC-v1.0-01 (GIFT-01) + ảnh DOC-v1.0-04</t>
        </is>
      </c>
      <c r="D19" s="426" t="inlineStr">
        <is>
          <t>Functional</t>
        </is>
      </c>
      <c r="E19" s="426" t="inlineStr">
        <is>
          <t>Low</t>
        </is>
      </c>
      <c r="F19" s="427" t="inlineStr">
        <is>
          <t>Check menu "Quà đã nhận" tại Cá nhân điều hướng đúng sang màn Quà đã nhận</t>
        </is>
      </c>
      <c r="G19" s="427" t="inlineStr">
        <is>
          <t>Đã đăng nhập với vai trò Carrier (chủ sở hữu quà đã nhận), đang ở màn Cá nhân</t>
        </is>
      </c>
      <c r="H19" s="427" t="inlineStr">
        <is>
          <t>1. Mở app FoxEco
2. Bấm "Cá nhân" tại bottom nav
3. Bấm menu "Quà đã nhận"</t>
        </is>
      </c>
      <c r="I19" s="427" t="inlineStr">
        <is>
          <t>3. Điều hướng đúng sang màn "Quà đã nhận" (màn riêng, không phải section trong Cá nhân)</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Nguồn: merge CA v1.1 `C-GIFT-2` — bug wiring v1.0 (màn "Quà đã nhận" hiện nhầm ở Receiver) đã fix, nay đúng ở Cá nhân của Carrier, khớp Figma</t>
        </is>
      </c>
    </row>
    <row r="20" ht="60" customHeight="1" s="225">
      <c r="A20" s="426" t="n"/>
      <c r="B20" s="432" t="inlineStr">
        <is>
          <t>Block Kênh liên hệ</t>
        </is>
      </c>
      <c r="C20" s="233" t="n"/>
      <c r="D20" s="233" t="n"/>
      <c r="E20" s="233" t="n"/>
      <c r="F20" s="233" t="n"/>
      <c r="G20" s="233" t="n"/>
      <c r="H20" s="233" t="n"/>
      <c r="I20" s="231" t="n"/>
      <c r="J20" s="426" t="n"/>
      <c r="K20" s="426" t="n"/>
      <c r="L20" s="426" t="n"/>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t="n"/>
      <c r="AN20" s="430" t="n"/>
      <c r="AO20" s="430" t="n"/>
      <c r="AP20" s="431" t="n"/>
    </row>
    <row r="21" ht="15" customHeight="1" s="225">
      <c r="A21" s="426">
        <f>IF(C21="","",$C$2&amp;"."&amp;COUNTA($C$8:C21)&amp;"")</f>
        <v/>
      </c>
      <c r="B21" s="426" t="inlineStr">
        <is>
          <t>REQ-USR-005</t>
        </is>
      </c>
      <c r="C21" s="426" t="inlineStr">
        <is>
          <t>DOC-v1.0-01</t>
        </is>
      </c>
      <c r="D21" s="426" t="inlineStr">
        <is>
          <t>Functional</t>
        </is>
      </c>
      <c r="E21" s="426" t="inlineStr">
        <is>
          <t>Low</t>
        </is>
      </c>
      <c r="F21" s="427" t="inlineStr">
        <is>
          <t>Check GAP — xác nhận KHÔNG tồn tại UI cấu hình kênh liên hệ (out of scope v1.0)</t>
        </is>
      </c>
      <c r="G21" s="427" t="inlineStr">
        <is>
          <t>Đã đăng nhập, mở màn Cá nhân</t>
        </is>
      </c>
      <c r="H21" s="427" t="inlineStr">
        <is>
          <t>1. Mở app FoxEco
2. Bấm "Cá nhân" tại bottom nav
3. Rà toàn bộ màn Cá nhân (header, menu, hồ sơ) tìm mục/toggle "Cấu hình kênh liên hệ" (bật/tắt hiển thị Workplace/email)</t>
        </is>
      </c>
      <c r="I21" s="427" t="inlineStr">
        <is>
          <t>3. KHÔNG tìm thấy mục/toggle cấu hình kênh liên hệ nào trên UI — xác nhận đúng theo C-USR-02 (Resolved — Out of scope v1.0, phase sau)</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GAP finding — tính năng chưa triển khai ở v1.0 (C-USR-02)</t>
        </is>
      </c>
    </row>
    <row r="22" ht="60" customHeight="1" s="225">
      <c r="A22" s="426" t="n"/>
      <c r="B22" s="432" t="inlineStr">
        <is>
          <t>Block Quà đã nhận (màn riêng)</t>
        </is>
      </c>
      <c r="C22" s="233" t="n"/>
      <c r="D22" s="233" t="n"/>
      <c r="E22" s="233" t="n"/>
      <c r="F22" s="233" t="n"/>
      <c r="G22" s="233" t="n"/>
      <c r="H22" s="233" t="n"/>
      <c r="I22" s="231" t="n"/>
      <c r="J22" s="426" t="n"/>
      <c r="K22" s="426" t="n"/>
      <c r="L22" s="426" t="n"/>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t="n"/>
      <c r="AN22" s="430" t="n"/>
      <c r="AO22" s="430" t="n"/>
      <c r="AP22" s="431" t="n"/>
    </row>
    <row r="23" ht="60" customHeight="1" s="225">
      <c r="A23" s="426">
        <f>IF(C23="","",$C$2&amp;"."&amp;COUNTA($C$8:C23)&amp;"")</f>
        <v/>
      </c>
      <c r="B23" s="426" t="inlineStr">
        <is>
          <t>REQ-GIFT-001</t>
        </is>
      </c>
      <c r="C23" s="426" t="inlineStr">
        <is>
          <t>Ảnh DOC-v1.0-04 (Quà đã nhận)</t>
        </is>
      </c>
      <c r="D23" s="426" t="inlineStr">
        <is>
          <t>UI</t>
        </is>
      </c>
      <c r="E23" s="426" t="inlineStr">
        <is>
          <t>Low</t>
        </is>
      </c>
      <c r="F23" s="427" t="inlineStr">
        <is>
          <t>Check màn "Quà đã nhận" rỗng khi chưa nhận quà nào</t>
        </is>
      </c>
      <c r="G23" s="427" t="inlineStr">
        <is>
          <t>Carrier chưa từng nhận quà nào</t>
        </is>
      </c>
      <c r="H23" s="427" t="inlineStr">
        <is>
          <t>1. Mở app FoxEco
2. Bấm "Cá nhân" tại bottom nav → menu "Quà đã nhận"
3. Quan sát nội dung màn</t>
        </is>
      </c>
      <c r="I23" s="427" t="inlineStr">
        <is>
          <t>3. Hiển thị text "Hiện tại chưa có dữ liệu"</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Text đã QA xác nhận trực tiếp trên UI thật (2026-07-28) — xem C-ORD-06 (Resolved)</t>
        </is>
      </c>
    </row>
    <row r="24" ht="60" customHeight="1" s="225">
      <c r="A24" s="426">
        <f>IF(C24="","",$C$2&amp;"."&amp;COUNTA($C$8:C24)&amp;"")</f>
        <v/>
      </c>
      <c r="B24" s="426" t="inlineStr">
        <is>
          <t>REQ-GIFT-001</t>
        </is>
      </c>
      <c r="C24" s="426" t="inlineStr">
        <is>
          <t>Ảnh DOC-v1.0-04 (Quà đã nhận)</t>
        </is>
      </c>
      <c r="D24" s="426" t="inlineStr">
        <is>
          <t>Functional</t>
        </is>
      </c>
      <c r="E24" s="426" t="inlineStr">
        <is>
          <t>Low</t>
        </is>
      </c>
      <c r="F24" s="427" t="inlineStr">
        <is>
          <t>Check card "Quà đã nhận" chỉ load đúng loại đã nhận (không hiện loại chưa nhận)</t>
        </is>
      </c>
      <c r="G24" s="427" t="inlineStr">
        <is>
          <t>Carrier đã nhận ≥1 quà nhưng KHÔNG đủ cả 4 loại (vd chỉ nhận bông hoa + ly cà phê, chưa từng nhận gấu bông/vương miện)</t>
        </is>
      </c>
      <c r="H24" s="427" t="inlineStr">
        <is>
          <t>1. Mở app FoxEco
2. Bấm "Cá nhân" tại bottom nav → menu "Quà đã nhận"
3. Quan sát card đếm số + danh sách lịch sử</t>
        </is>
      </c>
      <c r="I24" s="427" t="inlineStr">
        <is>
          <t>3. Card CHỈ hiển thị đúng các loại đã nhận (đúng số lượng từng loại, vd bông hoa + ly cà phê); loại chưa nhận lần nào (gấu bông, vương miện) KHÔNG xuất hiện trên card; bên dưới có danh sách lịch sử nhận quà (thời gian + người tặng)</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EP-partial (baseline) | Xem EP-all-received/BVA-count-large TC kế tiếp</t>
        </is>
      </c>
    </row>
    <row r="25" ht="15.75" customHeight="1" s="225">
      <c r="A25" s="426">
        <f>IF(C25="","",$C$2&amp;"."&amp;COUNTA($C$8:C25)&amp;"")</f>
        <v/>
      </c>
      <c r="B25" s="426" t="inlineStr">
        <is>
          <t>REQ-GIFT-001</t>
        </is>
      </c>
      <c r="C25" s="426" t="inlineStr">
        <is>
          <t>DOC-v1.0-01 §D1b (US-D20) + quan sát app STG (QA GiangDC2, chat 2026-07-27)</t>
        </is>
      </c>
      <c r="D25" s="426" t="inlineStr">
        <is>
          <t>Functional</t>
        </is>
      </c>
      <c r="E25" s="426" t="inlineStr">
        <is>
          <t>Low</t>
        </is>
      </c>
      <c r="F25" s="427" t="inlineStr">
        <is>
          <t>Check card "Quà đã nhận" hiển thị đủ cả 4/4 loại khi đã nhận đủ tất cả</t>
        </is>
      </c>
      <c r="G25" s="427" t="inlineStr">
        <is>
          <t>Carrier đã nhận đủ CẢ 4 loại quà (🌷 Bông hoa, ☕ Ly cà phê, 🧸 Gấu bông, 👑 Vương miện) ít nhất 1 lần mỗi loại</t>
        </is>
      </c>
      <c r="H25" s="427" t="inlineStr">
        <is>
          <t>1. Mở app FoxEco
2. Bấm "Cá nhân" tại bottom nav → menu "Quà đã nhận"
3. Quan sát card đếm số</t>
        </is>
      </c>
      <c r="I25" s="427" t="inlineStr">
        <is>
          <t>3. Card hiển thị ĐỦ cả 4 loại quà với số lượng đúng từng loại (không loại nào bị ẩn khi đã nhận đủ)</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EP-all-received</t>
        </is>
      </c>
    </row>
    <row r="26" ht="60" customHeight="1" s="225">
      <c r="A26" s="426">
        <f>IF(C26="","",$C$2&amp;"."&amp;COUNTA($C$8:C26)&amp;"")</f>
        <v/>
      </c>
      <c r="B26" s="426" t="inlineStr">
        <is>
          <t>REQ-GIFT-001</t>
        </is>
      </c>
      <c r="C26" s="426" t="inlineStr">
        <is>
          <t>DOC-v1.0-01 §D1b (US-D20) + quan sát app STG (QA GiangDC2, chat 2026-07-27)</t>
        </is>
      </c>
      <c r="D26" s="426" t="inlineStr">
        <is>
          <t>UI</t>
        </is>
      </c>
      <c r="E26" s="426" t="inlineStr">
        <is>
          <t>Low</t>
        </is>
      </c>
      <c r="F26" s="427" t="inlineStr">
        <is>
          <t>Check số lượng lớn của 1 loại quà hiển thị đúng, không bị cắt/tràn UI</t>
        </is>
      </c>
      <c r="G26" s="427" t="inlineStr">
        <is>
          <t>Carrier đã nhận 1 loại quà với số lượng lớn (vd ≥12 lần, dữ liệu test dàn dựng)</t>
        </is>
      </c>
      <c r="H26" s="427" t="inlineStr">
        <is>
          <t>1. Mở app FoxEco
2. Bấm "Cá nhân" tại bottom nav → menu "Quà đã nhận"
3. Quan sát số lượng hiển thị cho loại quà đó</t>
        </is>
      </c>
      <c r="I26" s="427" t="inlineStr">
        <is>
          <t>3. Hiển thị đúng số lượng lớn, KHÔNG bị cắt/tràn UI</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BVA-count-large | Cần bổ sung test data trong catalog (catalog chưa có giá trị boundary số lượng quà cụ thể)</t>
        </is>
      </c>
    </row>
    <row r="27" ht="60" customHeight="1" s="225">
      <c r="A27" s="426">
        <f>IF(C27="","",$C$2&amp;"."&amp;COUNTA($C$8:C27)&amp;"")</f>
        <v/>
      </c>
      <c r="B27" s="426" t="inlineStr">
        <is>
          <t>REQ-GIFT-001</t>
        </is>
      </c>
      <c r="C27" s="426" t="inlineStr">
        <is>
          <t>DOC-v1.0-01 §D1b (US-D20) + quan sát app STG (QA GiangDC2, chat 2026-07-27)</t>
        </is>
      </c>
      <c r="D27" s="426" t="inlineStr">
        <is>
          <t>UI</t>
        </is>
      </c>
      <c r="E27" s="426" t="inlineStr">
        <is>
          <t>Low</t>
        </is>
      </c>
      <c r="F27" s="427" t="inlineStr">
        <is>
          <t>Check icon quay lại tại màn "Quà đã nhận"</t>
        </is>
      </c>
      <c r="G27" s="427" t="inlineStr">
        <is>
          <t>Đang ở màn "Quà đã nhận" (điều hướng từ Cá nhân)</t>
        </is>
      </c>
      <c r="H27" s="427" t="inlineStr">
        <is>
          <t>1. Ở màn "Quà đã nhận", bấm icon quay lại (header)</t>
        </is>
      </c>
      <c r="I27" s="427" t="inlineStr">
        <is>
          <t>1. Quay về đúng màn trước đó (Cá nhân)</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n"/>
    </row>
    <row r="28" ht="60" customHeight="1" s="225">
      <c r="A28" s="426">
        <f>IF(C28="","",$C$2&amp;"."&amp;COUNTA($C$8:C28)&amp;"")</f>
        <v/>
      </c>
      <c r="B28" s="426" t="inlineStr">
        <is>
          <t>REQ-GIFT-001</t>
        </is>
      </c>
      <c r="C28" s="426" t="inlineStr">
        <is>
          <t>DOC-v1.0-01 §D1b (US-D20) + quan sát app STG (QA GiangDC2, chat 2026-07-27)</t>
        </is>
      </c>
      <c r="D28" s="426" t="inlineStr">
        <is>
          <t>UI</t>
        </is>
      </c>
      <c r="E28" s="426" t="inlineStr">
        <is>
          <t>Medium</t>
        </is>
      </c>
      <c r="F28" s="427" t="inlineStr">
        <is>
          <t>Check đầy đủ + đúng 3 thành phần hiển thị tại màn "Quà đã nhận" (trạng thái có dữ liệu)</t>
        </is>
      </c>
      <c r="G28" s="427" t="inlineStr">
        <is>
          <t>Carrier đã nhận quà từ ít nhất 2 đơn khác nhau, gồm ≥2 loại quà (màn có dữ liệu)</t>
        </is>
      </c>
      <c r="H28" s="427" t="inlineStr">
        <is>
          <t>1. Mở app FoxEco bằng tài khoản Carrier ở Pre-condition
2. Bấm "Cá nhân" tại bottom nav → bấm menu "Quà đã nhận"
3. Quan sát toàn bộ màn "Quà đã nhận"</t>
        </is>
      </c>
      <c r="I28" s="427" t="inlineStr">
        <is>
          <t>3. Màn hiển thị đủ 3 thành phần của trạng thái CÓ dữ liệu: (1) icon quay lại ở header, (2) card đếm số theo từng loại quà (chỉ loại đã nhận), (3) danh sách lịch sử nhận quà — không thiếu thành phần nào. Thành phần thứ 4 của block (empty state) chỉ xuất hiện khi chưa nhận quà nào, verify riêng tại TC_02.11</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inlineStr">
        <is>
          <t>Field/column completeness check — auto-derived (xem generate.md Step 3b) | Bổ sung 2026-07-30 sau finding review-tc **M1 (R2-15)** — trước đó màn "Quà đã nhận" không có TC completeness nào | ⚠ Thành phần "danh sách lịch sử" hiện CHỈ có bằng chứng văn bản (US-D20), chưa có ảnh Figma/app STG đối chiếu → cần vibe-test xác nhận trước khi coi Expected là final (Project_rule §10.1)</t>
        </is>
      </c>
    </row>
    <row r="29" ht="60" customHeight="1" s="225">
      <c r="A29" s="426">
        <f>IF(C29="","",$C$2&amp;"."&amp;COUNTA($C$8:C29)&amp;"")</f>
        <v/>
      </c>
      <c r="B29" s="426" t="inlineStr">
        <is>
          <t>REQ-GIFT-001</t>
        </is>
      </c>
      <c r="C29" s="426" t="inlineStr">
        <is>
          <t>DOC-v1.0-01 §D1b (US-D20) + quan sát app STG (QA GiangDC2, chat 2026-07-27)</t>
        </is>
      </c>
      <c r="D29" s="426" t="inlineStr">
        <is>
          <t>Functional</t>
        </is>
      </c>
      <c r="E29" s="426" t="inlineStr">
        <is>
          <t>Medium</t>
        </is>
      </c>
      <c r="F29" s="427" t="inlineStr">
        <is>
          <t>Check danh sách lịch sử nhận quà hiển thị đúng các lần đã nhận</t>
        </is>
      </c>
      <c r="G29" s="427" t="inlineStr">
        <is>
          <t>Carrier đã nhận ≥2 quà từ ≥2 đơn khác nhau (dữ liệu dàn dựng, biết trước loại quà + người tặng + thời điểm từng lần) — [TBD] điền giá trị khi setup STG</t>
        </is>
      </c>
      <c r="H29" s="427" t="inlineStr">
        <is>
          <t>1. Mở app FoxEco bằng tài khoản Carrier ở Pre-condition
2. Bấm "Cá nhân" tại bottom nav → bấm menu "Quà đã nhận"
3. Quan sát danh sách lịch sử nhận quà</t>
        </is>
      </c>
      <c r="I29" s="427" t="inlineStr">
        <is>
          <t>3. Danh sách lịch sử liệt kê đủ đúng các lần nhận quà như dữ liệu ở Pre-condition (không thiếu lần nào, không trùng lặp), mỗi dòng đối chiếu được với 1 lần tặng thật. Nếu app KHÔNG có danh sách lịch sử trên UI → TC FAIL, mở clarification với BA vì US-D20 nêu rõ "đếm theo loại + lịch sử"</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inlineStr">
        <is>
          <t>Technique: N/A — baseline (derive trực tiếp từ US-D20, không thuộc rubric B1–B8) | Bổ sung 2026-07-30 sau finding review-tc **M1 (R2-15)** — trước đó thành phần "danh sách lịch sử" 0 TC ở mọi fragment | ⚠ Chỉ có bằng chứng văn bản (US-D20), chưa có ảnh Figma/app STG (Project_rule §10.1) | Cần bổ sung test data trong catalog (fixture lịch sử nhận quà chưa có)</t>
        </is>
      </c>
    </row>
    <row r="30" s="225">
      <c r="A30" s="426" t="n"/>
      <c r="B30" s="426" t="n"/>
      <c r="C30" s="426" t="n"/>
      <c r="D30" s="426" t="n"/>
      <c r="E30" s="426" t="n"/>
      <c r="F30" s="427" t="n"/>
      <c r="G30" s="427" t="n"/>
      <c r="H30" s="427" t="n"/>
      <c r="I30" s="427" t="n"/>
      <c r="J30" s="426" t="n"/>
      <c r="K30" s="426" t="n"/>
      <c r="L30" s="426" t="n"/>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t="n"/>
      <c r="AN30" s="430" t="n"/>
      <c r="AO30" s="430" t="n"/>
      <c r="AP30" s="431" t="n"/>
    </row>
    <row r="31" s="225">
      <c r="A31" s="426" t="n"/>
      <c r="B31" s="426" t="n"/>
      <c r="C31" s="426" t="n"/>
      <c r="D31" s="426" t="n"/>
      <c r="E31" s="426" t="n"/>
      <c r="F31" s="427" t="n"/>
      <c r="G31" s="427" t="n"/>
      <c r="H31" s="427" t="n"/>
      <c r="I31" s="427" t="n"/>
      <c r="J31" s="426" t="n"/>
      <c r="K31" s="426" t="n"/>
      <c r="L31" s="426" t="n"/>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t="n"/>
      <c r="AN31" s="430" t="n"/>
      <c r="AO31" s="430" t="n"/>
      <c r="AP31" s="431" t="n"/>
    </row>
    <row r="32" s="225">
      <c r="A32" s="426" t="n"/>
      <c r="B32" s="426" t="n"/>
      <c r="C32" s="426" t="n"/>
      <c r="D32" s="426" t="n"/>
      <c r="E32" s="426" t="n"/>
      <c r="F32" s="427" t="n"/>
      <c r="G32" s="427" t="n"/>
      <c r="H32" s="427" t="n"/>
      <c r="I32" s="427" t="n"/>
      <c r="J32" s="426" t="n"/>
      <c r="K32" s="426" t="n"/>
      <c r="L32" s="426" t="n"/>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t="n"/>
      <c r="AN32" s="430" t="n"/>
      <c r="AO32" s="430" t="n"/>
      <c r="AP32" s="431" t="n"/>
    </row>
    <row r="33" s="225">
      <c r="A33" s="426" t="n"/>
      <c r="B33" s="426" t="n"/>
      <c r="C33" s="426" t="n"/>
      <c r="D33" s="426" t="n"/>
      <c r="E33" s="426" t="n"/>
      <c r="F33" s="427" t="n"/>
      <c r="G33" s="427" t="n"/>
      <c r="H33" s="427" t="n"/>
      <c r="I33" s="427" t="n"/>
      <c r="J33" s="426" t="n"/>
      <c r="K33" s="426" t="n"/>
      <c r="L33" s="426" t="n"/>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t="n"/>
      <c r="AN33" s="430" t="n"/>
      <c r="AO33" s="430" t="n"/>
      <c r="AP33" s="431" t="n"/>
    </row>
    <row r="34" s="225">
      <c r="A34" s="426" t="n"/>
      <c r="B34" s="426" t="n"/>
      <c r="C34" s="426" t="n"/>
      <c r="D34" s="426" t="n"/>
      <c r="E34" s="426" t="n"/>
      <c r="F34" s="427" t="n"/>
      <c r="G34" s="427" t="n"/>
      <c r="H34" s="427" t="n"/>
      <c r="I34" s="427" t="n"/>
      <c r="J34" s="426" t="n"/>
      <c r="K34" s="426" t="n"/>
      <c r="L34" s="426" t="n"/>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t="n"/>
      <c r="AN34" s="430" t="n"/>
      <c r="AO34" s="430" t="n"/>
      <c r="AP34" s="431" t="n"/>
    </row>
    <row r="35" s="225">
      <c r="A35" s="426" t="n"/>
      <c r="B35" s="426" t="n"/>
      <c r="C35" s="426" t="n"/>
      <c r="D35" s="426" t="n"/>
      <c r="E35" s="426" t="n"/>
      <c r="F35" s="427" t="n"/>
      <c r="G35" s="427" t="n"/>
      <c r="H35" s="427" t="n"/>
      <c r="I35" s="427" t="n"/>
      <c r="J35" s="426" t="n"/>
      <c r="K35" s="426" t="n"/>
      <c r="L35" s="426" t="n"/>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n"/>
    </row>
    <row r="36" s="225">
      <c r="A36" s="426" t="n"/>
      <c r="B36" s="426" t="n"/>
      <c r="C36" s="426" t="n"/>
      <c r="D36" s="426" t="n"/>
      <c r="E36" s="426" t="n"/>
      <c r="F36" s="427" t="n"/>
      <c r="G36" s="427" t="n"/>
      <c r="H36" s="427" t="n"/>
      <c r="I36" s="427" t="n"/>
      <c r="J36" s="426" t="n"/>
      <c r="K36" s="426" t="n"/>
      <c r="L36" s="426" t="n"/>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t="n"/>
      <c r="AN36" s="430" t="n"/>
      <c r="AO36" s="430" t="n"/>
      <c r="AP36" s="431" t="n"/>
    </row>
    <row r="37" s="225">
      <c r="A37" s="426" t="n"/>
      <c r="B37" s="426" t="n"/>
      <c r="C37" s="426" t="n"/>
      <c r="D37" s="426" t="n"/>
      <c r="E37" s="426" t="n"/>
      <c r="F37" s="427" t="n"/>
      <c r="G37" s="427" t="n"/>
      <c r="H37" s="427" t="n"/>
      <c r="I37" s="427" t="n"/>
      <c r="J37" s="426" t="n"/>
      <c r="K37" s="426" t="n"/>
      <c r="L37" s="426" t="n"/>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t="n"/>
      <c r="AN37" s="430" t="n"/>
      <c r="AO37" s="430" t="n"/>
      <c r="AP37" s="431" t="n"/>
    </row>
    <row r="38" s="225">
      <c r="A38" s="426" t="n"/>
      <c r="B38" s="426" t="n"/>
      <c r="C38" s="426" t="n"/>
      <c r="D38" s="426" t="n"/>
      <c r="E38" s="426" t="n"/>
      <c r="F38" s="427" t="n"/>
      <c r="G38" s="427" t="n"/>
      <c r="H38" s="427" t="n"/>
      <c r="I38" s="427" t="n"/>
      <c r="J38" s="426" t="n"/>
      <c r="K38" s="426" t="n"/>
      <c r="L38" s="426" t="n"/>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t="n"/>
      <c r="AN38" s="430" t="n"/>
      <c r="AO38" s="430" t="n"/>
      <c r="AP38" s="431" t="n"/>
    </row>
    <row r="39" s="225">
      <c r="A39" s="426" t="n"/>
      <c r="B39" s="426" t="n"/>
      <c r="C39" s="426" t="n"/>
      <c r="D39" s="426" t="n"/>
      <c r="E39" s="426" t="n"/>
      <c r="F39" s="427" t="n"/>
      <c r="G39" s="427" t="n"/>
      <c r="H39" s="427" t="n"/>
      <c r="I39" s="427" t="n"/>
      <c r="J39" s="426" t="n"/>
      <c r="K39" s="426" t="n"/>
      <c r="L39" s="426" t="n"/>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t="n"/>
      <c r="AN39" s="430" t="n"/>
      <c r="AO39" s="430" t="n"/>
      <c r="AP39" s="431" t="n"/>
    </row>
    <row r="40" s="225">
      <c r="A40" s="426" t="n"/>
      <c r="B40" s="426" t="n"/>
      <c r="C40" s="426" t="n"/>
      <c r="D40" s="426" t="n"/>
      <c r="E40" s="426" t="n"/>
      <c r="F40" s="427" t="n"/>
      <c r="G40" s="427" t="n"/>
      <c r="H40" s="427" t="n"/>
      <c r="I40" s="427" t="n"/>
      <c r="J40" s="426" t="n"/>
      <c r="K40" s="426" t="n"/>
      <c r="L40" s="426" t="n"/>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t="n"/>
      <c r="AN40" s="430" t="n"/>
      <c r="AO40" s="430" t="n"/>
      <c r="AP40" s="431" t="n"/>
    </row>
    <row r="41" s="225">
      <c r="A41" s="426" t="n"/>
      <c r="B41" s="426" t="n"/>
      <c r="C41" s="426" t="n"/>
      <c r="D41" s="426" t="n"/>
      <c r="E41" s="426" t="n"/>
      <c r="F41" s="427" t="n"/>
      <c r="G41" s="427" t="n"/>
      <c r="H41" s="427" t="n"/>
      <c r="I41" s="427" t="n"/>
      <c r="J41" s="426" t="n"/>
      <c r="K41" s="426" t="n"/>
      <c r="L41" s="426" t="n"/>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t="n"/>
      <c r="AN41" s="430" t="n"/>
      <c r="AO41" s="430" t="n"/>
      <c r="AP41" s="431" t="n"/>
    </row>
    <row r="42" s="225">
      <c r="A42" s="426" t="n"/>
      <c r="B42" s="426" t="n"/>
      <c r="C42" s="426" t="n"/>
      <c r="D42" s="426" t="n"/>
      <c r="E42" s="426" t="n"/>
      <c r="F42" s="427" t="n"/>
      <c r="G42" s="427" t="n"/>
      <c r="H42" s="427" t="n"/>
      <c r="I42" s="427"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t="n"/>
      <c r="B43" s="426" t="n"/>
      <c r="C43" s="426" t="n"/>
      <c r="D43" s="426" t="n"/>
      <c r="E43" s="426" t="n"/>
      <c r="F43" s="427" t="n"/>
      <c r="G43" s="427" t="n"/>
      <c r="H43" s="427" t="n"/>
      <c r="I43" s="427" t="n"/>
      <c r="J43" s="426" t="n"/>
      <c r="K43" s="426" t="n"/>
      <c r="L43" s="426" t="n"/>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t="n"/>
      <c r="AN43" s="430" t="n"/>
      <c r="AO43" s="430" t="n"/>
      <c r="AP43" s="431" t="n"/>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AQ95" s="224" t="n"/>
    </row>
    <row r="96" s="225">
      <c r="AQ96" s="224" t="n"/>
    </row>
    <row r="97" s="225">
      <c r="AQ97" s="224" t="n"/>
    </row>
    <row r="98" s="225">
      <c r="AQ98" s="224" t="n"/>
    </row>
    <row r="99" s="225">
      <c r="AQ99" s="224" t="n"/>
    </row>
    <row r="100" s="225">
      <c r="AQ100" s="224" t="n"/>
    </row>
    <row r="101" s="225">
      <c r="AQ101" s="224" t="n"/>
    </row>
    <row r="102" s="225">
      <c r="AQ102" s="224" t="n"/>
    </row>
    <row r="103" s="225">
      <c r="AQ103" s="224" t="n"/>
    </row>
    <row r="104" s="225">
      <c r="AQ104" s="224" t="n"/>
    </row>
    <row r="105" s="225">
      <c r="AQ105" s="224" t="n"/>
    </row>
    <row r="106" s="225">
      <c r="AQ106" s="224" t="n"/>
    </row>
    <row r="107" s="225">
      <c r="AQ107" s="224" t="n"/>
    </row>
    <row r="108" s="225">
      <c r="AQ108" s="224" t="n"/>
    </row>
    <row r="109" s="225">
      <c r="AQ109" s="224" t="n"/>
    </row>
    <row r="110" s="225">
      <c r="AQ110" s="224" t="n"/>
    </row>
    <row r="111" s="225">
      <c r="AQ111" s="224" t="n"/>
    </row>
    <row r="112" s="225">
      <c r="AQ112" s="224" t="n"/>
    </row>
    <row r="113" s="225">
      <c r="AQ113" s="224" t="n"/>
    </row>
    <row r="114" s="225">
      <c r="AQ114" s="224" t="n"/>
    </row>
    <row r="115" s="225">
      <c r="AQ115" s="224" t="n"/>
    </row>
    <row r="116" s="225">
      <c r="AQ116" s="224" t="n"/>
    </row>
    <row r="117" s="225">
      <c r="AQ117" s="224" t="n"/>
    </row>
    <row r="118" s="225">
      <c r="AQ118" s="224" t="n"/>
    </row>
    <row r="119" s="225">
      <c r="AQ119" s="224" t="n"/>
    </row>
    <row r="120" s="225">
      <c r="AQ120" s="224" t="n"/>
    </row>
    <row r="121" s="225">
      <c r="AQ121" s="224" t="n"/>
    </row>
    <row r="122" s="225">
      <c r="AQ122" s="224" t="n"/>
    </row>
    <row r="123" s="225">
      <c r="AQ123" s="224" t="n"/>
    </row>
    <row r="124" s="225">
      <c r="AQ124" s="224" t="n"/>
    </row>
    <row r="125" s="225">
      <c r="AQ125" s="224" t="n"/>
    </row>
    <row r="126" s="225">
      <c r="AQ126" s="224" t="n"/>
    </row>
    <row r="127" s="225">
      <c r="AQ127" s="224" t="n"/>
    </row>
    <row r="128" s="225">
      <c r="AQ128" s="224" t="n"/>
    </row>
    <row r="129" s="225">
      <c r="AQ129" s="224" t="n"/>
    </row>
    <row r="130" s="225">
      <c r="AQ130" s="224" t="n"/>
    </row>
    <row r="131" s="225">
      <c r="AQ131" s="224" t="n"/>
    </row>
    <row r="132" s="225">
      <c r="AQ132" s="224" t="n"/>
    </row>
    <row r="133" s="225">
      <c r="AQ133" s="224" t="n"/>
    </row>
    <row r="134" s="225">
      <c r="AQ134" s="224" t="n"/>
    </row>
    <row r="135" s="225">
      <c r="AQ135" s="224" t="n"/>
    </row>
    <row r="136" s="225">
      <c r="AQ136" s="224" t="n"/>
    </row>
    <row r="137" s="225">
      <c r="AQ137" s="224" t="n"/>
    </row>
    <row r="138" s="225">
      <c r="AQ138" s="224" t="n"/>
    </row>
    <row r="139" s="225">
      <c r="AQ139" s="224" t="n"/>
    </row>
    <row r="140" s="225">
      <c r="AQ140" s="224" t="n"/>
    </row>
    <row r="141" s="225">
      <c r="AQ141" s="224" t="n"/>
    </row>
    <row r="142" s="225">
      <c r="AQ142" s="224" t="n"/>
    </row>
    <row r="143" s="225">
      <c r="AQ143" s="224" t="n"/>
    </row>
    <row r="144" s="225">
      <c r="AQ144" s="224" t="n"/>
    </row>
    <row r="145" s="225">
      <c r="AQ145" s="224" t="n"/>
    </row>
    <row r="146" s="225">
      <c r="AQ146" s="224" t="n"/>
    </row>
    <row r="147" s="225">
      <c r="AQ147" s="224" t="n"/>
    </row>
    <row r="148" s="225">
      <c r="AQ148" s="224" t="n"/>
    </row>
    <row r="149" s="225">
      <c r="AQ149" s="224" t="n"/>
    </row>
    <row r="150" s="225">
      <c r="AQ150" s="224" t="n"/>
    </row>
    <row r="151" s="225">
      <c r="AQ151" s="224" t="n"/>
    </row>
    <row r="152" s="225">
      <c r="AQ152" s="224" t="n"/>
    </row>
    <row r="153" s="225">
      <c r="AQ153" s="224" t="n"/>
    </row>
    <row r="154" s="225">
      <c r="AQ154" s="224" t="n"/>
    </row>
    <row r="155" s="225">
      <c r="AQ155" s="224" t="n"/>
    </row>
    <row r="156" s="225">
      <c r="AQ156" s="224" t="n"/>
    </row>
    <row r="157" s="225">
      <c r="AQ157" s="224" t="n"/>
    </row>
    <row r="158" s="225">
      <c r="AQ158" s="224" t="n"/>
    </row>
    <row r="159" s="225">
      <c r="AQ159" s="224" t="n"/>
    </row>
    <row r="160" s="225">
      <c r="AQ160" s="224" t="n"/>
    </row>
    <row r="161" s="225">
      <c r="AQ161" s="224" t="n"/>
    </row>
    <row r="162" s="225">
      <c r="AQ162" s="224" t="n"/>
    </row>
    <row r="163" s="225">
      <c r="AQ163" s="224" t="n"/>
    </row>
    <row r="164" s="225">
      <c r="AQ164" s="224" t="n"/>
    </row>
    <row r="165" s="225">
      <c r="AQ165" s="224" t="n"/>
    </row>
    <row r="166" s="225">
      <c r="AQ166" s="224" t="n"/>
    </row>
    <row r="167" s="225">
      <c r="AQ167" s="224" t="n"/>
    </row>
    <row r="168" s="225">
      <c r="AQ168" s="224" t="n"/>
    </row>
    <row r="169" s="225">
      <c r="AQ169" s="224" t="n"/>
    </row>
    <row r="170" s="225">
      <c r="AQ170" s="224" t="n"/>
    </row>
    <row r="171" s="225">
      <c r="AQ171" s="224" t="n"/>
    </row>
    <row r="172" s="225">
      <c r="AQ172" s="224" t="n"/>
    </row>
    <row r="173" s="225">
      <c r="AQ173" s="224" t="n"/>
    </row>
    <row r="174" s="225">
      <c r="AQ174" s="224" t="n"/>
    </row>
    <row r="175" s="225">
      <c r="AQ175" s="224" t="n"/>
    </row>
    <row r="176" s="225">
      <c r="AQ176" s="224" t="n"/>
    </row>
    <row r="177" s="225">
      <c r="AQ177" s="224" t="n"/>
    </row>
    <row r="178" s="225">
      <c r="AQ178" s="224" t="n"/>
    </row>
    <row r="179" s="225">
      <c r="AQ179" s="224" t="n"/>
    </row>
    <row r="180" s="225">
      <c r="AQ180" s="224" t="n"/>
    </row>
    <row r="181" s="225">
      <c r="AQ181" s="224" t="n"/>
    </row>
    <row r="182" s="225">
      <c r="AQ182" s="224" t="n"/>
    </row>
    <row r="183" s="225">
      <c r="AQ183" s="224" t="n"/>
    </row>
    <row r="184" s="225">
      <c r="AQ184" s="224" t="n"/>
    </row>
    <row r="185" s="225">
      <c r="AQ185" s="224" t="n"/>
    </row>
    <row r="186" s="225">
      <c r="AQ186" s="224" t="n"/>
    </row>
    <row r="187" s="225">
      <c r="AQ187" s="224" t="n"/>
    </row>
    <row r="188" s="225">
      <c r="AQ188" s="224" t="n"/>
    </row>
    <row r="189" s="225">
      <c r="AQ189" s="224" t="n"/>
    </row>
    <row r="190" s="225">
      <c r="AQ190" s="224" t="n"/>
    </row>
    <row r="191" s="225">
      <c r="AQ191" s="224" t="n"/>
    </row>
    <row r="192" s="225">
      <c r="AQ192" s="224" t="n"/>
    </row>
    <row r="193" s="225">
      <c r="AQ193" s="224" t="n"/>
    </row>
    <row r="194" s="225">
      <c r="AQ194" s="224" t="n"/>
    </row>
    <row r="195" s="225">
      <c r="AQ195" s="224" t="n"/>
    </row>
    <row r="196" s="225">
      <c r="AQ196" s="224" t="n"/>
    </row>
    <row r="197" s="225">
      <c r="AQ197" s="224" t="n"/>
    </row>
    <row r="198" s="225">
      <c r="AQ198" s="224" t="n"/>
    </row>
    <row r="199" s="225">
      <c r="AQ199" s="224" t="n"/>
    </row>
    <row r="200" s="225">
      <c r="AQ200" s="224" t="n"/>
    </row>
    <row r="201" s="225">
      <c r="AQ201" s="224" t="n"/>
    </row>
    <row r="202" s="225">
      <c r="AQ202" s="224" t="n"/>
    </row>
    <row r="203" s="225">
      <c r="AQ203" s="224" t="n"/>
    </row>
    <row r="204" s="225">
      <c r="AQ204" s="224" t="n"/>
    </row>
    <row r="205" s="225">
      <c r="AQ205" s="224" t="n"/>
    </row>
    <row r="206" s="225">
      <c r="AQ206" s="224" t="n"/>
    </row>
    <row r="207" s="225">
      <c r="AQ207" s="224" t="n"/>
    </row>
    <row r="208" s="225">
      <c r="AQ208" s="224" t="n"/>
    </row>
    <row r="209" s="225">
      <c r="AQ209" s="224" t="n"/>
    </row>
    <row r="210" s="225">
      <c r="AQ210" s="224" t="n"/>
    </row>
    <row r="211" s="225">
      <c r="AQ211" s="224" t="n"/>
    </row>
    <row r="212" s="225">
      <c r="AQ212" s="224" t="n"/>
    </row>
    <row r="213" s="225">
      <c r="AQ213" s="224" t="n"/>
    </row>
    <row r="214" s="225">
      <c r="AQ214" s="224" t="n"/>
    </row>
    <row r="215" s="225">
      <c r="AQ215" s="224" t="n"/>
    </row>
    <row r="216" s="225">
      <c r="AQ216" s="224" t="n"/>
    </row>
    <row r="217" s="225">
      <c r="AQ217" s="224" t="n"/>
    </row>
    <row r="218" s="225">
      <c r="AQ218" s="224" t="n"/>
    </row>
    <row r="219" s="225">
      <c r="AQ219" s="224" t="n"/>
    </row>
    <row r="220" s="225">
      <c r="AQ220" s="224" t="n"/>
    </row>
    <row r="221" s="225">
      <c r="AQ221" s="224" t="n"/>
    </row>
    <row r="222" s="225">
      <c r="AQ222" s="224" t="n"/>
    </row>
    <row r="223" s="225"/>
    <row r="224" s="225"/>
    <row r="225" s="225"/>
    <row r="226" s="225"/>
    <row r="227" s="225"/>
    <row r="228" s="225"/>
    <row r="229" s="225"/>
    <row r="230" s="225"/>
    <row r="231" s="225"/>
    <row r="232" s="225"/>
    <row r="233" s="225"/>
    <row r="234" s="225"/>
    <row r="235" s="225"/>
    <row r="236" s="225"/>
    <row r="237" s="225"/>
    <row r="238" s="225"/>
    <row r="239" s="225"/>
    <row r="240" s="225"/>
    <row r="241" s="225"/>
    <row r="242" s="225"/>
    <row r="243" s="225"/>
    <row r="244" s="225"/>
    <row r="245" s="225"/>
    <row r="246" s="225"/>
    <row r="247" s="225"/>
    <row r="248" s="225"/>
    <row r="249" s="225"/>
    <row r="250" s="225"/>
    <row r="251" s="225"/>
    <row r="252" s="225"/>
    <row r="253" s="225"/>
    <row r="254" s="225"/>
    <row r="255" s="225"/>
    <row r="256" s="225"/>
    <row r="257" s="225"/>
    <row r="258" s="225"/>
    <row r="259" s="225"/>
    <row r="260" s="225"/>
    <row r="261" s="225"/>
    <row r="262" s="225"/>
    <row r="263" s="225"/>
    <row r="264" s="225"/>
    <row r="265" s="225"/>
    <row r="266" s="225"/>
    <row r="267" s="225"/>
    <row r="268" s="225"/>
    <row r="269" s="225"/>
    <row r="270" s="225"/>
    <row r="271" s="225"/>
    <row r="272" s="225"/>
    <row r="273" s="225"/>
    <row r="274" s="225"/>
    <row r="275" s="225"/>
    <row r="276" s="225"/>
    <row r="277" s="225"/>
    <row r="278" s="225"/>
    <row r="279" s="225"/>
    <row r="280" s="225"/>
    <row r="281" s="225"/>
    <row r="282" s="225"/>
    <row r="283" s="225"/>
    <row r="284" s="225"/>
    <row r="285" s="225"/>
    <row r="286" s="225"/>
    <row r="287" s="225"/>
    <row r="288" s="225"/>
    <row r="289" s="225"/>
    <row r="290" s="225"/>
    <row r="291" s="225"/>
    <row r="292" s="225"/>
    <row r="293" s="225"/>
    <row r="294" s="225"/>
    <row r="295" s="225"/>
    <row r="296" s="225"/>
    <row r="297" s="225"/>
    <row r="298" s="225"/>
    <row r="299" s="225"/>
    <row r="300" s="225"/>
    <row r="301" s="225"/>
    <row r="302" s="225"/>
    <row r="303" s="225"/>
    <row r="304" s="225"/>
    <row r="305" s="225"/>
    <row r="306" s="225"/>
    <row r="307" s="225"/>
    <row r="308" s="225"/>
    <row r="309" s="225"/>
    <row r="310" s="225"/>
    <row r="311" s="225"/>
    <row r="312" s="225"/>
    <row r="313" s="225"/>
    <row r="314" s="225"/>
    <row r="315" s="225"/>
    <row r="316" s="225"/>
    <row r="317" s="225"/>
    <row r="318" s="225"/>
    <row r="319" s="225"/>
    <row r="320" s="225"/>
    <row r="321" s="225"/>
    <row r="322" s="225"/>
    <row r="323" s="225"/>
    <row r="324" s="225"/>
    <row r="325" s="225"/>
    <row r="326" s="225"/>
    <row r="327" s="225"/>
    <row r="328" s="225"/>
    <row r="329" s="225"/>
    <row r="330" s="225"/>
    <row r="331" s="225"/>
    <row r="332" s="225"/>
    <row r="333" s="225"/>
    <row r="334" s="225"/>
    <row r="335" s="225"/>
    <row r="336" s="225"/>
    <row r="337" s="225"/>
    <row r="338" s="225"/>
    <row r="339" s="225"/>
    <row r="340" s="225"/>
    <row r="341" s="225"/>
    <row r="342" s="225"/>
    <row r="343" s="225"/>
    <row r="344" s="225"/>
    <row r="345" s="225"/>
    <row r="346" s="225"/>
    <row r="347" s="225"/>
    <row r="348" s="225"/>
    <row r="349" s="225"/>
    <row r="350" s="225"/>
    <row r="351" s="225"/>
    <row r="352" s="225"/>
    <row r="353" s="225"/>
    <row r="354" s="225"/>
    <row r="355" s="225"/>
    <row r="356" s="225"/>
    <row r="357" s="225"/>
    <row r="358" s="225"/>
    <row r="359" s="225"/>
    <row r="360" s="225"/>
    <row r="361" s="225"/>
    <row r="362" s="225"/>
    <row r="363" s="225"/>
    <row r="364" s="225"/>
    <row r="365" s="225"/>
    <row r="366" s="225"/>
    <row r="367" s="225"/>
    <row r="368" s="225"/>
    <row r="369" s="225"/>
    <row r="370" s="225"/>
    <row r="371" s="225"/>
    <row r="372" s="225"/>
    <row r="373" s="225"/>
    <row r="374" s="225"/>
    <row r="375" s="225"/>
    <row r="376" s="225"/>
    <row r="377" s="225"/>
    <row r="378" s="225"/>
    <row r="379" s="225"/>
    <row r="380" s="225"/>
    <row r="381" s="225"/>
    <row r="382" s="225"/>
    <row r="383" s="225"/>
    <row r="384" s="225"/>
    <row r="385" s="225"/>
    <row r="386" s="225"/>
    <row r="387" s="225"/>
    <row r="388" s="225"/>
    <row r="389" s="225"/>
    <row r="390" s="225"/>
    <row r="391" s="225"/>
    <row r="392" s="225"/>
    <row r="393" s="225"/>
    <row r="394" s="225"/>
    <row r="395" s="225"/>
    <row r="396" s="225"/>
    <row r="397" s="225"/>
    <row r="398" s="225"/>
    <row r="399" s="225"/>
    <row r="400" s="225"/>
    <row r="401" s="225"/>
    <row r="402" s="225"/>
    <row r="403" s="225"/>
    <row r="404" s="225"/>
    <row r="405" s="225"/>
    <row r="406" s="225"/>
    <row r="407" s="225"/>
    <row r="408" s="225"/>
    <row r="409" s="225"/>
    <row r="410" s="225"/>
    <row r="411" s="225"/>
    <row r="412" s="225"/>
    <row r="413" s="225"/>
    <row r="414" s="225"/>
    <row r="415" s="225"/>
    <row r="416" s="225"/>
    <row r="417" s="225"/>
    <row r="418" s="225"/>
    <row r="419" s="225"/>
    <row r="420" s="225"/>
    <row r="421" s="225"/>
    <row r="422" s="225"/>
    <row r="423" s="225"/>
    <row r="424" s="225"/>
    <row r="425" s="225"/>
    <row r="426" s="225"/>
    <row r="427" s="225"/>
    <row r="428" s="225"/>
    <row r="429" s="225"/>
    <row r="430" s="225"/>
    <row r="431" s="225"/>
    <row r="432" s="225"/>
    <row r="433" s="225"/>
    <row r="434" s="225"/>
    <row r="435" s="225"/>
    <row r="436" s="225"/>
    <row r="437" s="225"/>
    <row r="438" s="225"/>
    <row r="439" s="225"/>
    <row r="440" s="225"/>
    <row r="441" s="225"/>
    <row r="442" s="225"/>
    <row r="443" s="225"/>
    <row r="444" s="225"/>
    <row r="445" s="225"/>
    <row r="446" s="225"/>
    <row r="447" s="225"/>
    <row r="448" s="225"/>
    <row r="449" s="225"/>
    <row r="450" s="225"/>
    <row r="451" s="225"/>
    <row r="452" s="225"/>
    <row r="453" s="225"/>
    <row r="454" s="225"/>
    <row r="455" s="225"/>
    <row r="456" s="225"/>
    <row r="457" s="225"/>
    <row r="458" s="225"/>
    <row r="459" s="225"/>
    <row r="460" s="225"/>
    <row r="461" s="225"/>
    <row r="462" s="225"/>
    <row r="463" s="225"/>
    <row r="464" s="225"/>
    <row r="465" s="225"/>
    <row r="466" s="225"/>
    <row r="467" s="225"/>
    <row r="468" s="225"/>
    <row r="469" s="225"/>
    <row r="470" s="225"/>
    <row r="471" s="225"/>
    <row r="472" s="225"/>
    <row r="473" s="225"/>
    <row r="474" s="225"/>
    <row r="475" s="225"/>
    <row r="476" s="225"/>
    <row r="477" s="225"/>
    <row r="478" s="225"/>
    <row r="479" s="225"/>
    <row r="480" s="225"/>
    <row r="481" s="225"/>
    <row r="482" s="225"/>
    <row r="483" s="225"/>
    <row r="484" s="225"/>
    <row r="485" s="225"/>
    <row r="486" s="225"/>
    <row r="487" s="225"/>
    <row r="488" s="225"/>
    <row r="489" s="225"/>
    <row r="490" s="225"/>
    <row r="491" s="225"/>
    <row r="492" s="225"/>
    <row r="493" s="225"/>
    <row r="494" s="225"/>
    <row r="495" s="225"/>
    <row r="496" s="225"/>
    <row r="497" s="225"/>
    <row r="498" s="225"/>
    <row r="499" s="225"/>
    <row r="500" s="225"/>
    <row r="501" s="225"/>
    <row r="502"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5">
    <mergeCell ref="A7:I7"/>
    <mergeCell ref="B22:I22"/>
    <mergeCell ref="AH5:AL5"/>
    <mergeCell ref="C2:E2"/>
    <mergeCell ref="A5:C5"/>
    <mergeCell ref="B11:I11"/>
    <mergeCell ref="AC5:AG5"/>
    <mergeCell ref="J5:M5"/>
    <mergeCell ref="A3:B3"/>
    <mergeCell ref="G3:H3"/>
    <mergeCell ref="B8:I8"/>
    <mergeCell ref="N5:R5"/>
    <mergeCell ref="I3:J3"/>
    <mergeCell ref="B17:I17"/>
    <mergeCell ref="A2:B2"/>
    <mergeCell ref="D5:I5"/>
    <mergeCell ref="C3:E3"/>
    <mergeCell ref="X5:AB5"/>
    <mergeCell ref="A4:B4"/>
    <mergeCell ref="G4:H4"/>
    <mergeCell ref="I4:J4"/>
    <mergeCell ref="AM5:AP5"/>
    <mergeCell ref="B20:I20"/>
    <mergeCell ref="S5:W5"/>
    <mergeCell ref="C4:E4"/>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1"/>
  </sheetPr>
  <dimension ref="A1:AQ222"/>
  <sheetViews>
    <sheetView showFormulas="0" showGridLines="1" showRowColHeaders="1" showZeros="1" rightToLeft="0" tabSelected="0" showOutlineSymbols="1" defaultGridColor="1" view="normal" topLeftCell="A1" colorId="64" zoomScale="100" zoomScaleNormal="100" zoomScalePageLayoutView="100" workbookViewId="0">
      <pane xSplit="1" ySplit="24" topLeftCell="B2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activeCellId="0"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TC_03</t>
        </is>
      </c>
      <c r="D2" s="233" t="n"/>
      <c r="E2" s="231" t="n"/>
    </row>
    <row r="3" ht="15" customHeight="1" s="225">
      <c r="A3" s="414" t="inlineStr">
        <is>
          <t>Tên chức năng</t>
        </is>
      </c>
      <c r="B3" s="231" t="n"/>
      <c r="C3" s="415" t="inlineStr">
        <is>
          <t>Thông báo</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15" customHeight="1" s="225">
      <c r="A7" s="423" t="inlineStr">
        <is>
          <t>Thông báo</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57.45" customHeight="1" s="225">
      <c r="A8" s="426">
        <f>IF(C8="","",$C$2&amp;"."&amp;COUNTA($C$8:C8)&amp;"")</f>
        <v/>
      </c>
      <c r="B8" s="426" t="inlineStr">
        <is>
          <t>REQ-ASN-005</t>
        </is>
      </c>
      <c r="C8" s="426" t="inlineStr">
        <is>
          <t>DOC-v1.0-01 (OPR-01), BA xác nhận qua chat 2026-07-29</t>
        </is>
      </c>
      <c r="D8" s="426" t="inlineStr">
        <is>
          <t>Functional</t>
        </is>
      </c>
      <c r="E8" s="426" t="inlineStr">
        <is>
          <t>Medium</t>
        </is>
      </c>
      <c r="F8" s="427" t="inlineStr">
        <is>
          <t>Check Carrier nhận đủ thông báo khi số tin phù hợp CHƯA đạt trần 5 (cho 1 tin OFFER vừa đăng)</t>
        </is>
      </c>
      <c r="G8" s="427" t="inlineStr">
        <is>
          <t>Carrier vừa đăng 1 tin OFFER 'Tôi nhận giao hàng'; hệ thống quét khớp cho tin này tìm thấy 3 tin NEED phù hợp tuyến (N=3, chưa đạt trần 5)</t>
        </is>
      </c>
      <c r="H8" s="427" t="inlineStr">
        <is>
          <t>1. Đăng tin OFFER (theo Pre-condition)
2. Hệ thống chạy vòng quét khớp cho tin OFFER vừa đăng, tìm thấy 3 tin NEED phù hợp
3. Đăng nhập tài khoản Carrier, mở màn Thông báo</t>
        </is>
      </c>
      <c r="I8" s="427" t="inlineStr">
        <is>
          <t>3. Carrier nhận đủ 3 thông báo (1 thông báo/1 tin NEED phù hợp) — chưa đạt trần 5 nên không bị cắt bớt</t>
        </is>
      </c>
      <c r="J8" s="426" t="inlineStr">
        <is>
          <t>AI</t>
        </is>
      </c>
      <c r="K8" s="426" t="inlineStr">
        <is>
          <t>Pending</t>
        </is>
      </c>
      <c r="L8" s="426" t="inlineStr">
        <is>
          <t>No</t>
        </is>
      </c>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f>IF($A8="","",IF(OR($N8="Yes",$S8="Yes",$X8="Yes",$AC8="Yes",$AH8="Yes"),"Yes","No"))</f>
        <v/>
      </c>
      <c r="AN8" s="430">
        <f>IF($A8="","",IFERROR(IF($AI8&lt;&gt;"",$AI8,IF($AD8&lt;&gt;"",$AD8,IF($Y8&lt;&gt;"",$Y8,IF($T8&lt;&gt;"",$T8,IF($O8&lt;&gt;"",$O8,""))))),""))</f>
        <v/>
      </c>
      <c r="AO8" s="430">
        <f>IFERROR(IF($AJ8&lt;&gt;"",$AJ8,IF($AE8&lt;&gt;"",$AE8,IF($Z8&lt;&gt;"",$Z8,IF($U8&lt;&gt;"",$U8,IF($P8&lt;&gt;"",$P8,""))))),"")</f>
        <v/>
      </c>
      <c r="AP8" s="431" t="inlineStr">
        <is>
          <t>Technique: BVA-min-1 (dưới ngưỡng: 3 tin phù hợp / trần 5) | Trần 5 thông báo cho MỖI tin OFFER — OPR-01 / REQ-ASN-005 / SC-ASN-013, BA xác nhận qua chat 2026-07-29 (KHÔNG có ngưỡng theo ngày; SC-NTF-006 đã DEPRECATED). Test data 3/5/6 tin là giá trị chốt, không còn là mock</t>
        </is>
      </c>
    </row>
    <row r="9" ht="57.45" customHeight="1" s="225">
      <c r="A9" s="426">
        <f>IF(C9="","",$C$2&amp;"."&amp;COUNTA($C$8:C9)&amp;"")</f>
        <v/>
      </c>
      <c r="B9" s="426" t="inlineStr">
        <is>
          <t>REQ-ASN-005</t>
        </is>
      </c>
      <c r="C9" s="426" t="inlineStr">
        <is>
          <t>DOC-v1.0-01 (OPR-01), BA xác nhận qua chat 2026-07-29</t>
        </is>
      </c>
      <c r="D9" s="426" t="inlineStr">
        <is>
          <t>Functional</t>
        </is>
      </c>
      <c r="E9" s="426" t="inlineStr">
        <is>
          <t>Medium</t>
        </is>
      </c>
      <c r="F9" s="427" t="inlineStr">
        <is>
          <t>Check Carrier nhận đủ 5 thông báo khi số tin phù hợp ĐÚNG BẰNG trần 5 (cho 1 tin OFFER vừa đăng)</t>
        </is>
      </c>
      <c r="G9" s="427" t="inlineStr">
        <is>
          <t>Carrier vừa đăng 1 tin OFFER 'Tôi nhận giao hàng'; hệ thống quét khớp cho tin này tìm thấy ĐÚNG 5 tin NEED phù hợp tuyến</t>
        </is>
      </c>
      <c r="H9" s="427" t="inlineStr">
        <is>
          <t>1. Đăng tin OFFER (theo Pre-condition)
2. Hệ thống chạy vòng quét khớp cho tin OFFER vừa đăng, tìm thấy 5 tin NEED phù hợp
3. Đăng nhập tài khoản Carrier, mở màn Thông báo</t>
        </is>
      </c>
      <c r="I9" s="427" t="inlineStr">
        <is>
          <t>3. Carrier nhận đủ 5 thông báo (1 thông báo/1 tin NEED phù hợp) — đúng bằng trần, chưa cần cắt bớt</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Technique: BVA-max (đúng tại ngưỡng: 5 tin phù hợp / trần 5) | Trần 5 thông báo cho MỖI tin OFFER — OPR-01 / REQ-ASN-005 / SC-ASN-013, BA xác nhận qua chat 2026-07-29. Test data là giá trị chốt, không còn là mock</t>
        </is>
      </c>
    </row>
    <row r="10" ht="180.55" customHeight="1" s="225">
      <c r="A10" s="426">
        <f>IF(C10="","",$C$2&amp;"."&amp;COUNTA($C$8:C10)&amp;"")</f>
        <v/>
      </c>
      <c r="B10" s="426" t="inlineStr">
        <is>
          <t>REQ-ASN-005</t>
        </is>
      </c>
      <c r="C10" s="426" t="inlineStr">
        <is>
          <t>DOC-v1.0-01 (OPR-01), BA xác nhận qua chat 2026-07-29</t>
        </is>
      </c>
      <c r="D10" s="426" t="inlineStr">
        <is>
          <t>Functional</t>
        </is>
      </c>
      <c r="E10" s="426" t="inlineStr">
        <is>
          <t>Medium</t>
        </is>
      </c>
      <c r="F10" s="427" t="inlineStr">
        <is>
          <t>Check Carrier chỉ nhận tối đa 5 thông báo khi số tin phù hợp VƯỢT trần 5 — trần tính RIÊNG theo từng tin, KHÔNG theo ngày</t>
        </is>
      </c>
      <c r="G10" s="427" t="inlineStr">
        <is>
          <t>Carrier vừa đăng 1 tin OFFER 'Tôi nhận giao hàng'; hệ thống quét khớp cho tin này tìm thấy 7 tin NEED phù hợp tuyến (vượt trần 5)</t>
        </is>
      </c>
      <c r="H10" s="427" t="inlineStr">
        <is>
          <t>1. Đăng tin OFFER (theo Pre-condition)
2. Hệ thống chạy vòng quét khớp cho tin OFFER vừa đăng, tìm thấy 7 tin NEED phù hợp
3. Đăng nhập tài khoản Carrier, mở màn Thông báo, đếm số thông báo mới nhận được cho lượt đăng tin này</t>
        </is>
      </c>
      <c r="I10" s="427" t="inlineStr">
        <is>
          <t>3. Carrier CHỈ nhận tối đa 5 thông báo (ưu tiên tin mới &amp; gần tuyến nhất theo OPR-04) — 2 tin phù hợp còn lại KHÔNG có thông báo riêng cho lượt này.
Lưu ý (BA xác nhận 2026-07-29): trần 5 áp dụng RIÊNG cho MỖI tin OFFER được đăng — KHÔNG có ngưỡng cộng dồn theo ngày. Nếu Carrier tiếp tục đăng thêm tin OFFER khác trong CÙNG ngày (mỗi tin đều có ≥5 tin NEED phù hợp), mỗi lượt đăng vẫn tiếp tục nhận tối đa 5 thông báo mới, không bị chặn bởi số đã nhận từ tin trước đó — vd đăng 5 tin OFFER, mỗi tin ≥5 match → tối đa 25 thông báo trong ngày, không có mốc chặn theo ngày.</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Technique: BVA-max+1 (vượt ngưỡng: 6 tin phù hợp / trần 5) | Trần 5 thông báo cho MỖI tin OFFER — OPR-01 / REQ-ASN-005 / SC-ASN-013, BA xác nhận qua chat 2026-07-29. Ngưỡng đã CHỐT, không còn Open; test data 6 tin là giá trị chốt, không phải mock</t>
        </is>
      </c>
    </row>
    <row r="11" ht="15" customHeight="1" s="225">
      <c r="A11" s="426" t="n"/>
      <c r="B11" s="432" t="inlineStr">
        <is>
          <t>Block Nội dung theo sự kiện</t>
        </is>
      </c>
      <c r="C11" s="233" t="n"/>
      <c r="D11" s="233" t="n"/>
      <c r="E11" s="233" t="n"/>
      <c r="F11" s="233" t="n"/>
      <c r="G11" s="233" t="n"/>
      <c r="H11" s="233" t="n"/>
      <c r="I11" s="231" t="n"/>
      <c r="J11" s="426" t="n"/>
      <c r="K11" s="426" t="n"/>
      <c r="L11" s="426" t="n"/>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t="n"/>
      <c r="AN11" s="430" t="n"/>
      <c r="AO11" s="430" t="n"/>
      <c r="AP11" s="431" t="n"/>
    </row>
    <row r="12" ht="68.65000000000001" customHeight="1" s="225">
      <c r="A12" s="426">
        <f>IF(C12="","",$C$2&amp;"."&amp;COUNTA($C$8:C12)&amp;"")</f>
        <v/>
      </c>
      <c r="B12" s="426" t="inlineStr">
        <is>
          <t>REQ-NTF-001</t>
        </is>
      </c>
      <c r="C12" s="426" t="inlineStr">
        <is>
          <t>DOC-v1.0-01</t>
        </is>
      </c>
      <c r="D12" s="426" t="inlineStr">
        <is>
          <t>Functional</t>
        </is>
      </c>
      <c r="E12" s="426" t="inlineStr">
        <is>
          <t>Medium</t>
        </is>
      </c>
      <c r="F12" s="427" t="inlineStr">
        <is>
          <t>Check Sender nhận đúng thông báo khi có người ghép ngay ("Tôi mang giúp được")</t>
        </is>
      </c>
      <c r="G12" s="427" t="inlineStr">
        <is>
          <t>Sender (Đồng Công Chí Linh) đã đăng tin NEED đang ở trạng thái POSTED, chưa có ai nhận</t>
        </is>
      </c>
      <c r="H12" s="427" t="inlineStr">
        <is>
          <t>1. Carrier (Trần Thị Lan) mở tin NEED của Sender, bấm "Tôi mang giúp được"
2. Hệ thống ghép ngay (MATCHED), SĐT 2 bên được lộ
3. Đăng nhập tài khoản Sender, mở màn Thông báo (icon chuông ở Header)</t>
        </is>
      </c>
      <c r="I12" s="427" t="inlineStr">
        <is>
          <t>3. Sender nhận 1 thông báo mới, nội dung "Đã có người nhận mang giúp đơn của bạn — SĐT đã được lộ để liên hệ"</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Technique: EP-Sender (actor-partition trong SC-NTF-001, 1/2 giá trị)</t>
        </is>
      </c>
    </row>
    <row r="13" ht="102.2" customHeight="1" s="225">
      <c r="A13" s="426">
        <f>IF(C13="","",$C$2&amp;"."&amp;COUNTA($C$8:C13)&amp;"")</f>
        <v/>
      </c>
      <c r="B13" s="426" t="inlineStr">
        <is>
          <t>REQ-NTF-001</t>
        </is>
      </c>
      <c r="C13" s="426" t="inlineStr">
        <is>
          <t>DOC-v1.0-04</t>
        </is>
      </c>
      <c r="D13" s="426" t="inlineStr">
        <is>
          <t>Functional</t>
        </is>
      </c>
      <c r="E13" s="426" t="inlineStr">
        <is>
          <t>Medium</t>
        </is>
      </c>
      <c r="F13" s="427" t="inlineStr">
        <is>
          <t>Check Receiver nhận đúng thông báo khi đơn được ghép (MATCHED)</t>
        </is>
      </c>
      <c r="G13" s="427" t="inlineStr">
        <is>
          <t>Receiver có đơn NEED (Sender gửi tới) đang chờ ghép, chưa có Carrier nhận</t>
        </is>
      </c>
      <c r="H13" s="427" t="inlineStr">
        <is>
          <t>1. Carrier (Trần Thị Lan) bấm "Tôi mang giúp được" cho đơn của Receiver → hệ thống ghép ngay (MATCHED)
2. Đăng nhập tài khoản Receiver, mở màn Thông báo</t>
        </is>
      </c>
      <c r="I13" s="427" t="inlineStr">
        <is>
          <t>2. Receiver nhận 1 thông báo mới, title "Ghép thành công — SĐT đã được lộ", nội dung "Bạn và Trần Thị Lan đã được kết nối. Liên hệ để sắp xếp lấy hàng/giao nhận." (tối thiểu phải khớp phần "Bạn và [tên Carrier] đã được kết nối")</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EP-Receiver (actor-partition trong SC-NTF-001, 2/2 giá trị) | Text gốc Figma (DOC-v1.0-04) có nghi vấn lỗi chính tả ".ép" ở cuối câu — xem MEMORY.md §4.1 REQ-NTF-001 Source Quote #2, cần verify với design</t>
        </is>
      </c>
    </row>
    <row r="14" ht="68.65000000000001" customHeight="1" s="225">
      <c r="A14" s="426">
        <f>IF(C14="","",$C$2&amp;"."&amp;COUNTA($C$8:C14)&amp;"")</f>
        <v/>
      </c>
      <c r="B14" s="426" t="inlineStr">
        <is>
          <t>REQ-NTF-001</t>
        </is>
      </c>
      <c r="C14" s="426" t="inlineStr">
        <is>
          <t>DOC-v1.0-04</t>
        </is>
      </c>
      <c r="D14" s="426" t="inlineStr">
        <is>
          <t>Functional</t>
        </is>
      </c>
      <c r="E14" s="426" t="inlineStr">
        <is>
          <t>Medium</t>
        </is>
      </c>
      <c r="F14" s="427" t="inlineStr">
        <is>
          <t>Check Carrier nhận đúng thông báo khi hệ thống khớp tuyến OFFER với tin NEED</t>
        </is>
      </c>
      <c r="G14" s="427" t="inlineStr">
        <is>
          <t>Carrier đã đăng tuyến OFFER; có 1 tin NEED trùng địa chỉ giao + khung giờ phù hợp vừa được đăng (C-NTF-02)</t>
        </is>
      </c>
      <c r="H14" s="427" t="inlineStr">
        <is>
          <t>1. Sender đăng tin NEED trùng địa chỉ giao + khung giờ với tuyến OFFER của Carrier
2. Hệ thống tự động quét khớp tuyến
3. Đăng nhập tài khoản Carrier, mở màn Thông báo</t>
        </is>
      </c>
      <c r="I14" s="427" t="inlineStr">
        <is>
          <t>3. Carrier nhận 1 thông báo mới, title "Tìm thấy đơn hàng phù hợp tuyến của bạn", nội dung "Có người cần gửi "[tên hàng] · [tuyến]" trùng tuyến bạn đã đăng. Xem chi tiết để nhận giao."</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N/A — 0-dim trong phạm vi SC này (chỉ 1 case; case phủ định "không khớp" đã có SC-ASN-009 ở module ASN, không lặp lại ở đây)</t>
        </is>
      </c>
    </row>
    <row r="15" ht="82.05" customHeight="1" s="225">
      <c r="A15" s="426">
        <f>IF(C15="","",$C$2&amp;"."&amp;COUNTA($C$8:C15)&amp;"")</f>
        <v/>
      </c>
      <c r="B15" s="426" t="inlineStr">
        <is>
          <t>REQ-NTF-001</t>
        </is>
      </c>
      <c r="C15" s="426" t="inlineStr">
        <is>
          <t>DOC-v1.0-01</t>
        </is>
      </c>
      <c r="D15" s="426" t="inlineStr">
        <is>
          <t>Functional</t>
        </is>
      </c>
      <c r="E15" s="426" t="inlineStr">
        <is>
          <t>Medium</t>
        </is>
      </c>
      <c r="F15" s="427" t="inlineStr">
        <is>
          <t>Check Sender và Receiver nhận đúng thông báo khi Carrier xác nhận đã lấy hàng</t>
        </is>
      </c>
      <c r="G15" s="427" t="inlineStr">
        <is>
          <t>Đơn đã ở trạng thái MATCHED (đã ghép Carrier)</t>
        </is>
      </c>
      <c r="H15" s="427" t="inlineStr">
        <is>
          <t>1. Carrier bấm "Tôi đã lấy hàng" → đơn chuyển IN_TRANSIT
2. Đăng nhập tài khoản Sender, mở màn Thông báo
3. Đăng nhập tài khoản Receiver, mở màn Thông báo</t>
        </is>
      </c>
      <c r="I15" s="427" t="inlineStr">
        <is>
          <t>2. Sender nhận thông báo "Người vận chuyển đã lấy hàng và bắt đầu giao"
3. Receiver nhận thông báo "Người vận chuyển đã lấy hàng và bắt đầu giao"</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inlineStr">
        <is>
          <t>Technique: ST-MATCHED-IN_TRANSIT (valid transition, 1/3)</t>
        </is>
      </c>
    </row>
    <row r="16" ht="57.45" customHeight="1" s="225">
      <c r="A16" s="426">
        <f>IF(C16="","",$C$2&amp;"."&amp;COUNTA($C$8:C16)&amp;"")</f>
        <v/>
      </c>
      <c r="B16" s="426" t="inlineStr">
        <is>
          <t>REQ-NTF-001</t>
        </is>
      </c>
      <c r="C16" s="426" t="inlineStr">
        <is>
          <t>DOC-v1.0-01 §D1b (US-D09) + §D6 (NTF)</t>
        </is>
      </c>
      <c r="D16" s="426" t="inlineStr">
        <is>
          <t>Functional</t>
        </is>
      </c>
      <c r="E16" s="426" t="inlineStr">
        <is>
          <t>Medium</t>
        </is>
      </c>
      <c r="F16" s="427" t="inlineStr">
        <is>
          <t>Check KHÔNG phát sinh thông báo "Đơn đã được giao" khi Carrier bỏ qua bước "Đã lấy hàng"</t>
        </is>
      </c>
      <c r="G16" s="427" t="inlineStr">
        <is>
          <t>Đơn đang ở trạng thái MATCHED (đã ghép, Carrier CHƯA bấm "Tôi đã lấy hàng")</t>
        </is>
      </c>
      <c r="H16" s="427" t="inlineStr">
        <is>
          <t>1. Carrier cố thực hiện "Đã giao cho người nhận" khi đơn còn đang MATCHED
2. Mở màn Thông báo của Sender và của Receiver</t>
        </is>
      </c>
      <c r="I16" s="427" t="inlineStr">
        <is>
          <t>2. Cả Sender và Receiver đều KHÔNG nhận được thông báo "Đơn đã được giao" — danh sách thông báo không phát sinh item mới nào cho sự kiện này</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ST-invalid-MATCHED-DELIVERED (chỉ assert vế THÔNG BÁO) | Dedupe: vế chặn transition + trạng thái nút trên màn Theo dõi đơn đã cover tại TC_07.16 (SC-DLV-006) — không lặp lại ở sheet Thông báo | Viết lại 2026-07-30 theo finding review-tc m8 (R4-08)</t>
        </is>
      </c>
    </row>
    <row r="17" ht="68.65000000000001" customHeight="1" s="225">
      <c r="A17" s="426">
        <f>IF(C17="","",$C$2&amp;"."&amp;COUNTA($C$8:C17)&amp;"")</f>
        <v/>
      </c>
      <c r="B17" s="426" t="inlineStr">
        <is>
          <t>REQ-NTF-001</t>
        </is>
      </c>
      <c r="C17" s="426" t="inlineStr">
        <is>
          <t>DOC-v1.0-01</t>
        </is>
      </c>
      <c r="D17" s="426" t="inlineStr">
        <is>
          <t>Functional</t>
        </is>
      </c>
      <c r="E17" s="426" t="inlineStr">
        <is>
          <t>Medium</t>
        </is>
      </c>
      <c r="F17" s="427" t="inlineStr">
        <is>
          <t>Check Receiver và Sender nhận đúng thông báo khi Carrier xác nhận đã giao hàng</t>
        </is>
      </c>
      <c r="G17" s="427" t="inlineStr">
        <is>
          <t>Đơn đang ở trạng thái IN_TRANSIT</t>
        </is>
      </c>
      <c r="H17" s="427" t="inlineStr">
        <is>
          <t>1. Carrier bấm "Đã giao cho người nhận" → đơn chuyển DELIVERED
2. Đăng nhập tài khoản Receiver, mở màn Thông báo
3. Đăng nhập tài khoản Sender, mở màn Thông báo</t>
        </is>
      </c>
      <c r="I17" s="427" t="inlineStr">
        <is>
          <t>2. Receiver nhận thông báo "Đơn đã được giao — vui lòng xác nhận đã nhận hàng"
3. Sender nhận thông báo "Đơn đã được giao — vui lòng xác nhận đã nhận hàng"</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Technique: ST-IN_TRANSIT-DELIVERED (valid transition, 2/3)</t>
        </is>
      </c>
    </row>
    <row r="18" ht="41.75" customHeight="1" s="225">
      <c r="A18" s="426">
        <f>IF(C18="","",$C$2&amp;"."&amp;COUNTA($C$8:C18)&amp;"")</f>
        <v/>
      </c>
      <c r="B18" s="426" t="inlineStr">
        <is>
          <t>REQ-NTF-001</t>
        </is>
      </c>
      <c r="C18" s="426" t="inlineStr">
        <is>
          <t>DOC-v1.0-01 §A5 (BR-CNF-04) + §D6 (NTF)</t>
        </is>
      </c>
      <c r="D18" s="426" t="inlineStr">
        <is>
          <t>Functional</t>
        </is>
      </c>
      <c r="E18" s="426" t="inlineStr">
        <is>
          <t>Medium</t>
        </is>
      </c>
      <c r="F18" s="427" t="inlineStr">
        <is>
          <t>Check KHÔNG phát sinh thông báo "Đơn đã hoàn tất" khi Receiver xác nhận lúc đơn chưa "Đã giao"</t>
        </is>
      </c>
      <c r="G18" s="427" t="inlineStr">
        <is>
          <t>Đơn đang ở trạng thái MATCHED hoặc IN_TRANSIT (chưa DELIVERED)</t>
        </is>
      </c>
      <c r="H18" s="427" t="inlineStr">
        <is>
          <t>1. Receiver cố thực hiện "Xác nhận đã nhận hàng" khi đơn chưa DELIVERED
2. Mở màn Thông báo của Sender và của Carrier</t>
        </is>
      </c>
      <c r="I18" s="427" t="inlineStr">
        <is>
          <t>2. Cả Sender và Carrier đều KHÔNG nhận được thông báo "Đơn đã hoàn tất — cảm ơn bạn" — danh sách thông báo không phát sinh item mới nào cho sự kiện này</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ST-invalid-notDELIVERED-COMPLETED (chỉ assert vế THÔNG BÁO) | Dedupe: vế nút "Xác nhận đã nhận hàng" bị động ở 3 trạng thái đã cover tại TC_07.8/TC_07.9/TC_07.10 (SC-DLV-005) — không lặp lại ở sheet Thông báo | Viết lại 2026-07-30 theo finding review-tc m8 (R4-08)</t>
        </is>
      </c>
    </row>
    <row r="19" ht="124.6" customHeight="1" s="225">
      <c r="A19" s="426">
        <f>IF(C19="","",$C$2&amp;"."&amp;COUNTA($C$8:C19)&amp;"")</f>
        <v/>
      </c>
      <c r="B19" s="426" t="inlineStr">
        <is>
          <t>REQ-NTF-001</t>
        </is>
      </c>
      <c r="C19" s="426" t="inlineStr">
        <is>
          <t>DOC-v1.0-01</t>
        </is>
      </c>
      <c r="D19" s="426" t="inlineStr">
        <is>
          <t>Functional</t>
        </is>
      </c>
      <c r="E19" s="426" t="inlineStr">
        <is>
          <t>Medium</t>
        </is>
      </c>
      <c r="F19" s="427" t="inlineStr">
        <is>
          <t>Check Sender và Carrier nhận đúng thông báo khi Receiver xác nhận đã nhận hàng (hoàn tất)</t>
        </is>
      </c>
      <c r="G19" s="427" t="inlineStr">
        <is>
          <t>Đơn đang ở trạng thái DELIVERED</t>
        </is>
      </c>
      <c r="H19" s="427" t="inlineStr">
        <is>
          <t>1. Receiver bấm "Xác nhận đã nhận hàng" → đơn chuyển COMPLETED
2. Đăng nhập tài khoản Sender, mở màn Thông báo
3. Đăng nhập tài khoản Carrier, mở màn Thông báo</t>
        </is>
      </c>
      <c r="I19" s="427" t="inlineStr">
        <is>
          <t>2. Sender nhận thông báo "Đơn đã hoàn tất — cảm ơn bạn!"
3. Carrier nhận thông báo "Đơn đã hoàn tất — cảm ơn bạn!"</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ST-DELIVERED-COMPLETED (valid transition, 3/3) | Biến thể Figma (DOC-v1.0-04) gắn kèm lời mời đánh giá "Hãy đánh giá [Carrier]..." — rating đã Resolved Deferred, out of scope v1.0 (C-GIFT-01); KHÔNG assert phần đánh giá, chỉ verify nội dung hoàn tất theo baseline BA (D6)</t>
        </is>
      </c>
    </row>
    <row r="20" s="225">
      <c r="A20" s="426" t="n"/>
      <c r="B20" s="426" t="n"/>
      <c r="C20" s="426" t="n"/>
      <c r="D20" s="426" t="n"/>
      <c r="E20" s="426" t="n"/>
      <c r="F20" s="427" t="n"/>
      <c r="G20" s="427" t="n"/>
      <c r="H20" s="427" t="n"/>
      <c r="I20" s="427" t="n"/>
      <c r="J20" s="426" t="n"/>
      <c r="K20" s="426" t="n"/>
      <c r="L20" s="426" t="n"/>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t="n"/>
      <c r="AN20" s="430" t="n"/>
      <c r="AO20" s="430" t="n"/>
      <c r="AP20" s="431" t="n"/>
    </row>
    <row r="21" ht="82.05" customHeight="1" s="225">
      <c r="A21" s="426">
        <f>IF(C21="","",$C$2&amp;"."&amp;COUNTA($C$8:C21)&amp;"")</f>
        <v/>
      </c>
      <c r="B21" s="426" t="inlineStr">
        <is>
          <t>REQ-NTF-001, REQ-GIFT-001</t>
        </is>
      </c>
      <c r="C21" s="426" t="inlineStr">
        <is>
          <t>DOC-v1.0-04</t>
        </is>
      </c>
      <c r="D21" s="426" t="inlineStr">
        <is>
          <t>Functional</t>
        </is>
      </c>
      <c r="E21" s="426" t="inlineStr">
        <is>
          <t>Low</t>
        </is>
      </c>
      <c r="F21" s="427" t="inlineStr">
        <is>
          <t>Check Carrier nhận đúng thông báo khi Sender gửi quà cảm ơn</t>
        </is>
      </c>
      <c r="G21" s="427" t="inlineStr">
        <is>
          <t>Đơn đã ở trạng thái COMPLETED</t>
        </is>
      </c>
      <c r="H21" s="427" t="inlineStr">
        <is>
          <t>1. Sender chọn 1 trong 4 loại quà (bông hoa/ly cà phê/gấu bông/vương miện) và gửi tặng Carrier
2. Đăng nhập tài khoản Carrier, mở màn Thông báo</t>
        </is>
      </c>
      <c r="I21" s="427" t="inlineStr">
        <is>
          <t>2. Carrier nhận 1 thông báo mới, title "Bạn nhận được một món quà cảm ơn 🎁", nội dung "Đồng Công Chí Linh đã gửi tặng bạn một món quà vì đã giúp giao hàng. Mở trang cá nhân để xem."</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Technique: N/A — 0-dim trong phạm vi SC này (1 case duy nhất; biến thể 4 loại quà không ảnh hưởng nội dung thông báo — thuộc scope REQ-GIFT-001)</t>
        </is>
      </c>
    </row>
    <row r="22" ht="57.45" customHeight="1" s="225">
      <c r="A22" s="426">
        <f>IF(C22="","",$C$2&amp;"."&amp;COUNTA($C$8:C22)&amp;"")</f>
        <v/>
      </c>
      <c r="B22" s="426" t="inlineStr">
        <is>
          <t>REQ-NTF-001</t>
        </is>
      </c>
      <c r="C22" s="426" t="inlineStr">
        <is>
          <t>DOC-v1.0-04</t>
        </is>
      </c>
      <c r="D22" s="426" t="inlineStr">
        <is>
          <t>Functional</t>
        </is>
      </c>
      <c r="E22" s="426" t="inlineStr">
        <is>
          <t>Medium</t>
        </is>
      </c>
      <c r="F22" s="427" t="inlineStr">
        <is>
          <t>Check các bên còn lại nhận đúng thông báo khi Carrier huỷ đơn (kèm lý do)</t>
        </is>
      </c>
      <c r="G22" s="427" t="inlineStr">
        <is>
          <t>Đơn đang ở trạng thái có thể huỷ (vd MATCHED/IN_TRANSIT), có ≥2 bên liên quan ngoài người huỷ</t>
        </is>
      </c>
      <c r="H22" s="427" t="inlineStr">
        <is>
          <t>1. Carrier thực hiện huỷ đơn, nhập lý do "bận họp gấp"
2. Đăng nhập tài khoản Sender (1 trong các bên còn lại), mở màn Thông báo</t>
        </is>
      </c>
      <c r="I22" s="427" t="inlineStr">
        <is>
          <t>2. Sender nhận 1 thông báo mới nêu rõ vai trò người huỷ + lý do, tương đương "Đơn của bạn đã bị người vận chuyển huỷ" — "Lý do: "bận họp gấp". Đơn đang chờ người vận chuyển mới nhận giúp."</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IF($A22="","",IF(OR($N22="Yes",$S22="Yes",$X22="Yes",$AC22="Yes",$AH22="Yes"),"Yes","No"))</f>
        <v/>
      </c>
      <c r="AN22" s="430">
        <f>IF($A22="","",IFERROR(IF($AI22&lt;&gt;"",$AI22,IF($AD22&lt;&gt;"",$AD22,IF($Y22&lt;&gt;"",$Y22,IF($T22&lt;&gt;"",$T22,IF($O22&lt;&gt;"",$O22,""))))),""))</f>
        <v/>
      </c>
      <c r="AO22" s="430">
        <f>IFERROR(IF($AJ22&lt;&gt;"",$AJ22,IF($AE22&lt;&gt;"",$AE22,IF($Z22&lt;&gt;"",$Z22,IF($U22&lt;&gt;"",$U22,IF($P22&lt;&gt;"",$P22,""))))),"")</f>
        <v/>
      </c>
      <c r="AP22" s="431" t="inlineStr">
        <is>
          <t>Technique: EP-huỷ-bởi-Carrier (actor-partition, 1/3) | Nội dung verbatim theo DOC-v1.0-04 (cụ thể hơn baseline BA D6)</t>
        </is>
      </c>
    </row>
    <row r="23" ht="102.2" customHeight="1" s="225">
      <c r="A23" s="426">
        <f>IF(C23="","",$C$2&amp;"."&amp;COUNTA($C$8:C23)&amp;"")</f>
        <v/>
      </c>
      <c r="B23" s="426" t="inlineStr">
        <is>
          <t>REQ-NTF-001</t>
        </is>
      </c>
      <c r="C23" s="426" t="inlineStr">
        <is>
          <t>DOC-v1.0-01 §D6 + DOC-v1.0-04 · Chờ BA — C-NTF-01 (Open)</t>
        </is>
      </c>
      <c r="D23" s="426" t="inlineStr">
        <is>
          <t>Functional</t>
        </is>
      </c>
      <c r="E23" s="426" t="inlineStr">
        <is>
          <t>Medium</t>
        </is>
      </c>
      <c r="F23" s="427" t="inlineStr">
        <is>
          <t>Check các bên còn lại nhận đúng thông báo khi Sender huỷ đơn (kèm lý do)</t>
        </is>
      </c>
      <c r="G23" s="427" t="inlineStr">
        <is>
          <t>Đơn đang ở trạng thái có thể huỷ (vd MATCHED/IN_TRANSIT)</t>
        </is>
      </c>
      <c r="H23" s="427" t="inlineStr">
        <is>
          <t>1. Sender thực hiện huỷ đơn, nhập lý do "đổi ý không gửi nữa"
2. Đăng nhập tài khoản Carrier (1 trong các bên còn lại), mở màn Thông báo</t>
        </is>
      </c>
      <c r="I23" s="427" t="inlineStr">
        <is>
          <t>2. Carrier nhận 1 thông báo mới nêu rõ vai trò người huỷ là "người gửi" + lý do "đổi ý không gửi nữa"</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Technique: EP-huỷ-bởi-Sender (actor-partition, 2/3) | Chưa có ảnh Figma xác nhận câu chữ khi Sender huỷ (chỉ có ảnh cho case Carrier huỷ) — dùng khung baseline BA D6 "Đơn đã bị huỷ bởi [vai trò]", thay [vai trò]="người gửi"</t>
        </is>
      </c>
    </row>
    <row r="24" ht="91" customHeight="1" s="225">
      <c r="A24" s="426">
        <f>IF(C24="","",$C$2&amp;"."&amp;COUNTA($C$8:C24)&amp;"")</f>
        <v/>
      </c>
      <c r="B24" s="426" t="inlineStr">
        <is>
          <t>REQ-NTF-001</t>
        </is>
      </c>
      <c r="C24" s="426" t="inlineStr">
        <is>
          <t>DOC-v1.0-01 §D6 + DOC-v1.0-04 · Chờ BA — C-NTF-01 (Open)</t>
        </is>
      </c>
      <c r="D24" s="426" t="inlineStr">
        <is>
          <t>Functional</t>
        </is>
      </c>
      <c r="E24" s="426" t="inlineStr">
        <is>
          <t>Medium</t>
        </is>
      </c>
      <c r="F24" s="427" t="inlineStr">
        <is>
          <t>Check các bên còn lại nhận đúng thông báo khi Receiver huỷ đơn (kèm lý do)</t>
        </is>
      </c>
      <c r="G24" s="427" t="inlineStr">
        <is>
          <t>Đơn đang ở trạng thái có thể huỷ, có luồng cho phép Receiver huỷ (theo rule module CNL)</t>
        </is>
      </c>
      <c r="H24" s="427" t="inlineStr">
        <is>
          <t>1. Receiver thực hiện huỷ đơn, nhập lý do "đổi địa chỉ nhận"
2. Đăng nhập tài khoản Sender (1 trong các bên còn lại), mở màn Thông báo</t>
        </is>
      </c>
      <c r="I24" s="427" t="inlineStr">
        <is>
          <t>2. Sender nhận 1 thông báo mới nêu rõ vai trò người huỷ là "người nhận" + lý do "đổi địa chỉ nhận"</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EP-huỷ-bởi-Receiver (actor-partition, 3/3) | Chưa có ảnh Figma xác nhận câu chữ khi Receiver huỷ; đối chiếu quyền huỷ của Receiver theo rule module CNL trước khi thực thi TC này</t>
        </is>
      </c>
    </row>
    <row r="25" ht="68.65000000000001" customHeight="1" s="225">
      <c r="A25" s="426">
        <f>IF(C25="","",$C$2&amp;"."&amp;COUNTA($C$8:C25)&amp;"")</f>
        <v/>
      </c>
      <c r="B25" s="426" t="inlineStr">
        <is>
          <t>REQ-NTF-001</t>
        </is>
      </c>
      <c r="C25" s="426" t="inlineStr">
        <is>
          <t>DOC-v1.0-01</t>
        </is>
      </c>
      <c r="D25" s="426" t="inlineStr">
        <is>
          <t>Functional</t>
        </is>
      </c>
      <c r="E25" s="426" t="inlineStr">
        <is>
          <t>Medium</t>
        </is>
      </c>
      <c r="F25" s="427" t="inlineStr">
        <is>
          <t>Check Sender nhận đúng thông báo khi tin đăng quá hạn chưa ghép</t>
        </is>
      </c>
      <c r="G25" s="427" t="inlineStr">
        <is>
          <t>Sender có tin NEED ở trạng thái POSTED, đã quá "Đến ngày" mà chưa có Carrier nhận</t>
        </is>
      </c>
      <c r="H25" s="427" t="inlineStr">
        <is>
          <t>1. Để tin NEED quá "Đến ngày" đã chọn mà không có Carrier nhận → hệ thống tự chuyển EXPIRED
2. Đăng nhập tài khoản Sender, mở màn Thông báo</t>
        </is>
      </c>
      <c r="I25" s="427" t="inlineStr">
        <is>
          <t>2. Sender nhận 1 thông báo mới, nội dung "Tin của bạn đã quá hạn — gỡ hoặc đăng lại nếu vẫn cần"</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EP-quá-hạn (actor-partition thứ 2 trong SC-NTF-005, cặp với nhóm EP-huỷ)</t>
        </is>
      </c>
    </row>
    <row r="26" ht="15" customHeight="1" s="225">
      <c r="A26" s="426" t="n"/>
      <c r="B26" s="432" t="inlineStr">
        <is>
          <t>Block Nội dung thực tế trên UI</t>
        </is>
      </c>
      <c r="C26" s="233" t="n"/>
      <c r="D26" s="233" t="n"/>
      <c r="E26" s="233" t="n"/>
      <c r="F26" s="233" t="n"/>
      <c r="G26" s="233" t="n"/>
      <c r="H26" s="233" t="n"/>
      <c r="I26" s="231" t="n"/>
      <c r="J26" s="426" t="n"/>
      <c r="K26" s="426" t="n"/>
      <c r="L26" s="426" t="n"/>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n"/>
    </row>
    <row r="27" ht="102.2" customHeight="1" s="225">
      <c r="A27" s="426">
        <f>IF(C27="","",$C$2&amp;"."&amp;COUNTA($C$8:C27)&amp;"")</f>
        <v/>
      </c>
      <c r="B27" s="426" t="inlineStr">
        <is>
          <t>REQ-NTF-001</t>
        </is>
      </c>
      <c r="C27" s="426" t="inlineStr">
        <is>
          <t>DOC-v1.0-04, DOC-v1.0-02</t>
        </is>
      </c>
      <c r="D27" s="426" t="inlineStr">
        <is>
          <t>UI</t>
        </is>
      </c>
      <c r="E27" s="426" t="inlineStr">
        <is>
          <t>Medium</t>
        </is>
      </c>
      <c r="F27" s="427" t="inlineStr">
        <is>
          <t>Check đầy đủ + đúng cấu trúc hiển thị màn Thông báo (header, nhóm thời gian, card, nút Đánh dấu đã đọc)</t>
        </is>
      </c>
      <c r="G27" s="427" t="inlineStr">
        <is>
          <t>Có ≥2 thông báo thuộc ít nhất 2 mốc thời gian khác nhau (vd 1 thông báo "Hôm nay", 1 thông báo "Hôm qua"), trong đó có ≥1 thông báo chưa đọc</t>
        </is>
      </c>
      <c r="H27" s="427" t="inlineStr">
        <is>
          <t>1. Mở app FoxEco → bấm icon chuông ở Header → vào màn Thông báo
2. Quan sát tổng thể màn hình
3. Quan sát 1 card thông báo bất kỳ (đã có dữ liệu)</t>
        </is>
      </c>
      <c r="I27" s="427" t="inlineStr">
        <is>
          <t>2. Hiển thị đủ: (1) Header text "Thông báo", (2) nút "Đánh dấu đã đọc" ở góc phải, (3) danh sách nhóm theo mốc thời gian "HÔM NAY"/"HÔM QUA"
3. Mỗi card thông báo hiển thị đủ 4 phần tử: icon, title, nội dung, thời gian tương đối (vd "5 phút trước"); thông báo chưa đọc có chấm đỏ, thông báo đã đọc không có chấm đỏ</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inlineStr">
        <is>
          <t>Field/column completeness check — auto-derived (xem generate.md Step 3b) | Technique: N/A — derived từ Step 3b, không thuộc rubric per-scenario</t>
        </is>
      </c>
    </row>
    <row r="28" ht="15" customHeight="1" s="225">
      <c r="A28" s="426">
        <f>IF(C28="","",$C$2&amp;"."&amp;COUNTA($C$8:C28)&amp;"")</f>
        <v/>
      </c>
      <c r="B28" s="426" t="inlineStr">
        <is>
          <t>REQ-NTF-001</t>
        </is>
      </c>
      <c r="C28" s="426" t="inlineStr">
        <is>
          <t>Quan sát thực tế app STG (QA GiangDC2, chat 2026-07-30)</t>
        </is>
      </c>
      <c r="D28" s="426" t="inlineStr">
        <is>
          <t>UI</t>
        </is>
      </c>
      <c r="E28" s="426" t="inlineStr">
        <is>
          <t>Low</t>
        </is>
      </c>
      <c r="F28" s="427" t="inlineStr">
        <is>
          <t>Check icon quay lại tại màn Thông báo</t>
        </is>
      </c>
      <c r="G28" s="427" t="inlineStr">
        <is>
          <t>Đã đăng nhập app FoxEco, đang ở Trang chủ</t>
        </is>
      </c>
      <c r="H28" s="427" t="inlineStr">
        <is>
          <t>1. Mở app FoxEco
2. Bấm icon chuông tại Header (ở Trang chủ) để mở màn Thông báo
3. Bấm icon quay lại (←) ở Header</t>
        </is>
      </c>
      <c r="I28" s="427" t="inlineStr">
        <is>
          <t>3. Điều hướng đúng về màn đã mở Thông báo từ đó (Trang chủ)</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IF($A27="","",IF(OR($N27="Yes",$S27="Yes",$X27="Yes",$AC27="Yes",$AH27="Yes"),"Yes","No"))</f>
        <v/>
      </c>
      <c r="AN28" s="430">
        <f>IF($A27="","",IFERROR(IF($AI27&lt;&gt;"",$AI27,IF($AD27&lt;&gt;"",$AD27,IF($Y27&lt;&gt;"",$Y27,IF($T27&lt;&gt;"",$T27,IF($O27&lt;&gt;"",$O27,""))))),""))</f>
        <v/>
      </c>
      <c r="AO28" s="430">
        <f>IFERROR(IF($AJ27&lt;&gt;"",$AJ27,IF($AE27&lt;&gt;"",$AE27,IF($Z27&lt;&gt;"",$Z27,IF($U27&lt;&gt;"",$U27,IF($P27&lt;&gt;"",$P27,""))))),"")</f>
        <v/>
      </c>
      <c r="AP28" s="431" t="inlineStr">
        <is>
          <t>Technique: EP-back-icon. Bổ sung 2026-07-30 theo yêu cầu user (QA GiangDC2 xác nhận trực tiếp trên app STG: icon quay lại tồn tại và hoạt động đúng ở màn này) — phát hiện khi quét lại toàn bộ TC-MASTER, kiểm tra completeness icon Back cho từng màn hình.</t>
        </is>
      </c>
    </row>
    <row r="29" ht="15" customHeight="1" s="225">
      <c r="A29" s="426" t="n"/>
      <c r="B29" s="432" t="inlineStr">
        <is>
          <t>Block Empty state (không có thông báo nào)</t>
        </is>
      </c>
      <c r="C29" s="233" t="n"/>
      <c r="D29" s="233" t="n"/>
      <c r="E29" s="233" t="n"/>
      <c r="F29" s="233" t="n"/>
      <c r="G29" s="233" t="n"/>
      <c r="H29" s="233" t="n"/>
      <c r="I29" s="231" t="n"/>
      <c r="J29" s="426" t="n"/>
      <c r="K29" s="426" t="n"/>
      <c r="L29" s="426" t="n"/>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IF($A28="","",IF(OR($N28="Yes",$S28="Yes",$X28="Yes",$AC28="Yes",$AH28="Yes"),"Yes","No"))</f>
        <v/>
      </c>
      <c r="AN29" s="430">
        <f>IF($A28="","",IFERROR(IF($AI28&lt;&gt;"",$AI28,IF($AD28&lt;&gt;"",$AD28,IF($Y28&lt;&gt;"",$Y28,IF($T28&lt;&gt;"",$T28,IF($O28&lt;&gt;"",$O28,""))))),""))</f>
        <v/>
      </c>
      <c r="AO29" s="430">
        <f>IFERROR(IF($AJ28&lt;&gt;"",$AJ28,IF($AE28&lt;&gt;"",$AE28,IF($Z28&lt;&gt;"",$Z28,IF($U28&lt;&gt;"",$U28,IF($P28&lt;&gt;"",$P28,""))))),"")</f>
        <v/>
      </c>
      <c r="AP29" s="431" t="n"/>
    </row>
    <row r="30" ht="102.2" customHeight="1" s="225">
      <c r="A30" s="426">
        <f>IF(C30="","",$C$2&amp;"."&amp;COUNTA($C$8:C30)&amp;"")</f>
        <v/>
      </c>
      <c r="B30" s="426" t="inlineStr">
        <is>
          <t>REQ-NTF-001</t>
        </is>
      </c>
      <c r="C30" s="426" t="inlineStr">
        <is>
          <t>QA xác nhận app STG (2026-07-28) · C-ORD-06 Resolved (mở rộng sang màn Thông báo)</t>
        </is>
      </c>
      <c r="D30" s="426" t="inlineStr">
        <is>
          <t>UI</t>
        </is>
      </c>
      <c r="E30" s="426" t="inlineStr">
        <is>
          <t>Low</t>
        </is>
      </c>
      <c r="F30" s="427" t="inlineStr">
        <is>
          <t>Check hiển thị đúng khi màn Thông báo chưa có thông báo nào</t>
        </is>
      </c>
      <c r="G30" s="427" t="inlineStr">
        <is>
          <t>Tài khoản chưa từng phát sinh sự kiện thông báo nào (danh sách Thông báo rỗng)</t>
        </is>
      </c>
      <c r="H30" s="427" t="inlineStr">
        <is>
          <t>1. Đăng nhập tài khoản chưa có thông báo nào
2. Mở màn Thông báo (icon chuông ở Header)</t>
        </is>
      </c>
      <c r="I30" s="427" t="inlineStr">
        <is>
          <t>2. Hiển thị text "Hiện tại chưa có dữ liệu" (C-ORD-06, Resolved — QA xác nhận đúng UI thật)</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IF($A29="","",IF(OR($N29="Yes",$S29="Yes",$X29="Yes",$AC29="Yes",$AH29="Yes"),"Yes","No"))</f>
        <v/>
      </c>
      <c r="AN30" s="430">
        <f>IF($A29="","",IFERROR(IF($AI29&lt;&gt;"",$AI29,IF($AD29&lt;&gt;"",$AD29,IF($Y29&lt;&gt;"",$Y29,IF($T29&lt;&gt;"",$T29,IF($O29&lt;&gt;"",$O29,""))))),""))</f>
        <v/>
      </c>
      <c r="AO30" s="430">
        <f>IFERROR(IF($AJ29&lt;&gt;"",$AJ29,IF($AE29&lt;&gt;"",$AE29,IF($Z29&lt;&gt;"",$Z29,IF($U29&lt;&gt;"",$U29,IF($P29&lt;&gt;"",$P29,""))))),"")</f>
        <v/>
      </c>
      <c r="AP30" s="431" t="inlineStr">
        <is>
          <t>Text đã QA xác nhận trực tiếp trên UI thật (2026-07-28), mở rộng phạm vi C-ORD-06 sang màn Thông báo — Resolved | Technique: N/A — 0-dim (pure display state, không input/range/condition/param trong phạm vi SC này)</t>
        </is>
      </c>
    </row>
    <row r="31" ht="15" customHeight="1" s="225">
      <c r="A31" s="426" t="n"/>
      <c r="B31" s="432" t="inlineStr">
        <is>
          <t>Block Đánh dấu đã đọc</t>
        </is>
      </c>
      <c r="C31" s="233" t="n"/>
      <c r="D31" s="233" t="n"/>
      <c r="E31" s="233" t="n"/>
      <c r="F31" s="233" t="n"/>
      <c r="G31" s="233" t="n"/>
      <c r="H31" s="233" t="n"/>
      <c r="I31" s="231" t="n"/>
      <c r="J31" s="426" t="n"/>
      <c r="K31" s="426" t="n"/>
      <c r="L31" s="426" t="n"/>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IF($A30="","",IF(OR($N30="Yes",$S30="Yes",$X30="Yes",$AC30="Yes",$AH30="Yes"),"Yes","No"))</f>
        <v/>
      </c>
      <c r="AN31" s="430">
        <f>IF($A30="","",IFERROR(IF($AI30&lt;&gt;"",$AI30,IF($AD30&lt;&gt;"",$AD30,IF($Y30&lt;&gt;"",$Y30,IF($T30&lt;&gt;"",$T30,IF($O30&lt;&gt;"",$O30,""))))),""))</f>
        <v/>
      </c>
      <c r="AO31" s="430">
        <f>IFERROR(IF($AJ30&lt;&gt;"",$AJ30,IF($AE30&lt;&gt;"",$AE30,IF($Z30&lt;&gt;"",$Z30,IF($U30&lt;&gt;"",$U30,IF($P30&lt;&gt;"",$P30,""))))),"")</f>
        <v/>
      </c>
      <c r="AP31" s="431" t="n"/>
    </row>
    <row r="32" ht="57.45" customHeight="1" s="225">
      <c r="A32" s="426">
        <f>IF(C32="","",$C$2&amp;"."&amp;COUNTA($C$8:C32)&amp;"")</f>
        <v/>
      </c>
      <c r="B32" s="426" t="inlineStr">
        <is>
          <t>REQ-NTF-001</t>
        </is>
      </c>
      <c r="C32" s="426" t="inlineStr">
        <is>
          <t>DOC-v1.0-04 · QA đề xuất — Chờ BA/Dev — C-NTF-03 (Open)</t>
        </is>
      </c>
      <c r="D32" s="426" t="inlineStr">
        <is>
          <t>Functional</t>
        </is>
      </c>
      <c r="E32" s="426" t="inlineStr">
        <is>
          <t>Low</t>
        </is>
      </c>
      <c r="F32" s="427" t="inlineStr">
        <is>
          <t>Check bấm vào 1 thông báo cụ thể chuyển đúng trạng thái đã đọc (không ảnh hưởng thông báo khác)</t>
        </is>
      </c>
      <c r="G32" s="427" t="inlineStr">
        <is>
          <t>Có ≥2 thông báo chưa đọc (chấm đỏ): thông báo A và thông báo B</t>
        </is>
      </c>
      <c r="H32" s="427" t="inlineStr">
        <is>
          <t>1. Mở màn Thông báo, xác nhận thông báo A và B đều đang chưa đọc (có chấm đỏ)
2. Bấm vào thông báo A</t>
        </is>
      </c>
      <c r="I32" s="427" t="inlineStr">
        <is>
          <t>2. Thông báo A chuyển đã đọc (chấm đỏ biến mất); thông báo B vẫn giữ nguyên trạng thái chưa đọc (chấm đỏ còn)</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IF($A31="","",IF(OR($N31="Yes",$S31="Yes",$X31="Yes",$AC31="Yes",$AH31="Yes"),"Yes","No"))</f>
        <v/>
      </c>
      <c r="AN32" s="430">
        <f>IF($A31="","",IFERROR(IF($AI31&lt;&gt;"",$AI31,IF($AD31&lt;&gt;"",$AD31,IF($Y31&lt;&gt;"",$Y31,IF($T31&lt;&gt;"",$T31,IF($O31&lt;&gt;"",$O31,""))))),""))</f>
        <v/>
      </c>
      <c r="AO32" s="430">
        <f>IFERROR(IF($AJ31&lt;&gt;"",$AJ31,IF($AE31&lt;&gt;"",$AE31,IF($Z31&lt;&gt;"",$Z31,IF($U31&lt;&gt;"",$U31,IF($P31&lt;&gt;"",$P31,""))))),"")</f>
        <v/>
      </c>
      <c r="AP32" s="431" t="inlineStr">
        <is>
          <t>Technique: ST-unread-read (valid, tap-single) | Hành vi suy luận theo UX chuẩn — C-NTF-03 (Open), cần BA/Dev confirm cơ chế thật</t>
        </is>
      </c>
    </row>
    <row r="33" ht="57.45" customHeight="1" s="225">
      <c r="A33" s="426">
        <f>IF(C33="","",$C$2&amp;"."&amp;COUNTA($C$8:C33)&amp;"")</f>
        <v/>
      </c>
      <c r="B33" s="426" t="inlineStr">
        <is>
          <t>REQ-NTF-001</t>
        </is>
      </c>
      <c r="C33" s="426" t="inlineStr">
        <is>
          <t>DOC-v1.0-04 · QA đề xuất — Chờ BA/Dev — C-NTF-03 (Open)</t>
        </is>
      </c>
      <c r="D33" s="426" t="inlineStr">
        <is>
          <t>Functional</t>
        </is>
      </c>
      <c r="E33" s="426" t="inlineStr">
        <is>
          <t>Low</t>
        </is>
      </c>
      <c r="F33" s="427" t="inlineStr">
        <is>
          <t>Check bấm nút "Đánh dấu đã đọc" chuyển TẤT CẢ thông báo sang đã đọc</t>
        </is>
      </c>
      <c r="G33" s="427" t="inlineStr">
        <is>
          <t>Có ≥2 thông báo chưa đọc (chấm đỏ)</t>
        </is>
      </c>
      <c r="H33" s="427" t="inlineStr">
        <is>
          <t>1. Mở màn Thông báo, xác nhận có ≥2 thông báo chưa đọc
2. Bấm nút "Đánh dấu đã đọc" ở góc phải header</t>
        </is>
      </c>
      <c r="I33" s="427" t="inlineStr">
        <is>
          <t>2. TẤT CẢ thông báo trong danh sách chuyển đã đọc, không còn chấm đỏ nào</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IF($A32="","",IF(OR($N32="Yes",$S32="Yes",$X32="Yes",$AC32="Yes",$AH32="Yes"),"Yes","No"))</f>
        <v/>
      </c>
      <c r="AN33" s="430">
        <f>IF($A32="","",IFERROR(IF($AI32&lt;&gt;"",$AI32,IF($AD32&lt;&gt;"",$AD32,IF($Y32&lt;&gt;"",$Y32,IF($T32&lt;&gt;"",$T32,IF($O32&lt;&gt;"",$O32,""))))),""))</f>
        <v/>
      </c>
      <c r="AO33" s="430">
        <f>IFERROR(IF($AJ32&lt;&gt;"",$AJ32,IF($AE32&lt;&gt;"",$AE32,IF($Z32&lt;&gt;"",$Z32,IF($U32&lt;&gt;"",$U32,IF($P32&lt;&gt;"",$P32,""))))),"")</f>
        <v/>
      </c>
      <c r="AP33" s="431" t="inlineStr">
        <is>
          <t>Technique: ST-unread-read (valid, mark-all) | Hành vi suy luận theo UX chuẩn — C-NTF-03 (Open), cần BA/Dev confirm cơ chế thật</t>
        </is>
      </c>
    </row>
    <row r="34" ht="46.25" customHeight="1" s="225">
      <c r="A34" s="426">
        <f>IF(C34="","",$C$2&amp;"."&amp;COUNTA($C$8:C34)&amp;"")</f>
        <v/>
      </c>
      <c r="B34" s="426" t="inlineStr">
        <is>
          <t>REQ-NTF-001</t>
        </is>
      </c>
      <c r="C34" s="426" t="inlineStr">
        <is>
          <t>QA đề xuất — Chờ BA/Dev — C-NTF-03 (Open)</t>
        </is>
      </c>
      <c r="D34" s="426" t="inlineStr">
        <is>
          <t>Functional</t>
        </is>
      </c>
      <c r="E34" s="426" t="inlineStr">
        <is>
          <t>Low</t>
        </is>
      </c>
      <c r="F34" s="427" t="inlineStr">
        <is>
          <t>Check bấm vào 1 thông báo ĐÃ đọc không gây lỗi và không đổi trạng thái thông báo khác</t>
        </is>
      </c>
      <c r="G34" s="427" t="inlineStr">
        <is>
          <t>Có ≥1 thông báo đã ở trạng thái đã đọc (không chấm đỏ)</t>
        </is>
      </c>
      <c r="H34" s="427" t="inlineStr">
        <is>
          <t>1. Mở màn Thông báo, xác định 1 thông báo đã đọc
2. Bấm vào thông báo đã đọc đó</t>
        </is>
      </c>
      <c r="I34" s="427" t="inlineStr">
        <is>
          <t>2. Không có lỗi/crash; thông báo vẫn ở trạng thái đã đọc; các thông báo khác không đổi trạng thái</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IF($A33="","",IF(OR($N33="Yes",$S33="Yes",$X33="Yes",$AC33="Yes",$AH33="Yes"),"Yes","No"))</f>
        <v/>
      </c>
      <c r="AN34" s="430">
        <f>IF($A33="","",IFERROR(IF($AI33&lt;&gt;"",$AI33,IF($AD33&lt;&gt;"",$AD33,IF($Y33&lt;&gt;"",$Y33,IF($T33&lt;&gt;"",$T33,IF($O33&lt;&gt;"",$O33,""))))),""))</f>
        <v/>
      </c>
      <c r="AO34" s="430">
        <f>IFERROR(IF($AJ33&lt;&gt;"",$AJ33,IF($AE33&lt;&gt;"",$AE33,IF($Z33&lt;&gt;"",$Z33,IF($U33&lt;&gt;"",$U33,IF($P33&lt;&gt;"",$P33,""))))),"")</f>
        <v/>
      </c>
      <c r="AP34" s="431" t="inlineStr">
        <is>
          <t>Technique: ST-invalid(idempotent)-read-read (tap case) | C-NTF-03 (Open)</t>
        </is>
      </c>
    </row>
    <row r="35" ht="46.25" customHeight="1" s="225">
      <c r="A35" s="426">
        <f>IF(C35="","",$C$2&amp;"."&amp;COUNTA($C$8:C35)&amp;"")</f>
        <v/>
      </c>
      <c r="B35" s="426" t="inlineStr">
        <is>
          <t>REQ-NTF-001</t>
        </is>
      </c>
      <c r="C35" s="426" t="inlineStr">
        <is>
          <t>QA đề xuất — Chờ BA/Dev — C-NTF-03 (Open)</t>
        </is>
      </c>
      <c r="D35" s="426" t="inlineStr">
        <is>
          <t>Functional</t>
        </is>
      </c>
      <c r="E35" s="426" t="inlineStr">
        <is>
          <t>Low</t>
        </is>
      </c>
      <c r="F35" s="427" t="inlineStr">
        <is>
          <t>Check bấm nút "Đánh dấu đã đọc" khi TOÀN BỘ thông báo đã đọc không gây lỗi</t>
        </is>
      </c>
      <c r="G35" s="427" t="inlineStr">
        <is>
          <t>Toàn bộ thông báo trong danh sách đã ở trạng thái đã đọc (không còn chấm đỏ nào)</t>
        </is>
      </c>
      <c r="H35" s="427" t="inlineStr">
        <is>
          <t>1. Mở màn Thông báo, xác nhận không còn chấm đỏ nào
2. Bấm nút "Đánh dấu đã đọc"</t>
        </is>
      </c>
      <c r="I35" s="427" t="inlineStr">
        <is>
          <t>2. Không có lỗi/crash; danh sách giữ nguyên trạng thái đã đọc</t>
        </is>
      </c>
      <c r="J35" s="426" t="inlineStr">
        <is>
          <t>AI</t>
        </is>
      </c>
      <c r="K35" s="426" t="inlineStr">
        <is>
          <t>Pending</t>
        </is>
      </c>
      <c r="L35" s="426" t="inlineStr">
        <is>
          <t>No</t>
        </is>
      </c>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f>IF($A34="","",IF(OR($N34="Yes",$S34="Yes",$X34="Yes",$AC34="Yes",$AH34="Yes"),"Yes","No"))</f>
        <v/>
      </c>
      <c r="AN35" s="430">
        <f>IF($A34="","",IFERROR(IF($AI34&lt;&gt;"",$AI34,IF($AD34&lt;&gt;"",$AD34,IF($Y34&lt;&gt;"",$Y34,IF($T34&lt;&gt;"",$T34,IF($O34&lt;&gt;"",$O34,""))))),""))</f>
        <v/>
      </c>
      <c r="AO35" s="430">
        <f>IFERROR(IF($AJ34&lt;&gt;"",$AJ34,IF($AE34&lt;&gt;"",$AE34,IF($Z34&lt;&gt;"",$Z34,IF($U34&lt;&gt;"",$U34,IF($P34&lt;&gt;"",$P34,""))))),"")</f>
        <v/>
      </c>
      <c r="AP35" s="431" t="inlineStr">
        <is>
          <t>Technique: ST-invalid(idempotent)-read-read (mark-all case) | C-NTF-03 (Open)</t>
        </is>
      </c>
    </row>
    <row r="36" ht="15" customHeight="1" s="225">
      <c r="A36" s="426" t="n"/>
      <c r="B36" s="432" t="inlineStr">
        <is>
          <t>Block Load thêm dữ liệu (Scroll / Pagination)</t>
        </is>
      </c>
      <c r="C36" s="233" t="n"/>
      <c r="D36" s="233" t="n"/>
      <c r="E36" s="233" t="n"/>
      <c r="F36" s="233" t="n"/>
      <c r="G36" s="233" t="n"/>
      <c r="H36" s="233" t="n"/>
      <c r="I36" s="231" t="n"/>
      <c r="J36" s="426" t="n"/>
      <c r="K36" s="426" t="n"/>
      <c r="L36" s="426" t="n"/>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t="n"/>
      <c r="AN36" s="430" t="n"/>
      <c r="AO36" s="430" t="n"/>
      <c r="AP36" s="431" t="n"/>
    </row>
    <row r="37" ht="57.45" customHeight="1" s="225">
      <c r="A37" s="426">
        <f>IF(C37="","",$C$2&amp;"."&amp;COUNTA($C$8:C37)&amp;"")</f>
        <v/>
      </c>
      <c r="B37" s="426" t="inlineStr">
        <is>
          <t>REQ-NTF-001</t>
        </is>
      </c>
      <c r="C37" s="426" t="inlineStr">
        <is>
          <t>QA xác nhận app STG (2026-07-28) · C-NTF-03 Resolved (cơ chế phân trang)</t>
        </is>
      </c>
      <c r="D37" s="426" t="inlineStr">
        <is>
          <t>Functional</t>
        </is>
      </c>
      <c r="E37" s="426" t="inlineStr">
        <is>
          <t>Low</t>
        </is>
      </c>
      <c r="F37" s="427" t="inlineStr">
        <is>
          <t>Check load đúng batch dữ liệu đầu tiên khi mới mở màn Thông báo</t>
        </is>
      </c>
      <c r="G37" s="427" t="inlineStr">
        <is>
          <t>Có nhiều hơn 1 "trang" dữ liệu thông báo (vd &gt; 20 thông báo tổng)</t>
        </is>
      </c>
      <c r="H37" s="427" t="inlineStr">
        <is>
          <t>1. Mở màn Thông báo lần đầu (chưa scroll)</t>
        </is>
      </c>
      <c r="I37" s="427" t="inlineStr">
        <is>
          <t>1. Hiển thị đúng batch thông báo đầu tiên (mới nhất trước), sắp xếp đúng nhóm Hôm nay/Hôm qua, chưa load các thông báo cũ hơn thuộc trang sau</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IF($A36="","",IF(OR($N36="Yes",$S36="Yes",$X36="Yes",$AC36="Yes",$AH36="Yes"),"Yes","No"))</f>
        <v/>
      </c>
      <c r="AN37" s="430">
        <f>IF($A36="","",IFERROR(IF($AI36&lt;&gt;"",$AI36,IF($AD36&lt;&gt;"",$AD36,IF($Y36&lt;&gt;"",$Y36,IF($T36&lt;&gt;"",$T36,IF($O36&lt;&gt;"",$O36,""))))),""))</f>
        <v/>
      </c>
      <c r="AO37" s="430">
        <f>IFERROR(IF($AJ36&lt;&gt;"",$AJ36,IF($AE36&lt;&gt;"",$AE36,IF($Z36&lt;&gt;"",$Z36,IF($U36&lt;&gt;"",$U36,IF($P36&lt;&gt;"",$P36,""))))),"")</f>
        <v/>
      </c>
      <c r="AP37" s="431" t="inlineStr">
        <is>
          <t>Technique: BVA-page1 (initial load) | Cơ chế phân trang — C-NTF-03 (Resolved, QA xác nhận đúng UI thật 2026-07-28)</t>
        </is>
      </c>
    </row>
    <row r="38" ht="46.25" customHeight="1" s="225">
      <c r="A38" s="426">
        <f>IF(C38="","",$C$2&amp;"."&amp;COUNTA($C$8:C38)&amp;"")</f>
        <v/>
      </c>
      <c r="B38" s="426" t="inlineStr">
        <is>
          <t>REQ-NTF-001</t>
        </is>
      </c>
      <c r="C38" s="426" t="inlineStr">
        <is>
          <t>UI nền tảng (scroll-load) · QA đề xuất — Chờ BA/Dev — C-NTF-03 (Open)</t>
        </is>
      </c>
      <c r="D38" s="426" t="inlineStr">
        <is>
          <t>Functional</t>
        </is>
      </c>
      <c r="E38" s="426" t="inlineStr">
        <is>
          <t>Low</t>
        </is>
      </c>
      <c r="F38" s="427" t="inlineStr">
        <is>
          <t>Check scroll xuống cuối danh sách hiện tại tự động load thêm batch tiếp theo</t>
        </is>
      </c>
      <c r="G38" s="427" t="inlineStr">
        <is>
          <t>Đã ở màn Thông báo với batch đầu tiên hiển thị, còn dữ liệu cũ hơn chưa load</t>
        </is>
      </c>
      <c r="H38" s="427" t="inlineStr">
        <is>
          <t>1. Scroll xuống tới cuối danh sách đang hiển thị</t>
        </is>
      </c>
      <c r="I38" s="427" t="inlineStr">
        <is>
          <t>1. Hệ thống tự động load thêm batch thông báo cũ hơn tiếp theo, nối liền danh sách hiện tại, không trùng lặp thông báo đã hiển thị trước đó</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IF($A37="","",IF(OR($N37="Yes",$S37="Yes",$X37="Yes",$AC37="Yes",$AH37="Yes"),"Yes","No"))</f>
        <v/>
      </c>
      <c r="AN38" s="430">
        <f>IF($A37="","",IFERROR(IF($AI37&lt;&gt;"",$AI37,IF($AD37&lt;&gt;"",$AD37,IF($Y37&lt;&gt;"",$Y37,IF($T37&lt;&gt;"",$T37,IF($O37&lt;&gt;"",$O37,""))))),""))</f>
        <v/>
      </c>
      <c r="AO38" s="430">
        <f>IFERROR(IF($AJ37&lt;&gt;"",$AJ37,IF($AE37&lt;&gt;"",$AE37,IF($Z37&lt;&gt;"",$Z37,IF($U37&lt;&gt;"",$U37,IF($P37&lt;&gt;"",$P37,""))))),"")</f>
        <v/>
      </c>
      <c r="AP38" s="431" t="inlineStr">
        <is>
          <t>Technique: BVA-page2 (load-more) | C-NTF-03 (Open)</t>
        </is>
      </c>
    </row>
    <row r="39" ht="35.05" customHeight="1" s="225">
      <c r="A39" s="426">
        <f>IF(C39="","",$C$2&amp;"."&amp;COUNTA($C$8:C39)&amp;"")</f>
        <v/>
      </c>
      <c r="B39" s="426" t="inlineStr">
        <is>
          <t>REQ-NTF-001</t>
        </is>
      </c>
      <c r="C39" s="426" t="inlineStr">
        <is>
          <t>UI nền tảng (scroll-load) · QA đề xuất — Chờ BA/Dev — C-NTF-03 (Open)</t>
        </is>
      </c>
      <c r="D39" s="426" t="inlineStr">
        <is>
          <t>Functional</t>
        </is>
      </c>
      <c r="E39" s="426" t="inlineStr">
        <is>
          <t>Low</t>
        </is>
      </c>
      <c r="F39" s="427" t="inlineStr">
        <is>
          <t>Check khi đã load hết toàn bộ dữ liệu, hiển thị rõ ràng không còn gì để load thêm</t>
        </is>
      </c>
      <c r="G39" s="427" t="inlineStr">
        <is>
          <t>Đã scroll load hết toàn bộ thông báo (không còn dữ liệu cũ hơn)</t>
        </is>
      </c>
      <c r="H39" s="427" t="inlineStr">
        <is>
          <t>1. Scroll tới cuối danh sách khi đã ở batch cuối cùng</t>
        </is>
      </c>
      <c r="I39" s="427" t="inlineStr">
        <is>
          <t>1. Không xuất hiện loading spinner treo mãi; hệ thống nhận biết đã hết dữ liệu (không gọi thêm request load)</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IF($A38="","",IF(OR($N38="Yes",$S38="Yes",$X38="Yes",$AC38="Yes",$AH38="Yes"),"Yes","No"))</f>
        <v/>
      </c>
      <c r="AN39" s="430">
        <f>IF($A38="","",IFERROR(IF($AI38&lt;&gt;"",$AI38,IF($AD38&lt;&gt;"",$AD38,IF($Y38&lt;&gt;"",$Y38,IF($T38&lt;&gt;"",$T38,IF($O38&lt;&gt;"",$O38,""))))),""))</f>
        <v/>
      </c>
      <c r="AO39" s="430">
        <f>IFERROR(IF($AJ38&lt;&gt;"",$AJ38,IF($AE38&lt;&gt;"",$AE38,IF($Z38&lt;&gt;"",$Z38,IF($U38&lt;&gt;"",$U38,IF($P38&lt;&gt;"",$P38,""))))),"")</f>
        <v/>
      </c>
      <c r="AP39" s="431" t="inlineStr">
        <is>
          <t>Technique: BVA-last-page | C-NTF-03 (Open)</t>
        </is>
      </c>
    </row>
    <row r="40" ht="35.05" customHeight="1" s="225">
      <c r="A40" s="426">
        <f>IF(C40="","",$C$2&amp;"."&amp;COUNTA($C$8:C40)&amp;"")</f>
        <v/>
      </c>
      <c r="B40" s="426" t="inlineStr">
        <is>
          <t>REQ-NTF-001</t>
        </is>
      </c>
      <c r="C40" s="426" t="inlineStr">
        <is>
          <t>UI nền tảng (scroll-load) · QA đề xuất — Chờ BA/Dev — C-NTF-03 (Open)</t>
        </is>
      </c>
      <c r="D40" s="426" t="inlineStr">
        <is>
          <t>Functional</t>
        </is>
      </c>
      <c r="E40" s="426" t="inlineStr">
        <is>
          <t>Low</t>
        </is>
      </c>
      <c r="F40" s="427" t="inlineStr">
        <is>
          <t>Check tiếp tục scroll sau khi đã hết dữ liệu không gây lỗi/trùng lặp</t>
        </is>
      </c>
      <c r="G40" s="427" t="inlineStr">
        <is>
          <t>Đã load hết toàn bộ dữ liệu thông báo (như TC load hết dữ liệu)</t>
        </is>
      </c>
      <c r="H40" s="427" t="inlineStr">
        <is>
          <t>1. Tiếp tục kéo/scroll thêm nhiều lần sau khi đã hết dữ liệu</t>
        </is>
      </c>
      <c r="I40" s="427" t="inlineStr">
        <is>
          <t>1. Không có thông báo bị lặp lại trong danh sách; không phát sinh lỗi/crash/treo app</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IF($A39="","",IF(OR($N39="Yes",$S39="Yes",$X39="Yes",$AC39="Yes",$AH39="Yes"),"Yes","No"))</f>
        <v/>
      </c>
      <c r="AN40" s="430">
        <f>IF($A39="","",IFERROR(IF($AI39&lt;&gt;"",$AI39,IF($AD39&lt;&gt;"",$AD39,IF($Y39&lt;&gt;"",$Y39,IF($T39&lt;&gt;"",$T39,IF($O39&lt;&gt;"",$O39,""))))),""))</f>
        <v/>
      </c>
      <c r="AO40" s="430">
        <f>IFERROR(IF($AJ39&lt;&gt;"",$AJ39,IF($AE39&lt;&gt;"",$AE39,IF($Z39&lt;&gt;"",$Z39,IF($U39&lt;&gt;"",$U39,IF($P39&lt;&gt;"",$P39,""))))),"")</f>
        <v/>
      </c>
      <c r="AP40" s="431" t="inlineStr">
        <is>
          <t>Technique: BVA-max+1 (over-scroll) | C-NTF-03 (Open)</t>
        </is>
      </c>
    </row>
    <row r="41" ht="35.05" customHeight="1" s="225">
      <c r="A41" s="426">
        <f>IF(C41="","",$C$2&amp;"."&amp;COUNTA($C$8:C41)&amp;"")</f>
        <v/>
      </c>
      <c r="B41" s="426" t="inlineStr">
        <is>
          <t>REQ-NTF-001</t>
        </is>
      </c>
      <c r="C41" s="426" t="inlineStr">
        <is>
          <t>UI nền tảng (scroll-load) · QA đề xuất — Chờ BA/Dev — C-NTF-03 (Open)</t>
        </is>
      </c>
      <c r="D41" s="426" t="inlineStr">
        <is>
          <t>Functional</t>
        </is>
      </c>
      <c r="E41" s="426" t="inlineStr">
        <is>
          <t>Low</t>
        </is>
      </c>
      <c r="F41" s="427" t="inlineStr">
        <is>
          <t>Check mất kết nối mạng đúng lúc đang load thêm dữ liệu không làm mất dữ liệu đã hiển thị</t>
        </is>
      </c>
      <c r="G41" s="427" t="inlineStr">
        <is>
          <t>Đang trong quá trình scroll load thêm batch tiếp theo</t>
        </is>
      </c>
      <c r="H41" s="427" t="inlineStr">
        <is>
          <t>1. Ngắt kết nối mạng đúng lúc hệ thống đang load thêm dữ liệu (giữa lúc scroll)
2. Quan sát màn Thông báo</t>
        </is>
      </c>
      <c r="I41" s="427" t="inlineStr">
        <is>
          <t>2. Hiển thị thông báo lỗi/cho phép thử lại (không crash); danh sách thông báo đã load trước đó KHÔNG bị mất/xoá</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IF($A40="","",IF(OR($N40="Yes",$S40="Yes",$X40="Yes",$AC40="Yes",$AH40="Yes"),"Yes","No"))</f>
        <v/>
      </c>
      <c r="AN41" s="430">
        <f>IF($A40="","",IFERROR(IF($AI40&lt;&gt;"",$AI40,IF($AD40&lt;&gt;"",$AD40,IF($Y40&lt;&gt;"",$Y40,IF($T40&lt;&gt;"",$T40,IF($O40&lt;&gt;"",$O40,""))))),""))</f>
        <v/>
      </c>
      <c r="AO41" s="430">
        <f>IFERROR(IF($AJ40&lt;&gt;"",$AJ40,IF($AE40&lt;&gt;"",$AE40,IF($Z40&lt;&gt;"",$Z40,IF($U40&lt;&gt;"",$U40,IF($P40&lt;&gt;"",$P40,""))))),"")</f>
        <v/>
      </c>
      <c r="AP41" s="431" t="inlineStr">
        <is>
          <t>Technique: EP-network-error (edge case khi load thêm) | C-NTF-03 (Open)</t>
        </is>
      </c>
    </row>
    <row r="42" s="225">
      <c r="A42" s="426" t="n"/>
      <c r="B42" s="432" t="inlineStr">
        <is>
          <t>Block Kiểm soát nội dung push (OPR-07)</t>
        </is>
      </c>
      <c r="C42" s="233" t="n"/>
      <c r="D42" s="233" t="n"/>
      <c r="E42" s="233" t="n"/>
      <c r="F42" s="233" t="n"/>
      <c r="G42" s="233" t="n"/>
      <c r="H42" s="233" t="n"/>
      <c r="I42" s="231"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f>IF(C43="","",$C$2&amp;"."&amp;COUNTA($C$8:C43)&amp;"")</f>
        <v/>
      </c>
      <c r="B43" s="426" t="inlineStr">
        <is>
          <t>REQ-NTF-002</t>
        </is>
      </c>
      <c r="C43" s="426" t="inlineStr">
        <is>
          <t>DOC-v1.0-01 §D7 (OPR-07)</t>
        </is>
      </c>
      <c r="D43" s="426" t="inlineStr">
        <is>
          <t>Functional</t>
        </is>
      </c>
      <c r="E43" s="426" t="inlineStr">
        <is>
          <t>High</t>
        </is>
      </c>
      <c r="F43" s="427" t="inlineStr">
        <is>
          <t>Check nội dung push "SĐT đã lộ" (NTF-01) KHÔNG hiển thị số điện thoại</t>
        </is>
      </c>
      <c r="G43" s="427" t="inlineStr">
        <is>
          <t>Đơn vừa chuyển MATCHED (Carrier bấm "Tôi mang giúp được"), SĐT 2 bên đã lộ TRONG APP (theo REQ-ASN-002/003)</t>
        </is>
      </c>
      <c r="H43" s="427" t="inlineStr">
        <is>
          <t>1. Trigger sự kiện ghép đơn (Carrier bấm "Tôi mang giúp được")
2. Quan sát nội dung push notification "SĐT đã lộ" hiển thị trên thiết bị (title + body), KHÔNG mở app
3. Đối chiếu text với SĐT thật của bên còn lại</t>
        </is>
      </c>
      <c r="I43" s="427" t="inlineStr">
        <is>
          <t>3. Title và body của push notification KHÔNG chứa chuỗi số điện thoại (dạng số hoặc định dạng SĐT) của bên còn lại — SĐT chỉ xem được sau khi bấm vào thông báo để mở app</t>
        </is>
      </c>
      <c r="J43" s="426" t="inlineStr">
        <is>
          <t>AI</t>
        </is>
      </c>
      <c r="K43" s="426" t="inlineStr">
        <is>
          <t>Pending</t>
        </is>
      </c>
      <c r="L43" s="426" t="inlineStr">
        <is>
          <t>No</t>
        </is>
      </c>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f>IF($A36="","",IF(OR($N36="Yes",$S36="Yes",$X36="Yes",$AC36="Yes",$AH36="Yes"),"Yes","No"))</f>
        <v/>
      </c>
      <c r="AN43" s="430">
        <f>IF($A36="","",IFERROR(IF($AI36&lt;&gt;"",$AI36,IF($AD36&lt;&gt;"",$AD36,IF($Y36&lt;&gt;"",$Y36,IF($T36&lt;&gt;"",$T36,IF($O36&lt;&gt;"",$O36,""))))),""))</f>
        <v/>
      </c>
      <c r="AO43" s="430">
        <f>IFERROR(IF($AJ36&lt;&gt;"",$AJ36,IF($AE36&lt;&gt;"",$AE36,IF($Z36&lt;&gt;"",$Z36,IF($U36&lt;&gt;"",$U36,IF($P36&lt;&gt;"",$P36,""))))),"")</f>
        <v/>
      </c>
      <c r="AP43" s="431" t="inlineStr">
        <is>
          <t>Technique: EP-push-content-hidden (baseline) | ⚠ Chưa có ảnh/bằng chứng UI cho nội dung push thật (không có trong DOC-v1.0-04) — TC assert theo đúng RULE (OPR-07), cần vibe-test xác nhận nội dung push thật trên thiết bị trước khi coi Expected là final. Test riêng biệt với SC-ASN-003 (SĐT không lộ TRONG APP trước khi ghép) — TC này test tầng NỘI DUNG PUSH, khác bề mặt.</t>
        </is>
      </c>
    </row>
    <row r="44" s="225">
      <c r="A44" s="426">
        <f>IF(C44="","",$C$2&amp;"."&amp;COUNTA($C$8:C44)&amp;"")</f>
        <v/>
      </c>
      <c r="B44" s="426" t="inlineStr">
        <is>
          <t>REQ-NTF-002</t>
        </is>
      </c>
      <c r="C44" s="426" t="inlineStr">
        <is>
          <t>DOC-v1.0-01 §D7 (OPR-07)</t>
        </is>
      </c>
      <c r="D44" s="426" t="inlineStr">
        <is>
          <t>Functional</t>
        </is>
      </c>
      <c r="E44" s="426" t="inlineStr">
        <is>
          <t>High</t>
        </is>
      </c>
      <c r="F44" s="427" t="inlineStr">
        <is>
          <t>Check nội dung push ở mốc sau (NTF-04 "Đã lấy hàng") vẫn KHÔNG hiển thị SĐT</t>
        </is>
      </c>
      <c r="G44" s="427" t="inlineStr">
        <is>
          <t>Đơn đã MATCHED từ trước, Carrier vừa bấm "Tôi đã lấy hàng"</t>
        </is>
      </c>
      <c r="H44" s="427" t="inlineStr">
        <is>
          <t>1. Carrier bấm "Tôi đã lấy hàng" trên đơn đã MATCHED
2. Quan sát nội dung push notification tương ứng (NTF-04) trên thiết bị, KHÔNG mở app
3. Đối chiếu text với SĐT thật của 2 bên</t>
        </is>
      </c>
      <c r="I44" s="427" t="inlineStr">
        <is>
          <t>3. Title và body của push notification KHÔNG chứa SĐT của bất kỳ bên nào — rule áp dụng NHẤT QUÁN ở mọi mốc thông báo trong vòng đời đơn (NTF-04/05/06/08/09), không chỉ lúc vừa ghép</t>
        </is>
      </c>
      <c r="J44" s="426" t="inlineStr">
        <is>
          <t>AI</t>
        </is>
      </c>
      <c r="K44" s="426" t="inlineStr">
        <is>
          <t>Pending</t>
        </is>
      </c>
      <c r="L44" s="426" t="inlineStr">
        <is>
          <t>No</t>
        </is>
      </c>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f>IF($A36="","",IF(OR($N36="Yes",$S36="Yes",$X36="Yes",$AC36="Yes",$AH36="Yes"),"Yes","No"))</f>
        <v/>
      </c>
      <c r="AN44" s="430">
        <f>IF($A36="","",IFERROR(IF($AI36&lt;&gt;"",$AI36,IF($AD36&lt;&gt;"",$AD36,IF($Y36&lt;&gt;"",$Y36,IF($T36&lt;&gt;"",$T36,IF($O36&lt;&gt;"",$O36,""))))),""))</f>
        <v/>
      </c>
      <c r="AO44" s="430">
        <f>IFERROR(IF($AJ36&lt;&gt;"",$AJ36,IF($AE36&lt;&gt;"",$AE36,IF($Z36&lt;&gt;"",$Z36,IF($U36&lt;&gt;"",$U36,IF($P36&lt;&gt;"",$P36,""))))),"")</f>
        <v/>
      </c>
      <c r="AP44" s="431" t="inlineStr">
        <is>
          <t>Technique: EP-push-content-hidden-later-lifecycle | Đối chứng cho TC trước (mốc vừa ghép) — xác nhận rule không chỉ áp dụng tại thời điểm MATCHED mà xuyên suốt các mốc thông báo khác. Cùng cảnh báo cần vibe-test như TC trước.</t>
        </is>
      </c>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AQ95" s="224" t="n"/>
    </row>
    <row r="96" s="225">
      <c r="AQ96" s="224" t="n"/>
    </row>
    <row r="97" s="225">
      <c r="AQ97" s="224" t="n"/>
    </row>
    <row r="98" s="225">
      <c r="AQ98" s="224" t="n"/>
    </row>
    <row r="99" s="225">
      <c r="AQ99" s="224" t="n"/>
    </row>
    <row r="100" s="225">
      <c r="AQ100" s="224" t="n"/>
    </row>
    <row r="101" s="225">
      <c r="AQ101" s="224" t="n"/>
    </row>
    <row r="102" s="225">
      <c r="AQ102" s="224" t="n"/>
    </row>
    <row r="103" s="225">
      <c r="AQ103" s="224" t="n"/>
    </row>
    <row r="104" s="225">
      <c r="AQ104" s="224" t="n"/>
    </row>
    <row r="105" s="225">
      <c r="AQ105" s="224" t="n"/>
    </row>
    <row r="106" s="225">
      <c r="AQ106" s="224" t="n"/>
    </row>
    <row r="107" s="225">
      <c r="AQ107" s="224" t="n"/>
    </row>
    <row r="108" s="225">
      <c r="AQ108" s="224" t="n"/>
    </row>
    <row r="109" s="225">
      <c r="AQ109" s="224" t="n"/>
    </row>
    <row r="110" s="225">
      <c r="AQ110" s="224" t="n"/>
    </row>
    <row r="111" s="225">
      <c r="AQ111" s="224" t="n"/>
    </row>
    <row r="112" s="225">
      <c r="AQ112" s="224" t="n"/>
    </row>
    <row r="113" s="225">
      <c r="AQ113" s="224" t="n"/>
    </row>
    <row r="114" s="225">
      <c r="AQ114" s="224" t="n"/>
    </row>
    <row r="115" s="225">
      <c r="AQ115" s="224" t="n"/>
    </row>
    <row r="116" s="225">
      <c r="AQ116" s="224" t="n"/>
    </row>
    <row r="117" s="225">
      <c r="AQ117" s="224" t="n"/>
    </row>
    <row r="118" s="225">
      <c r="AQ118" s="224" t="n"/>
    </row>
    <row r="119" s="225">
      <c r="AQ119" s="224" t="n"/>
    </row>
    <row r="120" s="225">
      <c r="AQ120" s="224" t="n"/>
    </row>
    <row r="121" s="225">
      <c r="AQ121" s="224" t="n"/>
    </row>
    <row r="122" s="225">
      <c r="AQ122" s="224" t="n"/>
    </row>
    <row r="123" s="225">
      <c r="AQ123" s="224" t="n"/>
    </row>
    <row r="124" s="225">
      <c r="AQ124" s="224" t="n"/>
    </row>
    <row r="125" s="225">
      <c r="AQ125" s="224" t="n"/>
    </row>
    <row r="126" s="225">
      <c r="AQ126" s="224" t="n"/>
    </row>
    <row r="127" s="225">
      <c r="AQ127" s="224" t="n"/>
    </row>
    <row r="128" s="225">
      <c r="AQ128" s="224" t="n"/>
    </row>
    <row r="129" s="225">
      <c r="AQ129" s="224" t="n"/>
    </row>
    <row r="130" s="225">
      <c r="AQ130" s="224" t="n"/>
    </row>
    <row r="131" s="225">
      <c r="AQ131" s="224" t="n"/>
    </row>
    <row r="132" s="225">
      <c r="AQ132" s="224" t="n"/>
    </row>
    <row r="133" s="225">
      <c r="AQ133" s="224" t="n"/>
    </row>
    <row r="134" s="225">
      <c r="AQ134" s="224" t="n"/>
    </row>
    <row r="135" s="225">
      <c r="AQ135" s="224" t="n"/>
    </row>
    <row r="136" s="225">
      <c r="AQ136" s="224" t="n"/>
    </row>
    <row r="137" s="225">
      <c r="AQ137" s="224" t="n"/>
    </row>
    <row r="138" s="225">
      <c r="AQ138" s="224" t="n"/>
    </row>
    <row r="139" s="225">
      <c r="AQ139" s="224" t="n"/>
    </row>
    <row r="140" s="225">
      <c r="AQ140" s="224" t="n"/>
    </row>
    <row r="141" s="225">
      <c r="AQ141" s="224" t="n"/>
    </row>
    <row r="142" s="225">
      <c r="AQ142" s="224" t="n"/>
    </row>
    <row r="143" s="225">
      <c r="AQ143" s="224" t="n"/>
    </row>
    <row r="144" s="225">
      <c r="AQ144" s="224" t="n"/>
    </row>
    <row r="145" s="225">
      <c r="AQ145" s="224" t="n"/>
    </row>
    <row r="146" s="225">
      <c r="AQ146" s="224" t="n"/>
    </row>
    <row r="147" s="225">
      <c r="AQ147" s="224" t="n"/>
    </row>
    <row r="148" s="225">
      <c r="AQ148" s="224" t="n"/>
    </row>
    <row r="149" s="225">
      <c r="AQ149" s="224" t="n"/>
    </row>
    <row r="150" s="225">
      <c r="AQ150" s="224" t="n"/>
    </row>
    <row r="151" s="225">
      <c r="AQ151" s="224" t="n"/>
    </row>
    <row r="152" s="225">
      <c r="AQ152" s="224" t="n"/>
    </row>
    <row r="153" s="225">
      <c r="AQ153" s="224" t="n"/>
    </row>
    <row r="154" s="225">
      <c r="AQ154" s="224" t="n"/>
    </row>
    <row r="155" s="225">
      <c r="AQ155" s="224" t="n"/>
    </row>
    <row r="156" s="225">
      <c r="AQ156" s="224" t="n"/>
    </row>
    <row r="157" s="225">
      <c r="AQ157" s="224" t="n"/>
    </row>
    <row r="158" s="225">
      <c r="AQ158" s="224" t="n"/>
    </row>
    <row r="159" s="225">
      <c r="AQ159" s="224" t="n"/>
    </row>
    <row r="160" s="225">
      <c r="AQ160" s="224" t="n"/>
    </row>
    <row r="161" s="225">
      <c r="AQ161" s="224" t="n"/>
    </row>
    <row r="162" s="225">
      <c r="AQ162" s="224" t="n"/>
    </row>
    <row r="163" s="225">
      <c r="AQ163" s="224" t="n"/>
    </row>
    <row r="164" s="225">
      <c r="AQ164" s="224" t="n"/>
    </row>
    <row r="165" s="225">
      <c r="AQ165" s="224" t="n"/>
    </row>
    <row r="166" s="225">
      <c r="AQ166" s="224" t="n"/>
    </row>
    <row r="167" s="225">
      <c r="AQ167" s="224" t="n"/>
    </row>
    <row r="168" s="225">
      <c r="AQ168" s="224" t="n"/>
    </row>
    <row r="169" s="225">
      <c r="AQ169" s="224" t="n"/>
    </row>
    <row r="170" s="225">
      <c r="AQ170" s="224" t="n"/>
    </row>
    <row r="171" s="225">
      <c r="AQ171" s="224" t="n"/>
    </row>
    <row r="172" s="225">
      <c r="AQ172" s="224" t="n"/>
    </row>
    <row r="173" s="225">
      <c r="AQ173" s="224" t="n"/>
    </row>
    <row r="174" s="225">
      <c r="AQ174" s="224" t="n"/>
    </row>
    <row r="175" s="225">
      <c r="AQ175" s="224" t="n"/>
    </row>
    <row r="176" s="225">
      <c r="AQ176" s="224" t="n"/>
    </row>
    <row r="177" s="225">
      <c r="AQ177" s="224" t="n"/>
    </row>
    <row r="178" s="225">
      <c r="AQ178" s="224" t="n"/>
    </row>
    <row r="179" s="225">
      <c r="AQ179" s="224" t="n"/>
    </row>
    <row r="180" s="225">
      <c r="AQ180" s="224" t="n"/>
    </row>
    <row r="181" s="225">
      <c r="AQ181" s="224" t="n"/>
    </row>
    <row r="182" s="225">
      <c r="AQ182" s="224" t="n"/>
    </row>
    <row r="183" s="225">
      <c r="AQ183" s="224" t="n"/>
    </row>
    <row r="184" s="225">
      <c r="AQ184" s="224" t="n"/>
    </row>
    <row r="185" s="225">
      <c r="AQ185" s="224" t="n"/>
    </row>
    <row r="186" s="225">
      <c r="AQ186" s="224" t="n"/>
    </row>
    <row r="187" s="225">
      <c r="AQ187" s="224" t="n"/>
    </row>
    <row r="188" s="225">
      <c r="AQ188" s="224" t="n"/>
    </row>
    <row r="189" s="225">
      <c r="AQ189" s="224" t="n"/>
    </row>
    <row r="190" s="225">
      <c r="AQ190" s="224" t="n"/>
    </row>
    <row r="191" s="225">
      <c r="AQ191" s="224" t="n"/>
    </row>
    <row r="192" s="225">
      <c r="AQ192" s="224" t="n"/>
    </row>
    <row r="193" s="225">
      <c r="AQ193" s="224" t="n"/>
    </row>
    <row r="194" s="225">
      <c r="AQ194" s="224" t="n"/>
    </row>
    <row r="195" s="225">
      <c r="AQ195" s="224" t="n"/>
    </row>
    <row r="196" s="225">
      <c r="AQ196" s="224" t="n"/>
    </row>
    <row r="197" s="225">
      <c r="AQ197" s="224" t="n"/>
    </row>
    <row r="198" s="225">
      <c r="AQ198" s="224" t="n"/>
    </row>
    <row r="199" s="225">
      <c r="AQ199" s="224" t="n"/>
    </row>
    <row r="200" s="225">
      <c r="AQ200" s="224" t="n"/>
    </row>
    <row r="201" s="225">
      <c r="AQ201" s="224" t="n"/>
    </row>
    <row r="202" s="225">
      <c r="AQ202" s="224" t="n"/>
    </row>
    <row r="203" s="225">
      <c r="AQ203" s="224" t="n"/>
    </row>
    <row r="204" s="225">
      <c r="AQ204" s="224" t="n"/>
    </row>
    <row r="205" s="225">
      <c r="AQ205" s="224" t="n"/>
    </row>
    <row r="206" s="225">
      <c r="AQ206" s="224" t="n"/>
    </row>
    <row r="207" s="225">
      <c r="AQ207" s="224" t="n"/>
    </row>
    <row r="208" s="225">
      <c r="AQ208" s="224" t="n"/>
    </row>
    <row r="209" s="225">
      <c r="AQ209" s="224" t="n"/>
    </row>
    <row r="210" s="225">
      <c r="AQ210" s="224" t="n"/>
    </row>
    <row r="211" s="225">
      <c r="AQ211" s="224" t="n"/>
    </row>
    <row r="212" s="225">
      <c r="AQ212" s="224" t="n"/>
    </row>
    <row r="213" s="225">
      <c r="AQ213" s="224" t="n"/>
    </row>
    <row r="214" s="225">
      <c r="AQ214" s="224" t="n"/>
    </row>
    <row r="215" s="225">
      <c r="AQ215" s="224" t="n"/>
    </row>
    <row r="216" s="225">
      <c r="AQ216" s="224" t="n"/>
    </row>
    <row r="217" s="225">
      <c r="AQ217" s="224" t="n"/>
    </row>
    <row r="218" s="225">
      <c r="AQ218" s="224" t="n"/>
    </row>
    <row r="219" s="225">
      <c r="AQ219" s="224" t="n"/>
    </row>
    <row r="220" s="225">
      <c r="AQ220" s="224" t="n"/>
    </row>
    <row r="221" s="225">
      <c r="AQ221" s="224" t="n"/>
    </row>
    <row r="222" s="225">
      <c r="AQ222" s="224" t="n"/>
    </row>
    <row r="223" s="225"/>
    <row r="224" s="225"/>
    <row r="225" s="225"/>
    <row r="226" s="225"/>
    <row r="227" s="225"/>
    <row r="228" s="225"/>
    <row r="229" s="225"/>
    <row r="230" s="225"/>
    <row r="231" s="225"/>
    <row r="232" s="225"/>
    <row r="233" s="225"/>
    <row r="234" s="225"/>
    <row r="235" s="225"/>
    <row r="236" s="225"/>
    <row r="237" s="225"/>
    <row r="238" s="225"/>
    <row r="239" s="225"/>
    <row r="240" s="225"/>
    <row r="241" s="225"/>
    <row r="242" s="225"/>
    <row r="243" s="225"/>
    <row r="244" s="225"/>
    <row r="245" s="225"/>
    <row r="246" s="225"/>
    <row r="247" s="225"/>
    <row r="248" s="225"/>
    <row r="249" s="225"/>
    <row r="250" s="225"/>
    <row r="251" s="225"/>
    <row r="252" s="225"/>
    <row r="253" s="225"/>
    <row r="254" s="225"/>
    <row r="255" s="225"/>
    <row r="256" s="225"/>
    <row r="257" s="225"/>
    <row r="258" s="225"/>
    <row r="259" s="225"/>
    <row r="260" s="225"/>
    <row r="261" s="225"/>
    <row r="262" s="225"/>
    <row r="263" s="225"/>
    <row r="264" s="225"/>
    <row r="265" s="225"/>
    <row r="266" s="225"/>
    <row r="267" s="225"/>
    <row r="268" s="225"/>
    <row r="269" s="225"/>
    <row r="270" s="225"/>
    <row r="271" s="225"/>
    <row r="272" s="225"/>
    <row r="273" s="225"/>
    <row r="274" s="225"/>
    <row r="275" s="225"/>
    <row r="276" s="225"/>
    <row r="277" s="225"/>
    <row r="278" s="225"/>
    <row r="279" s="225"/>
    <row r="280" s="225"/>
    <row r="281" s="225"/>
    <row r="282" s="225"/>
    <row r="283" s="225"/>
    <row r="284" s="225"/>
    <row r="285" s="225"/>
    <row r="286" s="225"/>
    <row r="287" s="225"/>
    <row r="288" s="225"/>
    <row r="289" s="225"/>
    <row r="290" s="225"/>
    <row r="291" s="225"/>
    <row r="292" s="225"/>
    <row r="293" s="225"/>
    <row r="294" s="225"/>
    <row r="295" s="225"/>
    <row r="296" s="225"/>
    <row r="297" s="225"/>
    <row r="298" s="225"/>
    <row r="299" s="225"/>
    <row r="300" s="225"/>
    <row r="301" s="225"/>
    <row r="302" s="225"/>
    <row r="303" s="225"/>
    <row r="304" s="225"/>
    <row r="305" s="225"/>
    <row r="306" s="225"/>
    <row r="307" s="225"/>
    <row r="308" s="225"/>
    <row r="309" s="225"/>
    <row r="310" s="225"/>
    <row r="311" s="225"/>
    <row r="312" s="225"/>
    <row r="313" s="225"/>
    <row r="314" s="225"/>
    <row r="315" s="225"/>
    <row r="316" s="225"/>
    <row r="317" s="225"/>
    <row r="318" s="225"/>
    <row r="319" s="225"/>
    <row r="320" s="225"/>
    <row r="321" s="225"/>
    <row r="322" s="225"/>
    <row r="323" s="225"/>
    <row r="324" s="225"/>
    <row r="325" s="225"/>
    <row r="326" s="225"/>
    <row r="327" s="225"/>
    <row r="328" s="225"/>
    <row r="329" s="225"/>
    <row r="330" s="225"/>
    <row r="331" s="225"/>
    <row r="332" s="225"/>
    <row r="333" s="225"/>
    <row r="334" s="225"/>
    <row r="335" s="225"/>
    <row r="336" s="225"/>
    <row r="337" s="225"/>
    <row r="338" s="225"/>
    <row r="339" s="225"/>
    <row r="340" s="225"/>
    <row r="341" s="225"/>
    <row r="342" s="225"/>
    <row r="343" s="225"/>
    <row r="344" s="225"/>
    <row r="345" s="225"/>
    <row r="346" s="225"/>
    <row r="347" s="225"/>
    <row r="348" s="225"/>
    <row r="349" s="225"/>
    <row r="350" s="225"/>
    <row r="351" s="225"/>
    <row r="352" s="225"/>
    <row r="353" s="225"/>
    <row r="354" s="225"/>
    <row r="355" s="225"/>
    <row r="356" s="225"/>
    <row r="357" s="225"/>
    <row r="358" s="225"/>
    <row r="359" s="225"/>
    <row r="360" s="225"/>
    <row r="361" s="225"/>
    <row r="362" s="225"/>
    <row r="363" s="225"/>
    <row r="364" s="225"/>
    <row r="365" s="225"/>
    <row r="366" s="225"/>
    <row r="367" s="225"/>
    <row r="368" s="225"/>
    <row r="369" s="225"/>
    <row r="370" s="225"/>
    <row r="371" s="225"/>
    <row r="372" s="225"/>
    <row r="373" s="225"/>
    <row r="374" s="225"/>
    <row r="375" s="225"/>
    <row r="376" s="225"/>
    <row r="377" s="225"/>
    <row r="378" s="225"/>
    <row r="379" s="225"/>
    <row r="380" s="225"/>
    <row r="381" s="225"/>
    <row r="382" s="225"/>
    <row r="383" s="225"/>
    <row r="384" s="225"/>
    <row r="385" s="225"/>
    <row r="386" s="225"/>
    <row r="387" s="225"/>
    <row r="388" s="225"/>
    <row r="389" s="225"/>
    <row r="390" s="225"/>
    <row r="391" s="225"/>
    <row r="392" s="225"/>
    <row r="393" s="225"/>
    <row r="394" s="225"/>
    <row r="395" s="225"/>
    <row r="396" s="225"/>
    <row r="397" s="225"/>
    <row r="398" s="225"/>
    <row r="399" s="225"/>
    <row r="400" s="225"/>
    <row r="401" s="225"/>
    <row r="402" s="225"/>
    <row r="403" s="225"/>
    <row r="404" s="225"/>
    <row r="405" s="225"/>
    <row r="406" s="225"/>
    <row r="407" s="225"/>
    <row r="408" s="225"/>
    <row r="409" s="225"/>
    <row r="410" s="225"/>
    <row r="411" s="225"/>
    <row r="412" s="225"/>
    <row r="413" s="225"/>
    <row r="414" s="225"/>
    <row r="415" s="225"/>
    <row r="416" s="225"/>
    <row r="417" s="225"/>
    <row r="418" s="225"/>
    <row r="419" s="225"/>
    <row r="420" s="225"/>
    <row r="421" s="225"/>
    <row r="422" s="225"/>
    <row r="423" s="225"/>
    <row r="424" s="225"/>
    <row r="425" s="225"/>
    <row r="426" s="225"/>
    <row r="427" s="225"/>
    <row r="428" s="225"/>
    <row r="429" s="225"/>
    <row r="430" s="225"/>
    <row r="431" s="225"/>
    <row r="432" s="225"/>
    <row r="433" s="225"/>
    <row r="434" s="225"/>
    <row r="435" s="225"/>
    <row r="436" s="225"/>
    <row r="437" s="225"/>
    <row r="438" s="225"/>
    <row r="439" s="225"/>
    <row r="440" s="225"/>
    <row r="441" s="225"/>
    <row r="442" s="225"/>
    <row r="443" s="225"/>
    <row r="444" s="225"/>
    <row r="445" s="225"/>
    <row r="446" s="225"/>
    <row r="447" s="225"/>
    <row r="448" s="225"/>
    <row r="449" s="225"/>
    <row r="450" s="225"/>
    <row r="451" s="225"/>
    <row r="452" s="225"/>
    <row r="453" s="225"/>
    <row r="454" s="225"/>
    <row r="455" s="225"/>
    <row r="456" s="225"/>
    <row r="457" s="225"/>
    <row r="458" s="225"/>
    <row r="459" s="225"/>
    <row r="460" s="225"/>
    <row r="461" s="225"/>
    <row r="462" s="225"/>
    <row r="463" s="225"/>
    <row r="464" s="225"/>
    <row r="465" s="225"/>
    <row r="466" s="225"/>
    <row r="467" s="225"/>
    <row r="468" s="225"/>
    <row r="469" s="225"/>
    <row r="470" s="225"/>
    <row r="471" s="225"/>
    <row r="472" s="225"/>
    <row r="473" s="225"/>
    <row r="474" s="225"/>
    <row r="475" s="225"/>
    <row r="476" s="225"/>
    <row r="477" s="225"/>
    <row r="478" s="225"/>
    <row r="479" s="225"/>
    <row r="480" s="225"/>
    <row r="481" s="225"/>
    <row r="482" s="225"/>
    <row r="483" s="225"/>
    <row r="484" s="225"/>
    <row r="485" s="225"/>
    <row r="486" s="225"/>
    <row r="487" s="225"/>
    <row r="488" s="225"/>
    <row r="489" s="225"/>
    <row r="490" s="225"/>
    <row r="491" s="225"/>
    <row r="492" s="225"/>
    <row r="493" s="225"/>
    <row r="494" s="225"/>
    <row r="495" s="225"/>
    <row r="496" s="225"/>
    <row r="497" s="225"/>
    <row r="498" s="225"/>
    <row r="499" s="225"/>
    <row r="500" s="225"/>
    <row r="501" s="225"/>
    <row r="502"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5">
    <mergeCell ref="A7:I7"/>
    <mergeCell ref="B31:I31"/>
    <mergeCell ref="AH5:AL5"/>
    <mergeCell ref="C2:E2"/>
    <mergeCell ref="A5:C5"/>
    <mergeCell ref="B11:I11"/>
    <mergeCell ref="AC5:AG5"/>
    <mergeCell ref="J5:M5"/>
    <mergeCell ref="A3:B3"/>
    <mergeCell ref="G3:H3"/>
    <mergeCell ref="N5:R5"/>
    <mergeCell ref="I3:J3"/>
    <mergeCell ref="A2:B2"/>
    <mergeCell ref="B29:I29"/>
    <mergeCell ref="D5:I5"/>
    <mergeCell ref="C3:E3"/>
    <mergeCell ref="X5:AB5"/>
    <mergeCell ref="A4:B4"/>
    <mergeCell ref="G4:H4"/>
    <mergeCell ref="I4:J4"/>
    <mergeCell ref="AM5:AP5"/>
    <mergeCell ref="S5:W5"/>
    <mergeCell ref="C4:E4"/>
    <mergeCell ref="B36:I36"/>
    <mergeCell ref="B26:I26"/>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2.xml><?xml version="1.0" encoding="utf-8"?>
<worksheet xmlns="http://schemas.openxmlformats.org/spreadsheetml/2006/main">
  <sheetPr filterMode="0">
    <outlinePr summaryBelow="1" summaryRight="1"/>
    <pageSetUpPr fitToPage="1"/>
  </sheetPr>
  <dimension ref="A1:AQ216"/>
  <sheetViews>
    <sheetView showFormulas="0" showGridLines="1" showRowColHeaders="1" showZeros="1" rightToLeft="0" tabSelected="0" showOutlineSymbols="1" defaultGridColor="1" view="normal" topLeftCell="A1" colorId="64" zoomScale="100" zoomScaleNormal="100" zoomScalePageLayoutView="100" workbookViewId="0">
      <pane xSplit="1" ySplit="24" topLeftCell="B2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activeCellId="0"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TC_04</t>
        </is>
      </c>
      <c r="D2" s="233" t="n"/>
      <c r="E2" s="231" t="n"/>
    </row>
    <row r="3" ht="15" customHeight="1" s="225">
      <c r="A3" s="414" t="inlineStr">
        <is>
          <t>Tên chức năng</t>
        </is>
      </c>
      <c r="B3" s="231" t="n"/>
      <c r="C3" s="415" t="inlineStr">
        <is>
          <t>Đăng tin (Wizard NEED + Form OFFER)</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Đăng tin mới (chọn vai trò)</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60" customHeight="1" s="225">
      <c r="A8" s="426" t="n"/>
      <c r="B8" s="432" t="inlineStr">
        <is>
          <t>Block 2 lựa chọn</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100" customHeight="1" s="225">
      <c r="A9" s="426">
        <f>IF(C9="","",$C$2&amp;"."&amp;COUNTA($C$8:C9)&amp;"")</f>
        <v/>
      </c>
      <c r="B9" s="426" t="inlineStr">
        <is>
          <t>REQ-ORD-001, REQ-ORD-002</t>
        </is>
      </c>
      <c r="C9" s="426" t="inlineStr">
        <is>
          <t>DOC-v1.0-02, DOC-v1.0-04</t>
        </is>
      </c>
      <c r="D9" s="426" t="inlineStr">
        <is>
          <t>UI</t>
        </is>
      </c>
      <c r="E9" s="426" t="inlineStr">
        <is>
          <t>Medium</t>
        </is>
      </c>
      <c r="F9" s="427" t="inlineStr">
        <is>
          <t>Check đầy đủ 5 thành phần hiển thị tại màn 'Đăng tin mới'</t>
        </is>
      </c>
      <c r="G9" s="427" t="inlineStr">
        <is>
          <t>Đã đăng nhập, đang ở màn 'Đăng tin mới', MỚI/SẠCH</t>
        </is>
      </c>
      <c r="H9" s="427" t="inlineStr">
        <is>
          <t>1. Quan sát toàn bộ màn 'Đăng tin mới'</t>
        </is>
      </c>
      <c r="I9" s="427" t="inlineStr">
        <is>
          <t>1. Hiển thị đủ 5 thành phần theo đúng thứ tự:
(1) subtitle 'Bạn muốn làm gì?'
(2) card 'Tôi cần gửi hàng' (icon hộp cam, mô tả 'Bạn có hàng cần gửi, tìm đồng nghiệp đi thuận đường mang hộ.')
(3) card 'Tôi nhận giao hàng' (icon route tím, mô tả 'Bạn đang có nhu cầu di chuyển và có thể nhận giao hàng giúp cho đồng nghiệp')
(4) banner cam kết (nền vàng nhạt, icon ⓘ) 'App không thu phí, không chat, không thanh toán. Sau khi ghép, SĐT hai bên sẽ được lộ để liên hệ ngoài app.'
(5) 2 card bấm được (chạm vào vùng card, không chỉ riêng nút)</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 — nguồn ảnh Figma DOC-v1.0-04 hash f821ba3087b8cc6e8065fbde6e327274d34482b2</t>
        </is>
      </c>
    </row>
    <row r="10" ht="60" customHeight="1" s="225">
      <c r="A10" s="426">
        <f>IF(C10="","",$C$2&amp;"."&amp;COUNTA($C$8:C10)&amp;"")</f>
        <v/>
      </c>
      <c r="B10" s="426" t="inlineStr">
        <is>
          <t>REQ-ORD-001, REQ-ORD-002</t>
        </is>
      </c>
      <c r="C10" s="426" t="inlineStr">
        <is>
          <t>DOC-v1.0-01, DOC-v1.0-02</t>
        </is>
      </c>
      <c r="D10" s="426" t="inlineStr">
        <is>
          <t>Functional</t>
        </is>
      </c>
      <c r="E10" s="426" t="inlineStr">
        <is>
          <t>High</t>
        </is>
      </c>
      <c r="F10" s="427" t="inlineStr">
        <is>
          <t>Check chọn 'Tôi cần gửi hàng' chuyển sang Wizard đăng tin Bước 1/3</t>
        </is>
      </c>
      <c r="G10" s="427" t="inlineStr">
        <is>
          <t>Đã đăng nhập, đang ở màn 'Đăng tin mới'</t>
        </is>
      </c>
      <c r="H10" s="427" t="inlineStr">
        <is>
          <t>1. Bấm 'Tôi cần gửi hàng'</t>
        </is>
      </c>
      <c r="I10" s="427" t="inlineStr">
        <is>
          <t>1. Chuyển sang màn Wizard đăng tin Bước 1/3 (Thông tin hàng)</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n"/>
    </row>
    <row r="11" ht="15" customHeight="1" s="225">
      <c r="A11" s="426">
        <f>IF(C11="","",$C$2&amp;"."&amp;COUNTA($C$8:C11)&amp;"")</f>
        <v/>
      </c>
      <c r="B11" s="426" t="inlineStr">
        <is>
          <t>REQ-ORD-001, REQ-ORD-002</t>
        </is>
      </c>
      <c r="C11" s="426" t="inlineStr">
        <is>
          <t>DOC-v1.0-01, DOC-v1.0-02</t>
        </is>
      </c>
      <c r="D11" s="426" t="inlineStr">
        <is>
          <t>Functional</t>
        </is>
      </c>
      <c r="E11" s="426" t="inlineStr">
        <is>
          <t>Medium</t>
        </is>
      </c>
      <c r="F11" s="427" t="inlineStr">
        <is>
          <t>Check chọn 'Tôi nhận giao hàng' chuyển sang Form đăng ký tuyến (OFFER)</t>
        </is>
      </c>
      <c r="G11" s="427" t="inlineStr">
        <is>
          <t>Đã đăng nhập, đang ở màn 'Đăng tin mới'</t>
        </is>
      </c>
      <c r="H11" s="427" t="inlineStr">
        <is>
          <t>1. Bấm 'Tôi nhận giao hàng'</t>
        </is>
      </c>
      <c r="I11" s="427" t="inlineStr">
        <is>
          <t>1. Chuyển sang màn Form đăng ký tuyến 1 bước (OFFER), KHÔNG qua wizard nhiều bước</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n"/>
    </row>
    <row r="12" ht="60" customHeight="1" s="225">
      <c r="A12" s="426">
        <f>IF(C12="","",$C$2&amp;"."&amp;COUNTA($C$8:C12)&amp;"")</f>
        <v/>
      </c>
      <c r="B12" s="426" t="inlineStr">
        <is>
          <t>REQ-ORD-001, REQ-ORD-002</t>
        </is>
      </c>
      <c r="C12" s="426" t="inlineStr">
        <is>
          <t>Quan sát thực tế app STG (QA GiangDC2, chat 2026-07-30)</t>
        </is>
      </c>
      <c r="D12" s="426" t="inlineStr">
        <is>
          <t>UI</t>
        </is>
      </c>
      <c r="E12" s="426" t="inlineStr">
        <is>
          <t>Low</t>
        </is>
      </c>
      <c r="F12" s="427" t="inlineStr">
        <is>
          <t>Check icon quay lại/đóng tại màn "Đăng tin mới"</t>
        </is>
      </c>
      <c r="G12" s="427" t="inlineStr">
        <is>
          <t>Đã đăng nhập, đang ở Trang chủ</t>
        </is>
      </c>
      <c r="H12" s="427" t="inlineStr">
        <is>
          <t>1. Mở app FoxEco, đang ở Trang chủ
2. Bấm nút [+] (Đăng tin) tại bottom nav để mở màn "Đăng tin mới"
3. Bấm icon quay lại/đóng (←) ở Header</t>
        </is>
      </c>
      <c r="I12" s="427" t="inlineStr">
        <is>
          <t>3. Điều hướng đúng về Trang chủ</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IF($A9="","",IF(OR($N9="Yes",$S9="Yes",$X9="Yes",$AC9="Yes",$AH9="Yes"),"Yes","No"))</f>
        <v/>
      </c>
      <c r="AN12" s="430">
        <f>IF($A9="","",IFERROR(IF($AI9&lt;&gt;"",$AI9,IF($AD9&lt;&gt;"",$AD9,IF($Y9&lt;&gt;"",$Y9,IF($T9&lt;&gt;"",$T9,IF($O9&lt;&gt;"",$O9,""))))),""))</f>
        <v/>
      </c>
      <c r="AO12" s="430">
        <f>IFERROR(IF($AJ9&lt;&gt;"",$AJ9,IF($AE9&lt;&gt;"",$AE9,IF($Z9&lt;&gt;"",$Z9,IF($U9&lt;&gt;"",$U9,IF($P9&lt;&gt;"",$P9,""))))),"")</f>
        <v/>
      </c>
      <c r="AP12" s="431" t="inlineStr">
        <is>
          <t>Technique: EP-back-icon. Bổ sung 2026-07-30 theo yêu cầu user (QA GiangDC2 xác nhận trực tiếp trên app STG: icon quay lại tồn tại và hoạt động đúng ở màn này) — phát hiện khi quét lại toàn bộ TC-MASTER, kiểm tra completeness icon Back cho từng màn hình.</t>
        </is>
      </c>
    </row>
    <row r="13" ht="60" customHeight="1" s="225">
      <c r="A13" s="423" t="inlineStr">
        <is>
          <t>Wizard đăng tin — Bước 1/3 (Thông tin hàng)</t>
        </is>
      </c>
      <c r="B13" s="233" t="n"/>
      <c r="C13" s="233" t="n"/>
      <c r="D13" s="233" t="n"/>
      <c r="E13" s="233" t="n"/>
      <c r="F13" s="233" t="n"/>
      <c r="G13" s="233" t="n"/>
      <c r="H13" s="233" t="n"/>
      <c r="I13" s="231" t="n"/>
      <c r="J13" s="424" t="n"/>
      <c r="K13" s="424" t="n"/>
      <c r="L13" s="424" t="n"/>
      <c r="M13" s="424" t="n"/>
      <c r="N13" s="425" t="n"/>
      <c r="O13" s="425" t="n"/>
      <c r="P13" s="425" t="n"/>
      <c r="Q13" s="425" t="n"/>
      <c r="R13" s="425" t="n"/>
      <c r="S13" s="425" t="n"/>
      <c r="T13" s="425" t="n"/>
      <c r="U13" s="425" t="n"/>
      <c r="V13" s="425" t="n"/>
      <c r="W13" s="425" t="n"/>
      <c r="X13" s="425" t="n"/>
      <c r="Y13" s="425" t="n"/>
      <c r="Z13" s="425" t="n"/>
      <c r="AA13" s="425" t="n"/>
      <c r="AB13" s="421" t="n"/>
      <c r="AC13" s="421" t="n"/>
      <c r="AD13" s="421" t="n"/>
      <c r="AE13" s="421" t="n"/>
      <c r="AF13" s="421" t="n"/>
      <c r="AG13" s="421" t="n"/>
      <c r="AH13" s="421" t="n"/>
      <c r="AI13" s="421" t="n"/>
      <c r="AJ13" s="421" t="n"/>
      <c r="AK13" s="421" t="n"/>
      <c r="AL13" s="421" t="n"/>
      <c r="AM13" s="422" t="n"/>
      <c r="AN13" s="422" t="n"/>
      <c r="AO13" s="422" t="n"/>
      <c r="AP13" s="422" t="n"/>
    </row>
    <row r="14" ht="60" customHeight="1" s="225">
      <c r="A14" s="426" t="n"/>
      <c r="B14" s="432" t="inlineStr">
        <is>
          <t>Block Form thông tin hàng</t>
        </is>
      </c>
      <c r="C14" s="233" t="n"/>
      <c r="D14" s="233" t="n"/>
      <c r="E14" s="233" t="n"/>
      <c r="F14" s="233" t="n"/>
      <c r="G14" s="233" t="n"/>
      <c r="H14" s="233" t="n"/>
      <c r="I14" s="231" t="n"/>
      <c r="J14" s="426" t="n"/>
      <c r="K14" s="426" t="n"/>
      <c r="L14" s="426" t="n"/>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t="n"/>
      <c r="AN14" s="430" t="n"/>
      <c r="AO14" s="430" t="n"/>
      <c r="AP14" s="431" t="n"/>
    </row>
    <row r="15" ht="85" customHeight="1" s="225">
      <c r="A15" s="426">
        <f>IF(C15="","",$C$2&amp;"."&amp;COUNTA($C$8:C15)&amp;"")</f>
        <v/>
      </c>
      <c r="B15" s="426" t="inlineStr">
        <is>
          <t>REQ-ORD-002</t>
        </is>
      </c>
      <c r="C15" s="426" t="inlineStr">
        <is>
          <t>Quan sát thực tế app STG (QA GiangDC2, chat 2026-07-30)</t>
        </is>
      </c>
      <c r="D15" s="426" t="inlineStr">
        <is>
          <t>UI</t>
        </is>
      </c>
      <c r="E15" s="426" t="inlineStr">
        <is>
          <t>Low</t>
        </is>
      </c>
      <c r="F15" s="427" t="inlineStr">
        <is>
          <t>Check icon quay lại/đóng tại màn "Wizard đăng tin — Bước 1/3"</t>
        </is>
      </c>
      <c r="G15" s="427" t="inlineStr">
        <is>
          <t>Đang ở Bước 1/3 của Wizard đăng tin (vừa chọn "Tôi cần gửi hàng" từ màn "Đăng tin mới")</t>
        </is>
      </c>
      <c r="H15" s="427" t="inlineStr">
        <is>
          <t>1. Mở app FoxEco, đang ở Trang chủ
2. Bấm nút [+] (Đăng tin) → chọn "Tôi cần gửi hàng" để vào Bước 1/3
3. Bấm icon quay lại/đóng (←) ở Header</t>
        </is>
      </c>
      <c r="I15" s="427" t="inlineStr">
        <is>
          <t>3. Điều hướng đúng về màn "Đăng tin mới" (không thoát thẳng ra Trang chủ)</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IF($A14="","",IF(OR($N14="Yes",$S14="Yes",$X14="Yes",$AC14="Yes",$AH14="Yes"),"Yes","No"))</f>
        <v/>
      </c>
      <c r="AN15" s="430">
        <f>IF($A14="","",IFERROR(IF($AI14&lt;&gt;"",$AI14,IF($AD14&lt;&gt;"",$AD14,IF($Y14&lt;&gt;"",$Y14,IF($T14&lt;&gt;"",$T14,IF($O14&lt;&gt;"",$O14,""))))),""))</f>
        <v/>
      </c>
      <c r="AO15" s="430">
        <f>IFERROR(IF($AJ14&lt;&gt;"",$AJ14,IF($AE14&lt;&gt;"",$AE14,IF($Z14&lt;&gt;"",$Z14,IF($U14&lt;&gt;"",$U14,IF($P14&lt;&gt;"",$P14,""))))),"")</f>
        <v/>
      </c>
      <c r="AP15" s="431" t="inlineStr">
        <is>
          <t>Technique: EP-back-icon. Bổ sung 2026-07-30 theo yêu cầu user (QA GiangDC2 xác nhận trực tiếp trên app STG) — khác với `TC_04.75`/`TC_04.76` (nút "Quay lại" GIỮA các bước trong wizard), đây là thoát HẲN ra khỏi wizard từ Bước 1/3.</t>
        </is>
      </c>
    </row>
    <row r="16" ht="85" customHeight="1" s="225">
      <c r="A16" s="426">
        <f>IF(C16="","",$C$2&amp;"."&amp;COUNTA($C$8:C16)&amp;"")</f>
        <v/>
      </c>
      <c r="B16" s="426" t="inlineStr">
        <is>
          <t>REQ-ORD-002</t>
        </is>
      </c>
      <c r="C16" s="426" t="inlineStr">
        <is>
          <t>DOC-v1.0-01, DOC-v1.0-02</t>
        </is>
      </c>
      <c r="D16" s="426" t="inlineStr">
        <is>
          <t>UI</t>
        </is>
      </c>
      <c r="E16" s="426" t="inlineStr">
        <is>
          <t>Medium</t>
        </is>
      </c>
      <c r="F16" s="427" t="inlineStr">
        <is>
          <t>Check đầy đủ 4 field hiển thị tại Bước 1/3</t>
        </is>
      </c>
      <c r="G16" s="427" t="inlineStr">
        <is>
          <t>Đang ở màn Wizard đăng tin Bước 1/3, form MỚI/SẠCH chưa thao tác</t>
        </is>
      </c>
      <c r="H16" s="427" t="inlineStr">
        <is>
          <t>1. Quan sát toàn bộ form Bước 1/3</t>
        </is>
      </c>
      <c r="I16" s="427" t="inlineStr">
        <is>
          <t>1. Hiển thị đủ 4 field theo đúng thứ tự:
- Loại hàng (chip)
- Ghi chú (textarea)
- Giá trị hàng (chip thấp/vừa/cao)
- Ảnh hàng (chụp/chọn thư viện)</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IF($A14="","",IF(OR($N14="Yes",$S14="Yes",$X14="Yes",$AC14="Yes",$AH14="Yes"),"Yes","No"))</f>
        <v/>
      </c>
      <c r="AN16" s="430">
        <f>IF($A14="","",IFERROR(IF($AI14&lt;&gt;"",$AI14,IF($AD14&lt;&gt;"",$AD14,IF($Y14&lt;&gt;"",$Y14,IF($T14&lt;&gt;"",$T14,IF($O14&lt;&gt;"",$O14,""))))),""))</f>
        <v/>
      </c>
      <c r="AO16" s="430">
        <f>IFERROR(IF($AJ14&lt;&gt;"",$AJ14,IF($AE14&lt;&gt;"",$AE14,IF($Z14&lt;&gt;"",$Z14,IF($U14&lt;&gt;"",$U14,IF($P14&lt;&gt;"",$P14,""))))),"")</f>
        <v/>
      </c>
      <c r="AP16" s="431" t="inlineStr">
        <is>
          <t>Field/column completeness check — auto-derived (xem generate.md Step 3b)</t>
        </is>
      </c>
    </row>
    <row r="17" ht="15" customHeight="1" s="225">
      <c r="A17" s="426">
        <f>IF(C17="","",$C$2&amp;"."&amp;COUNTA($C$8:C17)&amp;"")</f>
        <v/>
      </c>
      <c r="B17" s="426" t="inlineStr">
        <is>
          <t>REQ-ORD-002, REQ-ORD-012</t>
        </is>
      </c>
      <c r="C17" s="426" t="inlineStr">
        <is>
          <t>DOC-v1.0-01 (BRD v3.2 §D8.1/D8.2)</t>
        </is>
      </c>
      <c r="D17" s="426" t="inlineStr">
        <is>
          <t>UI</t>
        </is>
      </c>
      <c r="E17" s="426" t="inlineStr">
        <is>
          <t>Medium</t>
        </is>
      </c>
      <c r="F17" s="427" t="inlineStr">
        <is>
          <t>Check Loại hàng mặc định = 'Tài liệu' khi mở Bước 1/3 lần đầu</t>
        </is>
      </c>
      <c r="G17" s="427" t="inlineStr">
        <is>
          <t>Vừa chọn 'Tôi cần gửi hàng', mở Bước 1/3 MỚI/SẠCH, CHƯA chọn gì</t>
        </is>
      </c>
      <c r="H17" s="427" t="inlineStr">
        <is>
          <t>1. Mở Bước 1/3
2. Quan sát chip Loại hàng đang được chọn</t>
        </is>
      </c>
      <c r="I17" s="427" t="inlineStr">
        <is>
          <t>1. Form hiển thị, chưa có lỗi nào
2. Chip 'Tài liệu' đang ở trạng thái selected mặc định, chưa cần thao tác</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IF($A15="","",IF(OR($N15="Yes",$S15="Yes",$X15="Yes",$AC15="Yes",$AH15="Yes"),"Yes","No"))</f>
        <v/>
      </c>
      <c r="AN17" s="430">
        <f>IF($A15="","",IFERROR(IF($AI15&lt;&gt;"",$AI15,IF($AD15&lt;&gt;"",$AD15,IF($Y15&lt;&gt;"",$Y15,IF($T15&lt;&gt;"",$T15,IF($O15&lt;&gt;"",$O15,""))))),""))</f>
        <v/>
      </c>
      <c r="AO17" s="430">
        <f>IFERROR(IF($AJ15&lt;&gt;"",$AJ15,IF($AE15&lt;&gt;"",$AE15,IF($Z15&lt;&gt;"",$Z15,IF($U15&lt;&gt;"",$U15,IF($P15&lt;&gt;"",$P15,""))))),"")</f>
        <v/>
      </c>
      <c r="AP17" s="431" t="n"/>
    </row>
    <row r="18" ht="60" customHeight="1" s="225">
      <c r="A18" s="426">
        <f>IF(C18="","",$C$2&amp;"."&amp;COUNTA($C$8:C18)&amp;"")</f>
        <v/>
      </c>
      <c r="B18" s="426" t="inlineStr">
        <is>
          <t>REQ-ORD-002</t>
        </is>
      </c>
      <c r="C18" s="426" t="inlineStr">
        <is>
          <t>DOC-v1.0-02</t>
        </is>
      </c>
      <c r="D18" s="426" t="inlineStr">
        <is>
          <t>Functional</t>
        </is>
      </c>
      <c r="E18" s="426" t="inlineStr">
        <is>
          <t>Medium</t>
        </is>
      </c>
      <c r="F18" s="427" t="inlineStr">
        <is>
          <t>Check bỏ trống Loại hàng vẫn bấm 'Tiếp theo' bị chặn</t>
        </is>
      </c>
      <c r="G18" s="427" t="inlineStr">
        <is>
          <t>Đang ở Bước 1/3, KHÔNG chọn chip Loại hàng nào</t>
        </is>
      </c>
      <c r="H18" s="427" t="inlineStr">
        <is>
          <t>1. Không chọn Loại hàng
2. Nhập Giá trị hàng hợp lệ (vd 'Vừa')
3. Bấm 'Tiếp theo'</t>
        </is>
      </c>
      <c r="I18" s="427" t="inlineStr">
        <is>
          <t>1. Không có chip nào ở trạng thái selected
2. Chip 'Vừa' được chọn
3. Bị chặn/báo lỗi tại field Loại hàng, KHÔNG cho qua Bước 2/3</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IF($A16="","",IF(OR($N16="Yes",$S16="Yes",$X16="Yes",$AC16="Yes",$AH16="Yes"),"Yes","No"))</f>
        <v/>
      </c>
      <c r="AN18" s="430">
        <f>IF($A16="","",IFERROR(IF($AI16&lt;&gt;"",$AI16,IF($AD16&lt;&gt;"",$AD16,IF($Y16&lt;&gt;"",$Y16,IF($T16&lt;&gt;"",$T16,IF($O16&lt;&gt;"",$O16,""))))),""))</f>
        <v/>
      </c>
      <c r="AO18" s="430">
        <f>IFERROR(IF($AJ16&lt;&gt;"",$AJ16,IF($AE16&lt;&gt;"",$AE16,IF($Z16&lt;&gt;"",$Z16,IF($U16&lt;&gt;"",$U16,IF($P16&lt;&gt;"",$P16,""))))),"")</f>
        <v/>
      </c>
      <c r="AP18" s="431" t="inlineStr">
        <is>
          <t>Technique: EP-invalid-empty-LoaiHang (C-ORD-01 Resolved)</t>
        </is>
      </c>
    </row>
    <row r="19" ht="60" customHeight="1" s="225">
      <c r="A19" s="426">
        <f>IF(C19="","",$C$2&amp;"."&amp;COUNTA($C$8:C19)&amp;"")</f>
        <v/>
      </c>
      <c r="B19" s="426" t="inlineStr">
        <is>
          <t>REQ-ORD-002</t>
        </is>
      </c>
      <c r="C19" s="426" t="inlineStr">
        <is>
          <t>DOC-v1.0-02</t>
        </is>
      </c>
      <c r="D19" s="426" t="inlineStr">
        <is>
          <t>Functional</t>
        </is>
      </c>
      <c r="E19" s="426" t="inlineStr">
        <is>
          <t>Medium</t>
        </is>
      </c>
      <c r="F19" s="427" t="inlineStr">
        <is>
          <t>Check bỏ trống Giá trị hàng vẫn bấm 'Tiếp theo' bị chặn</t>
        </is>
      </c>
      <c r="G19" s="427" t="inlineStr">
        <is>
          <t>Đang ở Bước 1/3, đã chọn Loại hàng nhưng KHÔNG chọn chip Giá trị hàng nào</t>
        </is>
      </c>
      <c r="H19" s="427" t="inlineStr">
        <is>
          <t>1. Chọn Loại hàng = 'Tài liệu'
2. Không chọn Giá trị hàng
3. Bấm 'Tiếp theo'</t>
        </is>
      </c>
      <c r="I19" s="427" t="inlineStr">
        <is>
          <t>1. Chip 'Tài liệu' được chọn
2. Không có chip Giá trị hàng nào ở trạng thái selected
3. Bị chặn/báo lỗi tại field Giá trị hàng, KHÔNG cho qua Bước 2/3</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IF($A17="","",IF(OR($N17="Yes",$S17="Yes",$X17="Yes",$AC17="Yes",$AH17="Yes"),"Yes","No"))</f>
        <v/>
      </c>
      <c r="AN19" s="430">
        <f>IF($A17="","",IFERROR(IF($AI17&lt;&gt;"",$AI17,IF($AD17&lt;&gt;"",$AD17,IF($Y17&lt;&gt;"",$Y17,IF($T17&lt;&gt;"",$T17,IF($O17&lt;&gt;"",$O17,""))))),""))</f>
        <v/>
      </c>
      <c r="AO19" s="430">
        <f>IFERROR(IF($AJ17&lt;&gt;"",$AJ17,IF($AE17&lt;&gt;"",$AE17,IF($Z17&lt;&gt;"",$Z17,IF($U17&lt;&gt;"",$U17,IF($P17&lt;&gt;"",$P17,""))))),"")</f>
        <v/>
      </c>
      <c r="AP19" s="431" t="inlineStr">
        <is>
          <t>Technique: EP-invalid-empty-GiaTriHang (C-ORD-01 Resolved)</t>
        </is>
      </c>
    </row>
    <row r="20" ht="30" customHeight="1" s="225">
      <c r="A20" s="426">
        <f>IF(C20="","",$C$2&amp;"."&amp;COUNTA($C$8:C20)&amp;"")</f>
        <v/>
      </c>
      <c r="B20" s="426" t="inlineStr">
        <is>
          <t>REQ-ORD-002, REQ-ORD-009</t>
        </is>
      </c>
      <c r="C20" s="426" t="inlineStr">
        <is>
          <t>DOC-v1.0-01</t>
        </is>
      </c>
      <c r="D20" s="426" t="inlineStr">
        <is>
          <t>Functional</t>
        </is>
      </c>
      <c r="E20" s="426" t="inlineStr">
        <is>
          <t>Medium</t>
        </is>
      </c>
      <c r="F20" s="427" t="inlineStr">
        <is>
          <t>Check chọn Giá trị hàng = 'Thấp' KHÔNG hiện cảnh báo</t>
        </is>
      </c>
      <c r="G20" s="427" t="inlineStr">
        <is>
          <t>Đang ở Bước 1/3, đã chọn Loại hàng hợp lệ</t>
        </is>
      </c>
      <c r="H20" s="427" t="inlineStr">
        <is>
          <t>1. Chọn chip Giá trị hàng = 'Thấp'</t>
        </is>
      </c>
      <c r="I20" s="427" t="inlineStr">
        <is>
          <t>1. Không hiển thị banner/cảnh báo trách nhiệm tự thoả thuận</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IF($A18="","",IF(OR($N18="Yes",$S18="Yes",$X18="Yes",$AC18="Yes",$AH18="Yes"),"Yes","No"))</f>
        <v/>
      </c>
      <c r="AN20" s="430">
        <f>IF($A18="","",IFERROR(IF($AI18&lt;&gt;"",$AI18,IF($AD18&lt;&gt;"",$AD18,IF($Y18&lt;&gt;"",$Y18,IF($T18&lt;&gt;"",$T18,IF($O18&lt;&gt;"",$O18,""))))),""))</f>
        <v/>
      </c>
      <c r="AO20" s="430">
        <f>IFERROR(IF($AJ18&lt;&gt;"",$AJ18,IF($AE18&lt;&gt;"",$AE18,IF($Z18&lt;&gt;"",$Z18,IF($U18&lt;&gt;"",$U18,IF($P18&lt;&gt;"",$P18,""))))),"")</f>
        <v/>
      </c>
      <c r="AP20" s="431" t="inlineStr">
        <is>
          <t>Technique: EP-GiaTriHang-Thap</t>
        </is>
      </c>
    </row>
    <row r="21" ht="60" customHeight="1" s="225">
      <c r="A21" s="426">
        <f>IF(C21="","",$C$2&amp;"."&amp;COUNTA($C$8:C21)&amp;"")</f>
        <v/>
      </c>
      <c r="B21" s="426" t="inlineStr">
        <is>
          <t>REQ-ORD-002, REQ-ORD-009</t>
        </is>
      </c>
      <c r="C21" s="426" t="inlineStr">
        <is>
          <t>DOC-v1.0-01</t>
        </is>
      </c>
      <c r="D21" s="426" t="inlineStr">
        <is>
          <t>Functional</t>
        </is>
      </c>
      <c r="E21" s="426" t="inlineStr">
        <is>
          <t>Medium</t>
        </is>
      </c>
      <c r="F21" s="427" t="inlineStr">
        <is>
          <t>Check chọn Giá trị hàng = 'Vừa' KHÔNG hiện cảnh báo</t>
        </is>
      </c>
      <c r="G21" s="427" t="inlineStr">
        <is>
          <t>Đang ở Bước 1/3, đã chọn Loại hàng hợp lệ</t>
        </is>
      </c>
      <c r="H21" s="427" t="inlineStr">
        <is>
          <t>1. Chọn chip Giá trị hàng = 'Vừa'</t>
        </is>
      </c>
      <c r="I21" s="427" t="inlineStr">
        <is>
          <t>1. Không hiển thị banner/cảnh báo trách nhiệm tự thoả thuận</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IF($A19="","",IF(OR($N19="Yes",$S19="Yes",$X19="Yes",$AC19="Yes",$AH19="Yes"),"Yes","No"))</f>
        <v/>
      </c>
      <c r="AN21" s="430">
        <f>IF($A19="","",IFERROR(IF($AI19&lt;&gt;"",$AI19,IF($AD19&lt;&gt;"",$AD19,IF($Y19&lt;&gt;"",$Y19,IF($T19&lt;&gt;"",$T19,IF($O19&lt;&gt;"",$O19,""))))),""))</f>
        <v/>
      </c>
      <c r="AO21" s="430">
        <f>IFERROR(IF($AJ19&lt;&gt;"",$AJ19,IF($AE19&lt;&gt;"",$AE19,IF($Z19&lt;&gt;"",$Z19,IF($U19&lt;&gt;"",$U19,IF($P19&lt;&gt;"",$P19,""))))),"")</f>
        <v/>
      </c>
      <c r="AP21" s="431" t="inlineStr">
        <is>
          <t>Technique: EP-GiaTriHang-Vua</t>
        </is>
      </c>
    </row>
    <row r="22" ht="60" customHeight="1" s="225">
      <c r="A22" s="426">
        <f>IF(C22="","",$C$2&amp;"."&amp;COUNTA($C$8:C22)&amp;"")</f>
        <v/>
      </c>
      <c r="B22" s="426" t="inlineStr">
        <is>
          <t>REQ-ORD-009, REQ-ORD-012</t>
        </is>
      </c>
      <c r="C22" s="426" t="inlineStr">
        <is>
          <t>DOC-v1.0-01 (BRD v3.2 §D8.1)</t>
        </is>
      </c>
      <c r="D22" s="426" t="inlineStr">
        <is>
          <t>Functional</t>
        </is>
      </c>
      <c r="E22" s="426" t="inlineStr">
        <is>
          <t>Medium</t>
        </is>
      </c>
      <c r="F22" s="427" t="inlineStr">
        <is>
          <t>Check chọn Giá trị hàng = 'Cao' hiện cảnh báo trách nhiệm tự thoả thuận</t>
        </is>
      </c>
      <c r="G22" s="427" t="inlineStr">
        <is>
          <t>Đang ở Bước 1/3, đã chọn Loại hàng hợp lệ</t>
        </is>
      </c>
      <c r="H22" s="427" t="inlineStr">
        <is>
          <t>1. Chọn chip Giá trị hàng = 'Cao'</t>
        </is>
      </c>
      <c r="I22" s="427" t="inlineStr">
        <is>
          <t>1. Hiển thị banner/cảnh báo liên quan trách nhiệm tự thoả thuận (nội dung verbatim cần vibe-test xác nhận thêm)</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IF($A20="","",IF(OR($N20="Yes",$S20="Yes",$X20="Yes",$AC20="Yes",$AH20="Yes"),"Yes","No"))</f>
        <v/>
      </c>
      <c r="AN22" s="430">
        <f>IF($A20="","",IFERROR(IF($AI20&lt;&gt;"",$AI20,IF($AD20&lt;&gt;"",$AD20,IF($Y20&lt;&gt;"",$Y20,IF($T20&lt;&gt;"",$T20,IF($O20&lt;&gt;"",$O20,""))))),""))</f>
        <v/>
      </c>
      <c r="AO22" s="430">
        <f>IFERROR(IF($AJ20&lt;&gt;"",$AJ20,IF($AE20&lt;&gt;"",$AE20,IF($Z20&lt;&gt;"",$Z20,IF($U20&lt;&gt;"",$U20,IF($P20&lt;&gt;"",$P20,""))))),"")</f>
        <v/>
      </c>
      <c r="AP22" s="431" t="inlineStr">
        <is>
          <t>Technique: EP-GiaTriHang-Cao (SC-ORD-013, un-deferred 2026-07-28)</t>
        </is>
      </c>
    </row>
    <row r="23" ht="15" customHeight="1" s="225">
      <c r="A23" s="426">
        <f>IF(C23="","",$C$2&amp;"."&amp;COUNTA($C$8:C23)&amp;"")</f>
        <v/>
      </c>
      <c r="B23" s="426" t="inlineStr">
        <is>
          <t>REQ-ORD-010</t>
        </is>
      </c>
      <c r="C23" s="426" t="inlineStr">
        <is>
          <t>DOC-v1.0-01, DOC-v1.0-02</t>
        </is>
      </c>
      <c r="D23" s="426" t="inlineStr">
        <is>
          <t>Functional</t>
        </is>
      </c>
      <c r="E23" s="426" t="inlineStr">
        <is>
          <t>Low</t>
        </is>
      </c>
      <c r="F23" s="427" t="inlineStr">
        <is>
          <t>Check chọn Loại hàng 'Thuốc/Y tế' vẫn đăng tin thành công</t>
        </is>
      </c>
      <c r="G23" s="427" t="inlineStr">
        <is>
          <t>Đang ở Bước 1/3</t>
        </is>
      </c>
      <c r="H23" s="427" t="inlineStr">
        <is>
          <t>1. Chọn chip Loại hàng = 'Thuốc/Y tế'
2. Điền tiếp Giá trị hàng hợp lệ, hoàn tất B2 → B3
3. Bấm 'Đăng tin ngay'</t>
        </is>
      </c>
      <c r="I23" s="427" t="inlineStr">
        <is>
          <t>1. Chip 'Thuốc/Y tế' chọn được bình thường, không bị chặn
2. Qua các bước tiếp theo không lỗi
3. Đăng tin thành công, KHÔNG bị chặn — chỉ banner cảnh báo tĩnh tại Bước 3/3, không phải validate chặn (C-ORD-04 Resolved)</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IF($A21="","",IF(OR($N21="Yes",$S21="Yes",$X21="Yes",$AC21="Yes",$AH21="Yes"),"Yes","No"))</f>
        <v/>
      </c>
      <c r="AN23" s="430">
        <f>IF($A21="","",IFERROR(IF($AI21&lt;&gt;"",$AI21,IF($AD21&lt;&gt;"",$AD21,IF($Y21&lt;&gt;"",$Y21,IF($T21&lt;&gt;"",$T21,IF($O21&lt;&gt;"",$O21,""))))),""))</f>
        <v/>
      </c>
      <c r="AO23" s="430">
        <f>IFERROR(IF($AJ21&lt;&gt;"",$AJ21,IF($AE21&lt;&gt;"",$AE21,IF($Z21&lt;&gt;"",$Z21,IF($U21&lt;&gt;"",$U21,IF($P21&lt;&gt;"",$P21,""))))),"")</f>
        <v/>
      </c>
      <c r="AP23" s="431" t="inlineStr">
        <is>
          <t>Technique: EP-LoaiHang-ThuocYte</t>
        </is>
      </c>
    </row>
    <row r="24" ht="60" customHeight="1" s="225">
      <c r="A24" s="426">
        <f>IF(C24="","",$C$2&amp;"."&amp;COUNTA($C$8:C24)&amp;"")</f>
        <v/>
      </c>
      <c r="B24" s="426" t="inlineStr">
        <is>
          <t>REQ-ORD-010</t>
        </is>
      </c>
      <c r="C24" s="426" t="inlineStr">
        <is>
          <t>DOC-v1.0-01, DOC-v1.0-02</t>
        </is>
      </c>
      <c r="D24" s="426" t="inlineStr">
        <is>
          <t>Functional</t>
        </is>
      </c>
      <c r="E24" s="426" t="inlineStr">
        <is>
          <t>Low</t>
        </is>
      </c>
      <c r="F24" s="427" t="inlineStr">
        <is>
          <t>Check chọn Loại hàng 'Khác' vẫn đăng tin thành công</t>
        </is>
      </c>
      <c r="G24" s="427" t="inlineStr">
        <is>
          <t>Đang ở Bước 1/3</t>
        </is>
      </c>
      <c r="H24" s="427" t="inlineStr">
        <is>
          <t>1. Chọn chip Loại hàng = 'Khác'
2. Hoàn tất B2 → B3 hợp lệ
3. Bấm 'Đăng tin ngay'</t>
        </is>
      </c>
      <c r="I24" s="427" t="inlineStr">
        <is>
          <t>1. Chip 'Khác' chọn được bình thường
2. Qua các bước tiếp theo không lỗi
3. Đăng tin thành công, không bị chặn — đại diện xác nhận MỌI loại hàng đều được chấp nhận ở v1.0</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IF($A22="","",IF(OR($N22="Yes",$S22="Yes",$X22="Yes",$AC22="Yes",$AH22="Yes"),"Yes","No"))</f>
        <v/>
      </c>
      <c r="AN24" s="430">
        <f>IF($A22="","",IFERROR(IF($AI22&lt;&gt;"",$AI22,IF($AD22&lt;&gt;"",$AD22,IF($Y22&lt;&gt;"",$Y22,IF($T22&lt;&gt;"",$T22,IF($O22&lt;&gt;"",$O22,""))))),""))</f>
        <v/>
      </c>
      <c r="AO24" s="430">
        <f>IFERROR(IF($AJ22&lt;&gt;"",$AJ22,IF($AE22&lt;&gt;"",$AE22,IF($Z22&lt;&gt;"",$Z22,IF($U22&lt;&gt;"",$U22,IF($P22&lt;&gt;"",$P22,""))))),"")</f>
        <v/>
      </c>
      <c r="AP24" s="431" t="inlineStr">
        <is>
          <t>Technique: EP-LoaiHang-Khac (representative, dedupe 6 loại còn lại — cùng partition 'accept')</t>
        </is>
      </c>
    </row>
    <row r="25" ht="60" customHeight="1" s="225">
      <c r="A25" s="426">
        <f>IF(C25="","",$C$2&amp;"."&amp;COUNTA($C$8:C25)&amp;"")</f>
        <v/>
      </c>
      <c r="B25" s="426" t="inlineStr">
        <is>
          <t>REQ-ORD-002</t>
        </is>
      </c>
      <c r="C25" s="426" t="inlineStr">
        <is>
          <t>DOC-v1.0-02</t>
        </is>
      </c>
      <c r="D25" s="426" t="inlineStr">
        <is>
          <t>UI</t>
        </is>
      </c>
      <c r="E25" s="426" t="inlineStr">
        <is>
          <t>Low</t>
        </is>
      </c>
      <c r="F25" s="427" t="inlineStr">
        <is>
          <t>Check đủ 8 chip Loại hàng hiển thị đúng nhãn</t>
        </is>
      </c>
      <c r="G25" s="427" t="inlineStr">
        <is>
          <t>Đang ở Bước 1/3, form MỚI/SẠCH</t>
        </is>
      </c>
      <c r="H25" s="427" t="inlineStr">
        <is>
          <t>1. Quan sát danh sách chip Loại hàng</t>
        </is>
      </c>
      <c r="I25" s="427" t="inlineStr">
        <is>
          <t>1. Hiển thị đủ đúng 8 chip theo đúng thứ tự: 'Tài liệu', 'Đồ điện tử', 'Thực phẩm', 'Hàng nhỏ', 'Đồ dễ vỡ', 'Quần áo', 'Thuốc/Y tế', 'Khác'</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IF($A23="","",IF(OR($N23="Yes",$S23="Yes",$X23="Yes",$AC23="Yes",$AH23="Yes"),"Yes","No"))</f>
        <v/>
      </c>
      <c r="AN25" s="430">
        <f>IF($A23="","",IFERROR(IF($AI23&lt;&gt;"",$AI23,IF($AD23&lt;&gt;"",$AD23,IF($Y23&lt;&gt;"",$Y23,IF($T23&lt;&gt;"",$T23,IF($O23&lt;&gt;"",$O23,""))))),""))</f>
        <v/>
      </c>
      <c r="AO25" s="430">
        <f>IFERROR(IF($AJ23&lt;&gt;"",$AJ23,IF($AE23&lt;&gt;"",$AE23,IF($Z23&lt;&gt;"",$Z23,IF($U23&lt;&gt;"",$U23,IF($P23&lt;&gt;"",$P23,""))))),"")</f>
        <v/>
      </c>
      <c r="AP25" s="431" t="inlineStr">
        <is>
          <t>Field/column completeness check — auto-derived (xem generate.md Step 3b)</t>
        </is>
      </c>
    </row>
    <row r="26" ht="60" customHeight="1" s="225">
      <c r="A26" s="426">
        <f>IF(C26="","",$C$2&amp;"."&amp;COUNTA($C$8:C26)&amp;"")</f>
        <v/>
      </c>
      <c r="B26" s="426" t="inlineStr">
        <is>
          <t>REQ-ORD-012</t>
        </is>
      </c>
      <c r="C26" s="426" t="inlineStr">
        <is>
          <t>DOC-v1.0-01 (BRD v3.2 §D8.1/D8.2)</t>
        </is>
      </c>
      <c r="D26" s="426" t="inlineStr">
        <is>
          <t>Functional</t>
        </is>
      </c>
      <c r="E26" s="426" t="inlineStr">
        <is>
          <t>Low</t>
        </is>
      </c>
      <c r="F26" s="427" t="inlineStr">
        <is>
          <t>Check Ghi chú 299 ký tự hợp lệ</t>
        </is>
      </c>
      <c r="G26" s="427" t="inlineStr">
        <is>
          <t>Đang ở Bước 1/3</t>
        </is>
      </c>
      <c r="H26" s="427" t="inlineStr">
        <is>
          <t>1. Nhập vào Ghi chú chuỗi 299 ký tự hợp lệ
2. Bấm 'Tiếp theo'</t>
        </is>
      </c>
      <c r="I26" s="427" t="inlineStr">
        <is>
          <t>1. Ô nhập nhận đúng giá trị vừa nhập, chưa hiển thị lỗi (chưa submit/blur)
2. Được chấp nhận, qua Bước 2/3 bình thường</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IF($A24="","",IF(OR($N24="Yes",$S24="Yes",$X24="Yes",$AC24="Yes",$AH24="Yes"),"Yes","No"))</f>
        <v/>
      </c>
      <c r="AN26" s="430">
        <f>IF($A24="","",IFERROR(IF($AI24&lt;&gt;"",$AI24,IF($AD24&lt;&gt;"",$AD24,IF($Y24&lt;&gt;"",$Y24,IF($T24&lt;&gt;"",$T24,IF($O24&lt;&gt;"",$O24,""))))),""))</f>
        <v/>
      </c>
      <c r="AO26" s="430">
        <f>IFERROR(IF($AJ24&lt;&gt;"",$AJ24,IF($AE24&lt;&gt;"",$AE24,IF($Z24&lt;&gt;"",$Z24,IF($U24&lt;&gt;"",$U24,IF($P24&lt;&gt;"",$P24,""))))),"")</f>
        <v/>
      </c>
      <c r="AP26" s="431" t="inlineStr">
        <is>
          <t>Technique: BVA-max-1 (GhiChu)</t>
        </is>
      </c>
    </row>
    <row r="27" ht="15.75" customHeight="1" s="225">
      <c r="A27" s="426">
        <f>IF(C27="","",$C$2&amp;"."&amp;COUNTA($C$8:C27)&amp;"")</f>
        <v/>
      </c>
      <c r="B27" s="426" t="inlineStr">
        <is>
          <t>REQ-ORD-012</t>
        </is>
      </c>
      <c r="C27" s="426" t="inlineStr">
        <is>
          <t>DOC-v1.0-01 (BRD v3.2 §D8.1/D8.2)</t>
        </is>
      </c>
      <c r="D27" s="426" t="inlineStr">
        <is>
          <t>Functional</t>
        </is>
      </c>
      <c r="E27" s="426" t="inlineStr">
        <is>
          <t>Low</t>
        </is>
      </c>
      <c r="F27" s="427" t="inlineStr">
        <is>
          <t>Check Ghi chú đúng biên 300 ký tự hợp lệ</t>
        </is>
      </c>
      <c r="G27" s="427" t="inlineStr">
        <is>
          <t>Đang ở Bước 1/3</t>
        </is>
      </c>
      <c r="H27" s="427" t="inlineStr">
        <is>
          <t>1. Nhập vào Ghi chú chuỗi đúng 300 ký tự
2. Bấm 'Tiếp theo'</t>
        </is>
      </c>
      <c r="I27" s="427" t="inlineStr">
        <is>
          <t>1. Ô nhập nhận đúng giá trị vừa nhập, chưa hiển thị lỗi (chưa submit/blur)
2. Được chấp nhận (đúng maxlength), qua Bước 2/3 bình thường</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IF($A25="","",IF(OR($N25="Yes",$S25="Yes",$X25="Yes",$AC25="Yes",$AH25="Yes"),"Yes","No"))</f>
        <v/>
      </c>
      <c r="AN27" s="430">
        <f>IF($A25="","",IFERROR(IF($AI25&lt;&gt;"",$AI25,IF($AD25&lt;&gt;"",$AD25,IF($Y25&lt;&gt;"",$Y25,IF($T25&lt;&gt;"",$T25,IF($O25&lt;&gt;"",$O25,""))))),""))</f>
        <v/>
      </c>
      <c r="AO27" s="430">
        <f>IFERROR(IF($AJ25&lt;&gt;"",$AJ25,IF($AE25&lt;&gt;"",$AE25,IF($Z25&lt;&gt;"",$Z25,IF($U25&lt;&gt;"",$U25,IF($P25&lt;&gt;"",$P25,""))))),"")</f>
        <v/>
      </c>
      <c r="AP27" s="431" t="inlineStr">
        <is>
          <t>Technique: BVA-max (GhiChu)</t>
        </is>
      </c>
    </row>
    <row r="28" ht="60" customHeight="1" s="225">
      <c r="A28" s="426">
        <f>IF(C28="","",$C$2&amp;"."&amp;COUNTA($C$8:C28)&amp;"")</f>
        <v/>
      </c>
      <c r="B28" s="426" t="inlineStr">
        <is>
          <t>REQ-ORD-012</t>
        </is>
      </c>
      <c r="C28" s="426" t="inlineStr">
        <is>
          <t>DOC-v1.0-01 (BRD v3.2 §D8.1/D8.2)</t>
        </is>
      </c>
      <c r="D28" s="426" t="inlineStr">
        <is>
          <t>Functional</t>
        </is>
      </c>
      <c r="E28" s="426" t="inlineStr">
        <is>
          <t>Low</t>
        </is>
      </c>
      <c r="F28" s="427" t="inlineStr">
        <is>
          <t>Check Ghi chú vượt 301 ký tự bị chặn</t>
        </is>
      </c>
      <c r="G28" s="427" t="inlineStr">
        <is>
          <t>Đang ở Bước 1/3</t>
        </is>
      </c>
      <c r="H28" s="427" t="inlineStr">
        <is>
          <t>1. Nhập vào Ghi chú chuỗi 301 ký tự
2. Bấm 'Tiếp theo'</t>
        </is>
      </c>
      <c r="I28" s="427" t="inlineStr">
        <is>
          <t>1. Ô nhập nhận giá trị vừa nhập
2. Bị chặn/báo lỗi vượt quá giới hạn 300 ký tự, không cho qua Bước 2/3</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IF($A26="","",IF(OR($N26="Yes",$S26="Yes",$X26="Yes",$AC26="Yes",$AH26="Yes"),"Yes","No"))</f>
        <v/>
      </c>
      <c r="AN28" s="430">
        <f>IF($A26="","",IFERROR(IF($AI26&lt;&gt;"",$AI26,IF($AD26&lt;&gt;"",$AD26,IF($Y26&lt;&gt;"",$Y26,IF($T26&lt;&gt;"",$T26,IF($O26&lt;&gt;"",$O26,""))))),""))</f>
        <v/>
      </c>
      <c r="AO28" s="430">
        <f>IFERROR(IF($AJ26&lt;&gt;"",$AJ26,IF($AE26&lt;&gt;"",$AE26,IF($Z26&lt;&gt;"",$Z26,IF($U26&lt;&gt;"",$U26,IF($P26&lt;&gt;"",$P26,""))))),"")</f>
        <v/>
      </c>
      <c r="AP28" s="431" t="inlineStr">
        <is>
          <t>Technique: BVA-max+1 (GhiChu)</t>
        </is>
      </c>
    </row>
    <row r="29" ht="60" customHeight="1" s="225">
      <c r="A29" s="426">
        <f>IF(C29="","",$C$2&amp;"."&amp;COUNTA($C$8:C29)&amp;"")</f>
        <v/>
      </c>
      <c r="B29" s="426" t="inlineStr">
        <is>
          <t>REQ-ORD-012</t>
        </is>
      </c>
      <c r="C29" s="426" t="inlineStr">
        <is>
          <t>DOC-v1.0-01 (BRD v3.2 §D8.1/D8.2)</t>
        </is>
      </c>
      <c r="D29" s="426" t="inlineStr">
        <is>
          <t>Functional</t>
        </is>
      </c>
      <c r="E29" s="426" t="inlineStr">
        <is>
          <t>Low</t>
        </is>
      </c>
      <c r="F29" s="427" t="inlineStr">
        <is>
          <t>Check tải ảnh sản phẩm đúng biên 5MB hợp lệ</t>
        </is>
      </c>
      <c r="G29" s="427" t="inlineStr">
        <is>
          <t>Đang ở Bước 1/3</t>
        </is>
      </c>
      <c r="H29" s="427" t="inlineStr">
        <is>
          <t>1. Chọn ảnh JPG dung lượng đúng 5MB
2. Bấm 'Tiếp theo'</t>
        </is>
      </c>
      <c r="I29" s="427" t="inlineStr">
        <is>
          <t>1. Ảnh hiển thị preview trong form
2. Ảnh được tải lên thành công, qua Bước 2/3 bình thường</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IF($A27="","",IF(OR($N27="Yes",$S27="Yes",$X27="Yes",$AC27="Yes",$AH27="Yes"),"Yes","No"))</f>
        <v/>
      </c>
      <c r="AN29" s="430">
        <f>IF($A27="","",IFERROR(IF($AI27&lt;&gt;"",$AI27,IF($AD27&lt;&gt;"",$AD27,IF($Y27&lt;&gt;"",$Y27,IF($T27&lt;&gt;"",$T27,IF($O27&lt;&gt;"",$O27,""))))),""))</f>
        <v/>
      </c>
      <c r="AO29" s="430">
        <f>IFERROR(IF($AJ27&lt;&gt;"",$AJ27,IF($AE27&lt;&gt;"",$AE27,IF($Z27&lt;&gt;"",$Z27,IF($U27&lt;&gt;"",$U27,IF($P27&lt;&gt;"",$P27,""))))),"")</f>
        <v/>
      </c>
      <c r="AP29" s="431" t="inlineStr">
        <is>
          <t>Technique: BVA-max (AnhSanPham)</t>
        </is>
      </c>
    </row>
    <row r="30" ht="60" customHeight="1" s="225">
      <c r="A30" s="426">
        <f>IF(C30="","",$C$2&amp;"."&amp;COUNTA($C$8:C30)&amp;"")</f>
        <v/>
      </c>
      <c r="B30" s="426" t="inlineStr">
        <is>
          <t>REQ-ORD-012</t>
        </is>
      </c>
      <c r="C30" s="426" t="inlineStr">
        <is>
          <t>DOC-v1.0-01 (BRD v3.2 §D8.1/D8.2)</t>
        </is>
      </c>
      <c r="D30" s="426" t="inlineStr">
        <is>
          <t>Functional</t>
        </is>
      </c>
      <c r="E30" s="426" t="inlineStr">
        <is>
          <t>Low</t>
        </is>
      </c>
      <c r="F30" s="427" t="inlineStr">
        <is>
          <t>Check tải ảnh sản phẩm vượt 5MB bị chặn</t>
        </is>
      </c>
      <c r="G30" s="427" t="inlineStr">
        <is>
          <t>Đang ở Bước 1/3</t>
        </is>
      </c>
      <c r="H30" s="427" t="inlineStr">
        <is>
          <t>1. Chọn ảnh JPG dung lượng 6MB
2. Bấm 'Tiếp theo'</t>
        </is>
      </c>
      <c r="I30" s="427" t="inlineStr">
        <is>
          <t>1. Ô chọn ảnh nhận file vừa chọn
2. Bị chặn/báo lỗi vượt quá giới hạn dung lượng, không cho tải lên</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IF($A28="","",IF(OR($N28="Yes",$S28="Yes",$X28="Yes",$AC28="Yes",$AH28="Yes"),"Yes","No"))</f>
        <v/>
      </c>
      <c r="AN30" s="430">
        <f>IF($A28="","",IFERROR(IF($AI28&lt;&gt;"",$AI28,IF($AD28&lt;&gt;"",$AD28,IF($Y28&lt;&gt;"",$Y28,IF($T28&lt;&gt;"",$T28,IF($O28&lt;&gt;"",$O28,""))))),""))</f>
        <v/>
      </c>
      <c r="AO30" s="430">
        <f>IFERROR(IF($AJ28&lt;&gt;"",$AJ28,IF($AE28&lt;&gt;"",$AE28,IF($Z28&lt;&gt;"",$Z28,IF($U28&lt;&gt;"",$U28,IF($P28&lt;&gt;"",$P28,""))))),"")</f>
        <v/>
      </c>
      <c r="AP30" s="431" t="inlineStr">
        <is>
          <t>Technique: BVA-max+1 (AnhSanPham)</t>
        </is>
      </c>
    </row>
    <row r="31" ht="15.75" customHeight="1" s="225">
      <c r="A31" s="426">
        <f>IF(C31="","",$C$2&amp;"."&amp;COUNTA($C$8:C31)&amp;"")</f>
        <v/>
      </c>
      <c r="B31" s="426" t="inlineStr">
        <is>
          <t>REQ-ORD-012</t>
        </is>
      </c>
      <c r="C31" s="426" t="inlineStr">
        <is>
          <t>DOC-v1.0-01 (BRD v3.2 §D8.1/D8.2)</t>
        </is>
      </c>
      <c r="D31" s="426" t="inlineStr">
        <is>
          <t>Functional</t>
        </is>
      </c>
      <c r="E31" s="426" t="inlineStr">
        <is>
          <t>Low</t>
        </is>
      </c>
      <c r="F31" s="427" t="inlineStr">
        <is>
          <t>Check tải ảnh sản phẩm sai định dạng bị chặn</t>
        </is>
      </c>
      <c r="G31" s="427" t="inlineStr">
        <is>
          <t>Đang ở Bước 1/3</t>
        </is>
      </c>
      <c r="H31" s="427" t="inlineStr">
        <is>
          <t>1. Chọn 1 file định dạng .pdf (hoặc .gif) làm ảnh sản phẩm</t>
        </is>
      </c>
      <c r="I31" s="427" t="inlineStr">
        <is>
          <t>1. Bị chặn/báo lỗi sai định dạng, chỉ chấp nhận JPG/PNG</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IF($A29="","",IF(OR($N29="Yes",$S29="Yes",$X29="Yes",$AC29="Yes",$AH29="Yes"),"Yes","No"))</f>
        <v/>
      </c>
      <c r="AN31" s="430">
        <f>IF($A29="","",IFERROR(IF($AI29&lt;&gt;"",$AI29,IF($AD29&lt;&gt;"",$AD29,IF($Y29&lt;&gt;"",$Y29,IF($T29&lt;&gt;"",$T29,IF($O29&lt;&gt;"",$O29,""))))),""))</f>
        <v/>
      </c>
      <c r="AO31" s="430">
        <f>IFERROR(IF($AJ29&lt;&gt;"",$AJ29,IF($AE29&lt;&gt;"",$AE29,IF($Z29&lt;&gt;"",$Z29,IF($U29&lt;&gt;"",$U29,IF($P29&lt;&gt;"",$P29,""))))),"")</f>
        <v/>
      </c>
      <c r="AP31" s="431" t="inlineStr">
        <is>
          <t>Technique: EP-invalid-format (AnhSanPham)</t>
        </is>
      </c>
    </row>
    <row r="32" ht="60" customHeight="1" s="225">
      <c r="A32" s="426">
        <f>IF(C32="","",$C$2&amp;"."&amp;COUNTA($C$8:C32)&amp;"")</f>
        <v/>
      </c>
      <c r="B32" s="426" t="inlineStr">
        <is>
          <t>REQ-ORD-012</t>
        </is>
      </c>
      <c r="C32" s="426" t="inlineStr">
        <is>
          <t>DOC-v1.0-01 (BRD v3.2 §D8.1/D8.2)</t>
        </is>
      </c>
      <c r="D32" s="426" t="inlineStr">
        <is>
          <t>Functional</t>
        </is>
      </c>
      <c r="E32" s="426" t="inlineStr">
        <is>
          <t>Low</t>
        </is>
      </c>
      <c r="F32" s="427" t="inlineStr">
        <is>
          <t>Check chọn 2 ảnh sản phẩm cùng lúc bị chặn</t>
        </is>
      </c>
      <c r="G32" s="427" t="inlineStr">
        <is>
          <t>Đang ở Bước 1/3</t>
        </is>
      </c>
      <c r="H32" s="427" t="inlineStr">
        <is>
          <t>1. Mở thư viện ảnh, chọn cùng lúc 2 ảnh JPG hợp lệ</t>
        </is>
      </c>
      <c r="I32" s="427" t="inlineStr">
        <is>
          <t>1. Bị chặn/báo lỗi, hệ thống chỉ cho phép chọn duy nhất 1 ảnh</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IF($A30="","",IF(OR($N30="Yes",$S30="Yes",$X30="Yes",$AC30="Yes",$AH30="Yes"),"Yes","No"))</f>
        <v/>
      </c>
      <c r="AN32" s="430">
        <f>IF($A30="","",IFERROR(IF($AI30&lt;&gt;"",$AI30,IF($AD30&lt;&gt;"",$AD30,IF($Y30&lt;&gt;"",$Y30,IF($T30&lt;&gt;"",$T30,IF($O30&lt;&gt;"",$O30,""))))),""))</f>
        <v/>
      </c>
      <c r="AO32" s="430">
        <f>IFERROR(IF($AJ30&lt;&gt;"",$AJ30,IF($AE30&lt;&gt;"",$AE30,IF($Z30&lt;&gt;"",$Z30,IF($U30&lt;&gt;"",$U30,IF($P30&lt;&gt;"",$P30,""))))),"")</f>
        <v/>
      </c>
      <c r="AP32" s="431" t="inlineStr">
        <is>
          <t>Technique: EP-invalid-multi-image (AnhSanPham)</t>
        </is>
      </c>
    </row>
    <row r="33" ht="60" customHeight="1" s="225">
      <c r="A33" s="423" t="inlineStr">
        <is>
          <t>Wizard đăng tin — Bước 2/3 (Địa điểm &amp; Thời gian)</t>
        </is>
      </c>
      <c r="B33" s="233" t="n"/>
      <c r="C33" s="233" t="n"/>
      <c r="D33" s="233" t="n"/>
      <c r="E33" s="233" t="n"/>
      <c r="F33" s="233" t="n"/>
      <c r="G33" s="233" t="n"/>
      <c r="H33" s="233" t="n"/>
      <c r="I33" s="231" t="n"/>
      <c r="J33" s="424" t="n"/>
      <c r="K33" s="424" t="n"/>
      <c r="L33" s="424" t="n"/>
      <c r="M33" s="424" t="n"/>
      <c r="N33" s="425" t="n"/>
      <c r="O33" s="425" t="n"/>
      <c r="P33" s="425" t="n"/>
      <c r="Q33" s="425" t="n"/>
      <c r="R33" s="425" t="n"/>
      <c r="S33" s="425" t="n"/>
      <c r="T33" s="425" t="n"/>
      <c r="U33" s="425" t="n"/>
      <c r="V33" s="425" t="n"/>
      <c r="W33" s="425" t="n"/>
      <c r="X33" s="425" t="n"/>
      <c r="Y33" s="425" t="n"/>
      <c r="Z33" s="425" t="n"/>
      <c r="AA33" s="425" t="n"/>
      <c r="AB33" s="421" t="n"/>
      <c r="AC33" s="421" t="n"/>
      <c r="AD33" s="421" t="n"/>
      <c r="AE33" s="421" t="n"/>
      <c r="AF33" s="421" t="n"/>
      <c r="AG33" s="421" t="n"/>
      <c r="AH33" s="421" t="n"/>
      <c r="AI33" s="421" t="n"/>
      <c r="AJ33" s="421" t="n"/>
      <c r="AK33" s="421" t="n"/>
      <c r="AL33" s="421" t="n"/>
      <c r="AM33" s="422" t="n"/>
      <c r="AN33" s="422" t="n"/>
      <c r="AO33" s="422" t="n"/>
      <c r="AP33" s="422" t="n"/>
    </row>
    <row r="34" ht="15.75" customHeight="1" s="225">
      <c r="A34" s="426" t="n"/>
      <c r="B34" s="432" t="inlineStr">
        <is>
          <t>Block Người gửi</t>
        </is>
      </c>
      <c r="C34" s="233" t="n"/>
      <c r="D34" s="233" t="n"/>
      <c r="E34" s="233" t="n"/>
      <c r="F34" s="233" t="n"/>
      <c r="G34" s="233" t="n"/>
      <c r="H34" s="233" t="n"/>
      <c r="I34" s="231" t="n"/>
      <c r="J34" s="426" t="n"/>
      <c r="K34" s="426" t="n"/>
      <c r="L34" s="426" t="n"/>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t="n"/>
      <c r="AN34" s="430" t="n"/>
      <c r="AO34" s="430" t="n"/>
      <c r="AP34" s="431" t="n"/>
    </row>
    <row r="35" ht="70" customHeight="1" s="225">
      <c r="A35" s="426">
        <f>IF(C35="","",$C$2&amp;"."&amp;COUNTA($C$8:C35)&amp;"")</f>
        <v/>
      </c>
      <c r="B35" s="426" t="inlineStr">
        <is>
          <t>REQ-ORD-002</t>
        </is>
      </c>
      <c r="C35" s="426" t="inlineStr">
        <is>
          <t>DOC-v1.0-01</t>
        </is>
      </c>
      <c r="D35" s="426" t="inlineStr">
        <is>
          <t>UI</t>
        </is>
      </c>
      <c r="E35" s="426" t="inlineStr">
        <is>
          <t>Medium</t>
        </is>
      </c>
      <c r="F35" s="427" t="inlineStr">
        <is>
          <t>Check đầy đủ 3 field Người gửi tự động điền từ tài khoản</t>
        </is>
      </c>
      <c r="G35" s="427" t="inlineStr">
        <is>
          <t>Vừa qua Bước 2/3 lần đầu, form MỚI/SẠCH chưa sửa gì</t>
        </is>
      </c>
      <c r="H35" s="427" t="inlineStr">
        <is>
          <t>1. Quan sát khối 'Người gửi'</t>
        </is>
      </c>
      <c r="I35" s="427" t="inlineStr">
        <is>
          <t>1. Hiển thị đủ 3 field đã điền sẵn theo đúng thứ tự:
- Tên (load từ tài khoản đăng nhập, CHỈ ĐỌC — không cho sửa)
- SĐT (load từ tài khoản đăng nhập, CHO PHÉP sửa)
- Địa chỉ lấy hàng (mặc định load nơi làm việc tài khoản đăng nhập — 'Tòa nhà Lô B3, KCX Tân Thuận, Q.7', CHO PHÉP sửa qua cơ chế gõ tìm rồi CHỌN từ danh sách gợi ý — KHÔNG tự do nhập rồi lưu thẳng text)</t>
        </is>
      </c>
      <c r="J35" s="426" t="inlineStr">
        <is>
          <t>AI</t>
        </is>
      </c>
      <c r="K35" s="426" t="inlineStr">
        <is>
          <t>Pending</t>
        </is>
      </c>
      <c r="L35" s="426" t="inlineStr">
        <is>
          <t>No</t>
        </is>
      </c>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f>IF($A33="","",IF(OR($N33="Yes",$S33="Yes",$X33="Yes",$AC33="Yes",$AH33="Yes"),"Yes","No"))</f>
        <v/>
      </c>
      <c r="AN35" s="430">
        <f>IF($A33="","",IFERROR(IF($AI33&lt;&gt;"",$AI33,IF($AD33&lt;&gt;"",$AD33,IF($Y33&lt;&gt;"",$Y33,IF($T33&lt;&gt;"",$T33,IF($O33&lt;&gt;"",$O33,""))))),""))</f>
        <v/>
      </c>
      <c r="AO35" s="430">
        <f>IFERROR(IF($AJ33&lt;&gt;"",$AJ33,IF($AE33&lt;&gt;"",$AE33,IF($Z33&lt;&gt;"",$Z33,IF($U33&lt;&gt;"",$U33,IF($P33&lt;&gt;"",$P33,""))))),"")</f>
        <v/>
      </c>
      <c r="AP35" s="431" t="inlineStr">
        <is>
          <t>Field/column completeness check — auto-derived (xem generate.md Step 3b)</t>
        </is>
      </c>
    </row>
    <row r="36" ht="45" customHeight="1" s="225">
      <c r="A36" s="426">
        <f>IF(C36="","",$C$2&amp;"."&amp;COUNTA($C$8:C36)&amp;"")</f>
        <v/>
      </c>
      <c r="B36" s="426" t="inlineStr">
        <is>
          <t>REQ-ORD-002</t>
        </is>
      </c>
      <c r="C36" s="426" t="inlineStr">
        <is>
          <t>BA xác nhận qua chat (2026-07-29)</t>
        </is>
      </c>
      <c r="D36" s="426" t="inlineStr">
        <is>
          <t>UI</t>
        </is>
      </c>
      <c r="E36" s="426" t="inlineStr">
        <is>
          <t>Medium</t>
        </is>
      </c>
      <c r="F36" s="427" t="inlineStr">
        <is>
          <t>Check field Tên (Người gửi) không cho chỉnh sửa (read-only)</t>
        </is>
      </c>
      <c r="G36" s="427" t="inlineStr">
        <is>
          <t>Đang ở Bước 2/3, khối 'Người gửi', field Tên đã điền sẵn tên tài khoản đăng nhập</t>
        </is>
      </c>
      <c r="H36" s="427" t="inlineStr">
        <is>
          <t>1. Chạm vào field Tên
2. Thử nhập/sửa nội dung</t>
        </is>
      </c>
      <c r="I36" s="427" t="inlineStr">
        <is>
          <t>1. Field Tên không nhận focus nhập liệu (hiển thị dạng disabled/readonly)
2. Giá trị Tên giữ nguyên đúng tên tài khoản đăng nhập, không đổi</t>
        </is>
      </c>
      <c r="J36" s="426" t="inlineStr">
        <is>
          <t>AI</t>
        </is>
      </c>
      <c r="K36" s="426" t="inlineStr">
        <is>
          <t>Pending</t>
        </is>
      </c>
      <c r="L36" s="426" t="inlineStr">
        <is>
          <t>No</t>
        </is>
      </c>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f>IF($A34="","",IF(OR($N34="Yes",$S34="Yes",$X34="Yes",$AC34="Yes",$AH34="Yes"),"Yes","No"))</f>
        <v/>
      </c>
      <c r="AN36" s="430">
        <f>IF($A34="","",IFERROR(IF($AI34&lt;&gt;"",$AI34,IF($AD34&lt;&gt;"",$AD34,IF($Y34&lt;&gt;"",$Y34,IF($T34&lt;&gt;"",$T34,IF($O34&lt;&gt;"",$O34,""))))),""))</f>
        <v/>
      </c>
      <c r="AO36" s="430">
        <f>IFERROR(IF($AJ34&lt;&gt;"",$AJ34,IF($AE34&lt;&gt;"",$AE34,IF($Z34&lt;&gt;"",$Z34,IF($U34&lt;&gt;"",$U34,IF($P34&lt;&gt;"",$P34,""))))),"")</f>
        <v/>
      </c>
      <c r="AP36" s="431" t="n"/>
    </row>
    <row r="37" ht="45" customHeight="1" s="225">
      <c r="A37" s="426">
        <f>IF(C37="","",$C$2&amp;"."&amp;COUNTA($C$8:C37)&amp;"")</f>
        <v/>
      </c>
      <c r="B37" s="426" t="inlineStr">
        <is>
          <t>REQ-ORD-012</t>
        </is>
      </c>
      <c r="C37" s="426" t="inlineStr">
        <is>
          <t>DOC-v1.0-01 (BRD v3.2 §D8.1, áp dụng cho SĐT Người gửi)</t>
        </is>
      </c>
      <c r="D37" s="426" t="inlineStr">
        <is>
          <t>Functional</t>
        </is>
      </c>
      <c r="E37" s="426" t="inlineStr">
        <is>
          <t>Medium</t>
        </is>
      </c>
      <c r="F37" s="427" t="inlineStr">
        <is>
          <t>Check bỏ trống SĐT (Người gửi) bị chặn</t>
        </is>
      </c>
      <c r="G37" s="427" t="inlineStr">
        <is>
          <t>Đang ở Bước 2/3, khối 'Người gửi', đã xoá hết nội dung field SĐT</t>
        </is>
      </c>
      <c r="H37" s="427" t="inlineStr">
        <is>
          <t>1. Xoá trống SĐT (Người gửi)
2. Bấm 'Tiếp theo'</t>
        </is>
      </c>
      <c r="I37" s="427" t="inlineStr">
        <is>
          <t>1. Field hiển thị rỗng
2. Bị chặn/báo lỗi, không cho qua Bước 3/3</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IF($A35="","",IF(OR($N35="Yes",$S35="Yes",$X35="Yes",$AC35="Yes",$AH35="Yes"),"Yes","No"))</f>
        <v/>
      </c>
      <c r="AN37" s="430">
        <f>IF($A35="","",IFERROR(IF($AI35&lt;&gt;"",$AI35,IF($AD35&lt;&gt;"",$AD35,IF($Y35&lt;&gt;"",$Y35,IF($T35&lt;&gt;"",$T35,IF($O35&lt;&gt;"",$O35,""))))),""))</f>
        <v/>
      </c>
      <c r="AO37" s="430">
        <f>IFERROR(IF($AJ35&lt;&gt;"",$AJ35,IF($AE35&lt;&gt;"",$AE35,IF($Z35&lt;&gt;"",$Z35,IF($U35&lt;&gt;"",$U35,IF($P35&lt;&gt;"",$P35,""))))),"")</f>
        <v/>
      </c>
      <c r="AP37" s="431" t="n"/>
    </row>
    <row r="38" ht="45" customHeight="1" s="225">
      <c r="A38" s="426">
        <f>IF(C38="","",$C$2&amp;"."&amp;COUNTA($C$8:C38)&amp;"")</f>
        <v/>
      </c>
      <c r="B38" s="426" t="inlineStr">
        <is>
          <t>REQ-ORD-012</t>
        </is>
      </c>
      <c r="C38" s="426" t="inlineStr">
        <is>
          <t>DOC-v1.0-01 (BRD v3.2 §D8.1, áp dụng cho SĐT Người gửi)</t>
        </is>
      </c>
      <c r="D38" s="426" t="inlineStr">
        <is>
          <t>Functional</t>
        </is>
      </c>
      <c r="E38" s="426" t="inlineStr">
        <is>
          <t>Medium</t>
        </is>
      </c>
      <c r="F38" s="427" t="inlineStr">
        <is>
          <t>Check SĐT (Người gửi) đúng định dạng chuẩn VN hợp lệ</t>
        </is>
      </c>
      <c r="G38" s="427" t="inlineStr">
        <is>
          <t>Đang ở Bước 2/3, khối 'Người gửi'</t>
        </is>
      </c>
      <c r="H38" s="427" t="inlineStr">
        <is>
          <t>1. Sửa SĐT thành số hợp lệ đúng chuẩn VN (10 số, đầu 0, vd '0912345678')
2. Bấm 'Tiếp theo'</t>
        </is>
      </c>
      <c r="I38" s="427" t="inlineStr">
        <is>
          <t>1. Không báo lỗi
2. Cho qua Bước 3/3 bình thường</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IF($A36="","",IF(OR($N36="Yes",$S36="Yes",$X36="Yes",$AC36="Yes",$AH36="Yes"),"Yes","No"))</f>
        <v/>
      </c>
      <c r="AN38" s="430">
        <f>IF($A36="","",IFERROR(IF($AI36&lt;&gt;"",$AI36,IF($AD36&lt;&gt;"",$AD36,IF($Y36&lt;&gt;"",$Y36,IF($T36&lt;&gt;"",$T36,IF($O36&lt;&gt;"",$O36,""))))),""))</f>
        <v/>
      </c>
      <c r="AO38" s="430">
        <f>IFERROR(IF($AJ36&lt;&gt;"",$AJ36,IF($AE36&lt;&gt;"",$AE36,IF($Z36&lt;&gt;"",$Z36,IF($U36&lt;&gt;"",$U36,IF($P36&lt;&gt;"",$P36,""))))),"")</f>
        <v/>
      </c>
      <c r="AP38" s="431" t="n"/>
    </row>
    <row r="39" ht="45" customHeight="1" s="225">
      <c r="A39" s="426">
        <f>IF(C39="","",$C$2&amp;"."&amp;COUNTA($C$8:C39)&amp;"")</f>
        <v/>
      </c>
      <c r="B39" s="426" t="inlineStr">
        <is>
          <t>REQ-ORD-012</t>
        </is>
      </c>
      <c r="C39" s="426" t="inlineStr">
        <is>
          <t>DOC-v1.0-01 (BRD v3.2 §D8.1, áp dụng cho SĐT Người gửi)</t>
        </is>
      </c>
      <c r="D39" s="426" t="inlineStr">
        <is>
          <t>Functional</t>
        </is>
      </c>
      <c r="E39" s="426" t="inlineStr">
        <is>
          <t>Medium</t>
        </is>
      </c>
      <c r="F39" s="427" t="inlineStr">
        <is>
          <t>Check SĐT (Người gửi) sai định dạng bị chặn</t>
        </is>
      </c>
      <c r="G39" s="427" t="inlineStr">
        <is>
          <t>Đang ở Bước 2/3, khối 'Người gửi'</t>
        </is>
      </c>
      <c r="H39" s="427" t="inlineStr">
        <is>
          <t>1. Sửa SĐT thành giá trị sai định dạng (vd thiếu số 0 đầu '912345678', không đủ 10 số, hoặc chứa ký tự chữ)
2. Bấm 'Tiếp theo'</t>
        </is>
      </c>
      <c r="I39" s="427" t="inlineStr">
        <is>
          <t>1. Bị chặn/báo lỗi đúng field SĐT
2. Không cho qua Bước 3/3</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IF($A37="","",IF(OR($N37="Yes",$S37="Yes",$X37="Yes",$AC37="Yes",$AH37="Yes"),"Yes","No"))</f>
        <v/>
      </c>
      <c r="AN39" s="430">
        <f>IF($A37="","",IFERROR(IF($AI37&lt;&gt;"",$AI37,IF($AD37&lt;&gt;"",$AD37,IF($Y37&lt;&gt;"",$Y37,IF($T37&lt;&gt;"",$T37,IF($O37&lt;&gt;"",$O37,""))))),""))</f>
        <v/>
      </c>
      <c r="AO39" s="430">
        <f>IFERROR(IF($AJ37&lt;&gt;"",$AJ37,IF($AE37&lt;&gt;"",$AE37,IF($Z37&lt;&gt;"",$Z37,IF($U37&lt;&gt;"",$U37,IF($P37&lt;&gt;"",$P37,""))))),"")</f>
        <v/>
      </c>
      <c r="AP39" s="431" t="n"/>
    </row>
    <row r="40" ht="15.75" customHeight="1" s="225">
      <c r="A40" s="426">
        <f>IF(C40="","",$C$2&amp;"."&amp;COUNTA($C$8:C40)&amp;"")</f>
        <v/>
      </c>
      <c r="B40" s="426" t="inlineStr">
        <is>
          <t>REQ-ORD-007</t>
        </is>
      </c>
      <c r="C40" s="426" t="inlineStr">
        <is>
          <t>DOC-v1.0-01</t>
        </is>
      </c>
      <c r="D40" s="426" t="inlineStr">
        <is>
          <t>Functional</t>
        </is>
      </c>
      <c r="E40" s="426" t="inlineStr">
        <is>
          <t>Low</t>
        </is>
      </c>
      <c r="F40" s="427" t="inlineStr">
        <is>
          <t>Check chọn nhanh 1 preset văn phòng FPT tự điền địa chỉ lấy hàng</t>
        </is>
      </c>
      <c r="G40" s="427" t="inlineStr">
        <is>
          <t>Đang ở Bước 2/3, khối Người gửi</t>
        </is>
      </c>
      <c r="H40" s="427" t="inlineStr">
        <is>
          <t>1. Mở quick-select văn phòng
2. Chọn 1 preset (vd 'F-Town 3, Q.7')</t>
        </is>
      </c>
      <c r="I40" s="427" t="inlineStr">
        <is>
          <t>1. Danh sách preset văn phòng hiển thị
2. Địa chỉ lấy hàng tự động điền đúng theo preset đã chọn</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IF($A38="","",IF(OR($N38="Yes",$S38="Yes",$X38="Yes",$AC38="Yes",$AH38="Yes"),"Yes","No"))</f>
        <v/>
      </c>
      <c r="AN40" s="430">
        <f>IF($A38="","",IFERROR(IF($AI38&lt;&gt;"",$AI38,IF($AD38&lt;&gt;"",$AD38,IF($Y38&lt;&gt;"",$Y38,IF($T38&lt;&gt;"",$T38,IF($O38&lt;&gt;"",$O38,""))))),""))</f>
        <v/>
      </c>
      <c r="AO40" s="430">
        <f>IFERROR(IF($AJ38&lt;&gt;"",$AJ38,IF($AE38&lt;&gt;"",$AE38,IF($Z38&lt;&gt;"",$Z38,IF($U38&lt;&gt;"",$U38,IF($P38&lt;&gt;"",$P38,""))))),"")</f>
        <v/>
      </c>
      <c r="AP40" s="431" t="inlineStr">
        <is>
          <t>⚠ Analyst Note: chưa có bằng chứng UI trong demo, cần vibe-test xác nhận UI thật có quick-select</t>
        </is>
      </c>
    </row>
    <row r="41" ht="15.75" customHeight="1" s="225">
      <c r="A41" s="426">
        <f>IF(C41="","",$C$2&amp;"."&amp;COUNTA($C$8:C41)&amp;"")</f>
        <v/>
      </c>
      <c r="B41" s="426" t="inlineStr">
        <is>
          <t>REQ-ORD-007</t>
        </is>
      </c>
      <c r="C41" s="426" t="inlineStr">
        <is>
          <t>DOC-v1.0-01</t>
        </is>
      </c>
      <c r="D41" s="426" t="inlineStr">
        <is>
          <t>UI</t>
        </is>
      </c>
      <c r="E41" s="426" t="inlineStr">
        <is>
          <t>Low</t>
        </is>
      </c>
      <c r="F41" s="427" t="inlineStr">
        <is>
          <t>Check đủ 6 preset văn phòng FPT hiển thị đúng tên</t>
        </is>
      </c>
      <c r="G41" s="427" t="inlineStr">
        <is>
          <t>Đang ở Bước 2/3, mở quick-select văn phòng</t>
        </is>
      </c>
      <c r="H41" s="427" t="inlineStr">
        <is>
          <t>1. Quan sát danh sách preset văn phòng</t>
        </is>
      </c>
      <c r="I41" s="427" t="inlineStr">
        <is>
          <t>1. Hiển thị đủ 6 preset văn phòng FPT (có thể mở rộng theo tỉnh)</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IF($A39="","",IF(OR($N39="Yes",$S39="Yes",$X39="Yes",$AC39="Yes",$AH39="Yes"),"Yes","No"))</f>
        <v/>
      </c>
      <c r="AN41" s="430">
        <f>IF($A39="","",IFERROR(IF($AI39&lt;&gt;"",$AI39,IF($AD39&lt;&gt;"",$AD39,IF($Y39&lt;&gt;"",$Y39,IF($T39&lt;&gt;"",$T39,IF($O39&lt;&gt;"",$O39,""))))),""))</f>
        <v/>
      </c>
      <c r="AO41" s="430">
        <f>IFERROR(IF($AJ39&lt;&gt;"",$AJ39,IF($AE39&lt;&gt;"",$AE39,IF($Z39&lt;&gt;"",$Z39,IF($U39&lt;&gt;"",$U39,IF($P39&lt;&gt;"",$P39,""))))),"")</f>
        <v/>
      </c>
      <c r="AP41" s="431" t="inlineStr">
        <is>
          <t>Field/column completeness check — auto-derived (xem generate.md Step 3b)</t>
        </is>
      </c>
    </row>
    <row r="42" ht="15.75" customHeight="1" s="225">
      <c r="A42" s="426">
        <f>IF(C42="","",$C$2&amp;"."&amp;COUNTA($C$8:C42)&amp;"")</f>
        <v/>
      </c>
      <c r="B42" s="426" t="inlineStr">
        <is>
          <t>REQ-ORD-012</t>
        </is>
      </c>
      <c r="C42" s="426" t="inlineStr">
        <is>
          <t>DOC-v1.0-01 (BRD v3.2 §D8.1/D8.2)</t>
        </is>
      </c>
      <c r="D42" s="426" t="inlineStr">
        <is>
          <t>Functional</t>
        </is>
      </c>
      <c r="E42" s="426" t="inlineStr">
        <is>
          <t>Low</t>
        </is>
      </c>
      <c r="F42" s="427" t="inlineStr">
        <is>
          <t>Check xoá trống Địa chỉ lấy hàng bị chặn</t>
        </is>
      </c>
      <c r="G42" s="427" t="inlineStr">
        <is>
          <t>Đang ở Bước 2/3, đã xoá hết nội dung field Địa chỉ lấy hàng (mặc định có sẵn)</t>
        </is>
      </c>
      <c r="H42" s="427" t="inlineStr">
        <is>
          <t>1. Xoá trống Địa chỉ lấy hàng
2. Bấm 'Tiếp theo'</t>
        </is>
      </c>
      <c r="I42" s="427" t="inlineStr">
        <is>
          <t>1. Field hiển thị rỗng
2. Bị chặn/báo lỗi, không cho qua Bước 3/3 — dùng chung rule maxlength/required với Địa chỉ giao hàng (xem BVA đầy đủ tại khối Người nhận)</t>
        </is>
      </c>
      <c r="J42" s="426" t="inlineStr">
        <is>
          <t>AI</t>
        </is>
      </c>
      <c r="K42" s="426" t="inlineStr">
        <is>
          <t>Pending</t>
        </is>
      </c>
      <c r="L42" s="426" t="inlineStr">
        <is>
          <t>No</t>
        </is>
      </c>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f>IF($A40="","",IF(OR($N40="Yes",$S40="Yes",$X40="Yes",$AC40="Yes",$AH40="Yes"),"Yes","No"))</f>
        <v/>
      </c>
      <c r="AN42" s="430">
        <f>IF($A40="","",IFERROR(IF($AI40&lt;&gt;"",$AI40,IF($AD40&lt;&gt;"",$AD40,IF($Y40&lt;&gt;"",$Y40,IF($T40&lt;&gt;"",$T40,IF($O40&lt;&gt;"",$O40,""))))),""))</f>
        <v/>
      </c>
      <c r="AO42" s="430">
        <f>IFERROR(IF($AJ40&lt;&gt;"",$AJ40,IF($AE40&lt;&gt;"",$AE40,IF($Z40&lt;&gt;"",$Z40,IF($U40&lt;&gt;"",$U40,IF($P40&lt;&gt;"",$P40,""))))),"")</f>
        <v/>
      </c>
      <c r="AP42" s="431" t="inlineStr">
        <is>
          <t>Technique: EP-invalid-empty (DiaChiLayHang, spot-check — dedupe BVA đầy đủ với Địa chỉ giao hàng)</t>
        </is>
      </c>
    </row>
    <row r="43" ht="45" customHeight="1" s="225">
      <c r="A43" s="426">
        <f>IF(C43="","",$C$2&amp;"."&amp;COUNTA($C$8:C43)&amp;"")</f>
        <v/>
      </c>
      <c r="B43" s="426" t="inlineStr">
        <is>
          <t>REQ-ORD-014</t>
        </is>
      </c>
      <c r="C43" s="426" t="inlineStr">
        <is>
          <t>DOC-v1.0-06</t>
        </is>
      </c>
      <c r="D43" s="426" t="inlineStr">
        <is>
          <t>Functional</t>
        </is>
      </c>
      <c r="E43" s="426" t="inlineStr">
        <is>
          <t>Medium</t>
        </is>
      </c>
      <c r="F43" s="427" t="inlineStr">
        <is>
          <t>Check nhập text vào Địa chỉ lấy hàng hiển thị danh sách gợi ý để CHỌN (không tự do nhập lưu thẳng)</t>
        </is>
      </c>
      <c r="G43" s="427" t="inlineStr">
        <is>
          <t>Đang ở Bước 2/3, khối 'Người gửi', field Địa chỉ lấy hàng</t>
        </is>
      </c>
      <c r="H43" s="427" t="inlineStr">
        <is>
          <t>1. Xoá địa chỉ mặc định
2. Nhập 1 chuỗi text bất kỳ khớp 1 phần tên văn phòng (vd 'tân thuận')
3. Chọn 1 kết quả trong danh sách gợi ý hiện ra</t>
        </is>
      </c>
      <c r="I43" s="427" t="inlineStr">
        <is>
          <t>1. Field cho gõ text để tìm kiếm
2. Hệ thống hiển thị danh sách gợi ý văn phòng khớp với text đã nhập, load từ dữ liệu hệ thống (DB)
3. Field Địa chỉ lấy hàng cập nhật đúng theo đúng item đã CHỌN trong danh sách (không phải giữ nguyên text gõ tự do)</t>
        </is>
      </c>
      <c r="J43" s="426" t="inlineStr">
        <is>
          <t>AI</t>
        </is>
      </c>
      <c r="K43" s="426" t="inlineStr">
        <is>
          <t>Pending</t>
        </is>
      </c>
      <c r="L43" s="426" t="inlineStr">
        <is>
          <t>No</t>
        </is>
      </c>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f>IF($A41="","",IF(OR($N41="Yes",$S41="Yes",$X41="Yes",$AC41="Yes",$AH41="Yes"),"Yes","No"))</f>
        <v/>
      </c>
      <c r="AN43" s="430">
        <f>IF($A41="","",IFERROR(IF($AI41&lt;&gt;"",$AI41,IF($AD41&lt;&gt;"",$AD41,IF($Y41&lt;&gt;"",$Y41,IF($T41&lt;&gt;"",$T41,IF($O41&lt;&gt;"",$O41,""))))),""))</f>
        <v/>
      </c>
      <c r="AO43" s="430">
        <f>IFERROR(IF($AJ41&lt;&gt;"",$AJ41,IF($AE41&lt;&gt;"",$AE41,IF($Z41&lt;&gt;"",$Z41,IF($U41&lt;&gt;"",$U41,IF($P41&lt;&gt;"",$P41,""))))),"")</f>
        <v/>
      </c>
      <c r="AP43" s="431" t="n"/>
    </row>
    <row r="44" ht="45" customHeight="1" s="225">
      <c r="A44" s="426">
        <f>IF(C44="","",$C$2&amp;"."&amp;COUNTA($C$8:C44)&amp;"")</f>
        <v/>
      </c>
      <c r="B44" s="426" t="inlineStr">
        <is>
          <t>REQ-ORD-014</t>
        </is>
      </c>
      <c r="C44" s="426" t="inlineStr">
        <is>
          <t>DOC-v1.0-06</t>
        </is>
      </c>
      <c r="D44" s="426" t="inlineStr">
        <is>
          <t>Functional</t>
        </is>
      </c>
      <c r="E44" s="426" t="inlineStr">
        <is>
          <t>Low</t>
        </is>
      </c>
      <c r="F44" s="427" t="inlineStr">
        <is>
          <t>Check tìm kiếm Địa chỉ lấy hàng không phân biệt hoa/thường</t>
        </is>
      </c>
      <c r="G44" s="427" t="inlineStr">
        <is>
          <t>Đang ở Bước 2/3, khối 'Người gửi', field Địa chỉ lấy hàng</t>
        </is>
      </c>
      <c r="H44" s="427" t="inlineStr">
        <is>
          <t>1. Nhập từ khoá viết HOA (vd 'TÂN THUẬN'), ghi nhận danh sách gợi ý
2. Xoá, nhập lại đúng từ khoá viết thường (vd 'tân thuận')</t>
        </is>
      </c>
      <c r="I44" s="427" t="inlineStr">
        <is>
          <t>1. Danh sách gợi ý hiện ra khớp text
2. Danh sách gợi ý ở bước 2 giống hệt bước 1 (không phân biệt hoa/thường)</t>
        </is>
      </c>
      <c r="J44" s="426" t="inlineStr">
        <is>
          <t>AI</t>
        </is>
      </c>
      <c r="K44" s="426" t="inlineStr">
        <is>
          <t>Pending</t>
        </is>
      </c>
      <c r="L44" s="426" t="inlineStr">
        <is>
          <t>No</t>
        </is>
      </c>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f>IF($A42="","",IF(OR($N42="Yes",$S42="Yes",$X42="Yes",$AC42="Yes",$AH42="Yes"),"Yes","No"))</f>
        <v/>
      </c>
      <c r="AN44" s="430">
        <f>IF($A42="","",IFERROR(IF($AI42&lt;&gt;"",$AI42,IF($AD42&lt;&gt;"",$AD42,IF($Y42&lt;&gt;"",$Y42,IF($T42&lt;&gt;"",$T42,IF($O42&lt;&gt;"",$O42,""))))),""))</f>
        <v/>
      </c>
      <c r="AO44" s="430">
        <f>IFERROR(IF($AJ42&lt;&gt;"",$AJ42,IF($AE42&lt;&gt;"",$AE42,IF($Z42&lt;&gt;"",$Z42,IF($U42&lt;&gt;"",$U42,IF($P42&lt;&gt;"",$P42,""))))),"")</f>
        <v/>
      </c>
      <c r="AP44" s="431" t="n"/>
    </row>
    <row r="45" ht="45" customHeight="1" s="225">
      <c r="A45" s="426">
        <f>IF(C45="","",$C$2&amp;"."&amp;COUNTA($C$8:C45)&amp;"")</f>
        <v/>
      </c>
      <c r="B45" s="426" t="inlineStr">
        <is>
          <t>REQ-ORD-014</t>
        </is>
      </c>
      <c r="C45" s="426" t="inlineStr">
        <is>
          <t>DOC-v1.0-06</t>
        </is>
      </c>
      <c r="D45" s="426" t="inlineStr">
        <is>
          <t>Functional</t>
        </is>
      </c>
      <c r="E45" s="426" t="inlineStr">
        <is>
          <t>Medium</t>
        </is>
      </c>
      <c r="F45" s="427" t="inlineStr">
        <is>
          <t>Check gõ text ở Địa chỉ lấy hàng nhưng KHÔNG chọn gợi ý → không được lưu làm địa chỉ</t>
        </is>
      </c>
      <c r="G45" s="427" t="inlineStr">
        <is>
          <t>Đang ở Bước 2/3, khối 'Người gửi', field Địa chỉ lấy hàng</t>
        </is>
      </c>
      <c r="H45" s="427" t="inlineStr">
        <is>
          <t>1. Xoá địa chỉ mặc định, gõ 1 chuỗi text bất kỳ (vd 'tân thuận')
2. KHÔNG chọn gợi ý nào, bấm 'Tiếp theo' ngay</t>
        </is>
      </c>
      <c r="I45" s="427" t="inlineStr">
        <is>
          <t>1. Danh sách gợi ý hiện ra nhưng chưa có item nào được chọn
2. Bị chặn/báo lỗi (field coi như chưa hợp lệ) — hệ thống KHÔNG tự lưu nguyên text đã gõ làm địa chỉ</t>
        </is>
      </c>
      <c r="J45" s="426" t="inlineStr">
        <is>
          <t>AI</t>
        </is>
      </c>
      <c r="K45" s="426" t="inlineStr">
        <is>
          <t>Pending</t>
        </is>
      </c>
      <c r="L45" s="426" t="inlineStr">
        <is>
          <t>No</t>
        </is>
      </c>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f>IF($A43="","",IF(OR($N43="Yes",$S43="Yes",$X43="Yes",$AC43="Yes",$AH43="Yes"),"Yes","No"))</f>
        <v/>
      </c>
      <c r="AN45" s="430">
        <f>IF($A43="","",IFERROR(IF($AI43&lt;&gt;"",$AI43,IF($AD43&lt;&gt;"",$AD43,IF($Y43&lt;&gt;"",$Y43,IF($T43&lt;&gt;"",$T43,IF($O43&lt;&gt;"",$O43,""))))),""))</f>
        <v/>
      </c>
      <c r="AO45" s="430">
        <f>IFERROR(IF($AJ43&lt;&gt;"",$AJ43,IF($AE43&lt;&gt;"",$AE43,IF($Z43&lt;&gt;"",$Z43,IF($U43&lt;&gt;"",$U43,IF($P43&lt;&gt;"",$P43,""))))),"")</f>
        <v/>
      </c>
      <c r="AP45" s="431" t="n"/>
    </row>
    <row r="46" ht="15.75" customHeight="1" s="225">
      <c r="A46" s="426" t="n"/>
      <c r="B46" s="432" t="inlineStr">
        <is>
          <t>Block Người nhận</t>
        </is>
      </c>
      <c r="C46" s="233" t="n"/>
      <c r="D46" s="233" t="n"/>
      <c r="E46" s="233" t="n"/>
      <c r="F46" s="233" t="n"/>
      <c r="G46" s="233" t="n"/>
      <c r="H46" s="233" t="n"/>
      <c r="I46" s="231"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ht="85" customHeight="1" s="225">
      <c r="A47" s="426">
        <f>IF(C47="","",$C$2&amp;"."&amp;COUNTA($C$8:C47)&amp;"")</f>
        <v/>
      </c>
      <c r="B47" s="426" t="inlineStr">
        <is>
          <t>REQ-ORD-008, REQ-ORD-012</t>
        </is>
      </c>
      <c r="C47" s="426" t="inlineStr">
        <is>
          <t>DOC-v1.0-01</t>
        </is>
      </c>
      <c r="D47" s="426" t="inlineStr">
        <is>
          <t>UI</t>
        </is>
      </c>
      <c r="E47" s="426" t="inlineStr">
        <is>
          <t>Medium</t>
        </is>
      </c>
      <c r="F47" s="427" t="inlineStr">
        <is>
          <t>Check đầy đủ 4 field Người nhận</t>
        </is>
      </c>
      <c r="G47" s="427" t="inlineStr">
        <is>
          <t>Đang ở Bước 2/3, form MỚI/SẠCH</t>
        </is>
      </c>
      <c r="H47" s="427" t="inlineStr">
        <is>
          <t>1. Quan sát khối 'Người nhận'</t>
        </is>
      </c>
      <c r="I47" s="427" t="inlineStr">
        <is>
          <t>1. Hiển thị đủ 4 field theo đúng thứ tự:
- Email công ty người nhận
- Tên người nhận
- Số điện thoại
- Địa chỉ giao hàng</t>
        </is>
      </c>
      <c r="J47" s="426" t="inlineStr">
        <is>
          <t>AI</t>
        </is>
      </c>
      <c r="K47" s="426" t="inlineStr">
        <is>
          <t>Pending</t>
        </is>
      </c>
      <c r="L47" s="426" t="inlineStr">
        <is>
          <t>No</t>
        </is>
      </c>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f>IF($A45="","",IF(OR($N45="Yes",$S45="Yes",$X45="Yes",$AC45="Yes",$AH45="Yes"),"Yes","No"))</f>
        <v/>
      </c>
      <c r="AN47" s="430">
        <f>IF($A45="","",IFERROR(IF($AI45&lt;&gt;"",$AI45,IF($AD45&lt;&gt;"",$AD45,IF($Y45&lt;&gt;"",$Y45,IF($T45&lt;&gt;"",$T45,IF($O45&lt;&gt;"",$O45,""))))),""))</f>
        <v/>
      </c>
      <c r="AO47" s="430">
        <f>IFERROR(IF($AJ45&lt;&gt;"",$AJ45,IF($AE45&lt;&gt;"",$AE45,IF($Z45&lt;&gt;"",$Z45,IF($U45&lt;&gt;"",$U45,IF($P45&lt;&gt;"",$P45,""))))),"")</f>
        <v/>
      </c>
      <c r="AP47" s="431" t="inlineStr">
        <is>
          <t>Field/column completeness check — auto-derived (xem generate.md Step 3b)</t>
        </is>
      </c>
    </row>
    <row r="48" ht="15.75" customHeight="1" s="225">
      <c r="A48" s="426">
        <f>IF(C48="","",$C$2&amp;"."&amp;COUNTA($C$8:C48)&amp;"")</f>
        <v/>
      </c>
      <c r="B48" s="426" t="inlineStr">
        <is>
          <t>REQ-ORD-008</t>
        </is>
      </c>
      <c r="C48" s="426" t="inlineStr">
        <is>
          <t>DOC-v1.0-01</t>
        </is>
      </c>
      <c r="D48" s="426" t="inlineStr">
        <is>
          <t>Functional</t>
        </is>
      </c>
      <c r="E48" s="426" t="inlineStr">
        <is>
          <t>Medium</t>
        </is>
      </c>
      <c r="F48" s="427" t="inlineStr">
        <is>
          <t>Check email công ty người nhận có trong hệ thống tự điền thông tin</t>
        </is>
      </c>
      <c r="G48" s="427" t="inlineStr">
        <is>
          <t>Đang ở Bước 2/3, khối Người nhận</t>
        </is>
      </c>
      <c r="H48" s="427" t="inlineStr">
        <is>
          <t>1. Nhập email 'nguyen.van.a@fpt.com.vn' (có trong danh bạ nội bộ)</t>
        </is>
      </c>
      <c r="I48" s="427" t="inlineStr">
        <is>
          <t>1. Tự điền Tên/SĐT/Địa chỉ tương ứng + hiển thị thông báo 'Đã tìm thấy trong hệ thống nội bộ'</t>
        </is>
      </c>
      <c r="J48" s="426" t="inlineStr">
        <is>
          <t>AI</t>
        </is>
      </c>
      <c r="K48" s="426" t="inlineStr">
        <is>
          <t>Pending</t>
        </is>
      </c>
      <c r="L48" s="426" t="inlineStr">
        <is>
          <t>No</t>
        </is>
      </c>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f>IF($A46="","",IF(OR($N46="Yes",$S46="Yes",$X46="Yes",$AC46="Yes",$AH46="Yes"),"Yes","No"))</f>
        <v/>
      </c>
      <c r="AN48" s="430">
        <f>IF($A46="","",IFERROR(IF($AI46&lt;&gt;"",$AI46,IF($AD46&lt;&gt;"",$AD46,IF($Y46&lt;&gt;"",$Y46,IF($T46&lt;&gt;"",$T46,IF($O46&lt;&gt;"",$O46,""))))),""))</f>
        <v/>
      </c>
      <c r="AO48" s="430">
        <f>IFERROR(IF($AJ46&lt;&gt;"",$AJ46,IF($AE46&lt;&gt;"",$AE46,IF($Z46&lt;&gt;"",$Z46,IF($U46&lt;&gt;"",$U46,IF($P46&lt;&gt;"",$P46,""))))),"")</f>
        <v/>
      </c>
      <c r="AP48" s="431" t="n"/>
    </row>
    <row r="49" ht="15.75" customHeight="1" s="225">
      <c r="A49" s="426">
        <f>IF(C49="","",$C$2&amp;"."&amp;COUNTA($C$8:C49)&amp;"")</f>
        <v/>
      </c>
      <c r="B49" s="426" t="inlineStr">
        <is>
          <t>REQ-ORD-008</t>
        </is>
      </c>
      <c r="C49" s="426" t="inlineStr">
        <is>
          <t>DOC-v1.0-01</t>
        </is>
      </c>
      <c r="D49" s="426" t="inlineStr">
        <is>
          <t>Functional</t>
        </is>
      </c>
      <c r="E49" s="426" t="inlineStr">
        <is>
          <t>Medium</t>
        </is>
      </c>
      <c r="F49" s="427" t="inlineStr">
        <is>
          <t>Check email công ty người nhận hợp lệ nhưng không có trong danh bạ</t>
        </is>
      </c>
      <c r="G49" s="427" t="inlineStr">
        <is>
          <t>Đang ở Bước 2/3, khối Người nhận</t>
        </is>
      </c>
      <c r="H49" s="427" t="inlineStr">
        <is>
          <t>1. Nhập email 'khong.ton.tai@fpt.com.vn' (đúng định dạng, không có trong danh bạ)</t>
        </is>
      </c>
      <c r="I49" s="427" t="inlineStr">
        <is>
          <t>1. Hiển thị thông báo 'Không tìm thấy · nhập thủ công', cho phép tự nhập Tên/SĐT/Địa chỉ</t>
        </is>
      </c>
      <c r="J49" s="426" t="inlineStr">
        <is>
          <t>AI</t>
        </is>
      </c>
      <c r="K49" s="426" t="inlineStr">
        <is>
          <t>Pending</t>
        </is>
      </c>
      <c r="L49" s="426" t="inlineStr">
        <is>
          <t>No</t>
        </is>
      </c>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f>IF($A47="","",IF(OR($N47="Yes",$S47="Yes",$X47="Yes",$AC47="Yes",$AH47="Yes"),"Yes","No"))</f>
        <v/>
      </c>
      <c r="AN49" s="430">
        <f>IF($A47="","",IFERROR(IF($AI47&lt;&gt;"",$AI47,IF($AD47&lt;&gt;"",$AD47,IF($Y47&lt;&gt;"",$Y47,IF($T47&lt;&gt;"",$T47,IF($O47&lt;&gt;"",$O47,""))))),""))</f>
        <v/>
      </c>
      <c r="AO49" s="430">
        <f>IFERROR(IF($AJ47&lt;&gt;"",$AJ47,IF($AE47&lt;&gt;"",$AE47,IF($Z47&lt;&gt;"",$Z47,IF($U47&lt;&gt;"",$U47,IF($P47&lt;&gt;"",$P47,""))))),"")</f>
        <v/>
      </c>
      <c r="AP49" s="431" t="n"/>
    </row>
    <row r="50" ht="15.75" customHeight="1" s="225">
      <c r="A50" s="426">
        <f>IF(C50="","",$C$2&amp;"."&amp;COUNTA($C$8:C50)&amp;"")</f>
        <v/>
      </c>
      <c r="B50" s="426" t="inlineStr">
        <is>
          <t>REQ-ORD-008, REQ-ORD-012</t>
        </is>
      </c>
      <c r="C50" s="426" t="inlineStr">
        <is>
          <t>DOC-v1.0-01 (BRD v3.2 §D8.1/D8.2)</t>
        </is>
      </c>
      <c r="D50" s="426" t="inlineStr">
        <is>
          <t>Functional</t>
        </is>
      </c>
      <c r="E50" s="426" t="inlineStr">
        <is>
          <t>Medium</t>
        </is>
      </c>
      <c r="F50" s="427" t="inlineStr">
        <is>
          <t>Check nhập Email công ty người nhận dạng null</t>
        </is>
      </c>
      <c r="G50" s="427" t="inlineStr">
        <is>
          <t>Đang ở Bước 2/3, khối Người nhận</t>
        </is>
      </c>
      <c r="H50" s="427" t="inlineStr">
        <is>
          <t>1. Nhập vào Email công ty người nhận: (để trống, không nhập gì)
2. Rời khỏi ô nhập (blur) hoặc bấm 'Tiếp theo'</t>
        </is>
      </c>
      <c r="I50" s="427" t="inlineStr">
        <is>
          <t>1. Ô nhập nhận đúng giá trị vừa nhập
2. Bị chặn/báo lỗi field bắt buộc, không cho qua Bước 3/3</t>
        </is>
      </c>
      <c r="J50" s="426" t="inlineStr">
        <is>
          <t>AI</t>
        </is>
      </c>
      <c r="K50" s="426" t="inlineStr">
        <is>
          <t>Pending</t>
        </is>
      </c>
      <c r="L50" s="426" t="inlineStr">
        <is>
          <t>No</t>
        </is>
      </c>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f>IF($A48="","",IF(OR($N48="Yes",$S48="Yes",$X48="Yes",$AC48="Yes",$AH48="Yes"),"Yes","No"))</f>
        <v/>
      </c>
      <c r="AN50" s="430">
        <f>IF($A48="","",IFERROR(IF($AI48&lt;&gt;"",$AI48,IF($AD48&lt;&gt;"",$AD48,IF($Y48&lt;&gt;"",$Y48,IF($T48&lt;&gt;"",$T48,IF($O48&lt;&gt;"",$O48,""))))),""))</f>
        <v/>
      </c>
      <c r="AO50" s="430">
        <f>IFERROR(IF($AJ48&lt;&gt;"",$AJ48,IF($AE48&lt;&gt;"",$AE48,IF($Z48&lt;&gt;"",$Z48,IF($U48&lt;&gt;"",$U48,IF($P48&lt;&gt;"",$P48,""))))),"")</f>
        <v/>
      </c>
      <c r="AP50" s="431" t="inlineStr">
        <is>
          <t>Technique: EG-null</t>
        </is>
      </c>
    </row>
    <row r="51" ht="15.75" customHeight="1" s="225">
      <c r="A51" s="426">
        <f>IF(C51="","",$C$2&amp;"."&amp;COUNTA($C$8:C51)&amp;"")</f>
        <v/>
      </c>
      <c r="B51" s="426" t="inlineStr">
        <is>
          <t>REQ-ORD-008, REQ-ORD-012</t>
        </is>
      </c>
      <c r="C51" s="426" t="inlineStr">
        <is>
          <t>DOC-v1.0-01 (BRD v3.2 §D8.1/D8.2)</t>
        </is>
      </c>
      <c r="D51" s="426" t="inlineStr">
        <is>
          <t>Functional</t>
        </is>
      </c>
      <c r="E51" s="426" t="inlineStr">
        <is>
          <t>Medium</t>
        </is>
      </c>
      <c r="F51" s="427" t="inlineStr">
        <is>
          <t>Check nhập Email công ty người nhận dạng empty</t>
        </is>
      </c>
      <c r="G51" s="427" t="inlineStr">
        <is>
          <t>Đang ở Bước 2/3, khối Người nhận</t>
        </is>
      </c>
      <c r="H51" s="427" t="inlineStr">
        <is>
          <t>1. Nhập vào Email công ty người nhận: ""
2. Rời khỏi ô nhập (blur) hoặc bấm 'Tiếp theo'</t>
        </is>
      </c>
      <c r="I51" s="427" t="inlineStr">
        <is>
          <t>1. Ô nhập nhận đúng giá trị vừa nhập
2. Bị chặn/báo lỗi field bắt buộc</t>
        </is>
      </c>
      <c r="J51" s="426" t="inlineStr">
        <is>
          <t>AI</t>
        </is>
      </c>
      <c r="K51" s="426" t="inlineStr">
        <is>
          <t>Pending</t>
        </is>
      </c>
      <c r="L51" s="426" t="inlineStr">
        <is>
          <t>No</t>
        </is>
      </c>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f>IF($A49="","",IF(OR($N49="Yes",$S49="Yes",$X49="Yes",$AC49="Yes",$AH49="Yes"),"Yes","No"))</f>
        <v/>
      </c>
      <c r="AN51" s="430">
        <f>IF($A49="","",IFERROR(IF($AI49&lt;&gt;"",$AI49,IF($AD49&lt;&gt;"",$AD49,IF($Y49&lt;&gt;"",$Y49,IF($T49&lt;&gt;"",$T49,IF($O49&lt;&gt;"",$O49,""))))),""))</f>
        <v/>
      </c>
      <c r="AO51" s="430">
        <f>IFERROR(IF($AJ49&lt;&gt;"",$AJ49,IF($AE49&lt;&gt;"",$AE49,IF($Z49&lt;&gt;"",$Z49,IF($U49&lt;&gt;"",$U49,IF($P49&lt;&gt;"",$P49,""))))),"")</f>
        <v/>
      </c>
      <c r="AP51" s="431" t="inlineStr">
        <is>
          <t>Technique: EG-empty</t>
        </is>
      </c>
    </row>
    <row r="52" ht="15.75" customHeight="1" s="225">
      <c r="A52" s="426">
        <f>IF(C52="","",$C$2&amp;"."&amp;COUNTA($C$8:C52)&amp;"")</f>
        <v/>
      </c>
      <c r="B52" s="426" t="inlineStr">
        <is>
          <t>REQ-ORD-008, REQ-ORD-012</t>
        </is>
      </c>
      <c r="C52" s="426" t="inlineStr">
        <is>
          <t>DOC-v1.0-01 (BRD v3.2 §D8.1/D8.2)</t>
        </is>
      </c>
      <c r="D52" s="426" t="inlineStr">
        <is>
          <t>Functional</t>
        </is>
      </c>
      <c r="E52" s="426" t="inlineStr">
        <is>
          <t>Medium</t>
        </is>
      </c>
      <c r="F52" s="427" t="inlineStr">
        <is>
          <t>Check nhập Email công ty người nhận dạng whitespace</t>
        </is>
      </c>
      <c r="G52" s="427" t="inlineStr">
        <is>
          <t>Đang ở Bước 2/3, khối Người nhận</t>
        </is>
      </c>
      <c r="H52" s="427" t="inlineStr">
        <is>
          <t>1. Nhập vào Email công ty người nhận: "   " (chỉ khoảng trắng)
2. Rời khỏi ô nhập (blur) hoặc bấm 'Tiếp theo'</t>
        </is>
      </c>
      <c r="I52" s="427" t="inlineStr">
        <is>
          <t>1. Ô nhập nhận đúng giá trị vừa nhập
2. Bị chặn/báo lỗi định dạng email không hợp lệ</t>
        </is>
      </c>
      <c r="J52" s="426" t="inlineStr">
        <is>
          <t>AI</t>
        </is>
      </c>
      <c r="K52" s="426" t="inlineStr">
        <is>
          <t>Pending</t>
        </is>
      </c>
      <c r="L52" s="426" t="inlineStr">
        <is>
          <t>No</t>
        </is>
      </c>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f>IF($A50="","",IF(OR($N50="Yes",$S50="Yes",$X50="Yes",$AC50="Yes",$AH50="Yes"),"Yes","No"))</f>
        <v/>
      </c>
      <c r="AN52" s="430">
        <f>IF($A50="","",IFERROR(IF($AI50&lt;&gt;"",$AI50,IF($AD50&lt;&gt;"",$AD50,IF($Y50&lt;&gt;"",$Y50,IF($T50&lt;&gt;"",$T50,IF($O50&lt;&gt;"",$O50,""))))),""))</f>
        <v/>
      </c>
      <c r="AO52" s="430">
        <f>IFERROR(IF($AJ50&lt;&gt;"",$AJ50,IF($AE50&lt;&gt;"",$AE50,IF($Z50&lt;&gt;"",$Z50,IF($U50&lt;&gt;"",$U50,IF($P50&lt;&gt;"",$P50,""))))),"")</f>
        <v/>
      </c>
      <c r="AP52" s="431" t="inlineStr">
        <is>
          <t>Technique: EG-whitespace</t>
        </is>
      </c>
    </row>
    <row r="53" ht="15.75" customHeight="1" s="225">
      <c r="A53" s="426">
        <f>IF(C53="","",$C$2&amp;"."&amp;COUNTA($C$8:C53)&amp;"")</f>
        <v/>
      </c>
      <c r="B53" s="426" t="inlineStr">
        <is>
          <t>REQ-ORD-008, REQ-ORD-012</t>
        </is>
      </c>
      <c r="C53" s="426" t="inlineStr">
        <is>
          <t>DOC-v1.0-01 (BRD v3.2 §D8.1/D8.2)</t>
        </is>
      </c>
      <c r="D53" s="426" t="inlineStr">
        <is>
          <t>Functional</t>
        </is>
      </c>
      <c r="E53" s="426" t="inlineStr">
        <is>
          <t>Medium</t>
        </is>
      </c>
      <c r="F53" s="427" t="inlineStr">
        <is>
          <t>Check nhập Email công ty người nhận dạng trim</t>
        </is>
      </c>
      <c r="G53" s="427" t="inlineStr">
        <is>
          <t>Đang ở Bước 2/3, khối Người nhận</t>
        </is>
      </c>
      <c r="H53" s="427" t="inlineStr">
        <is>
          <t>1. Nhập vào Email công ty người nhận: " nguyen.van.a@fpt.com.vn " (có khoảng trắng đầu/cuối)
2. Rời khỏi ô nhập (blur) hoặc bấm 'Tiếp theo'</t>
        </is>
      </c>
      <c r="I53" s="427" t="inlineStr">
        <is>
          <t>1. Ô nhập nhận đúng giá trị vừa nhập
2. Tự động trim khoảng trắng, xử lý như email hợp lệ (VAL-03)</t>
        </is>
      </c>
      <c r="J53" s="426" t="inlineStr">
        <is>
          <t>AI</t>
        </is>
      </c>
      <c r="K53" s="426" t="inlineStr">
        <is>
          <t>Pending</t>
        </is>
      </c>
      <c r="L53" s="426" t="inlineStr">
        <is>
          <t>No</t>
        </is>
      </c>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f>IF($A51="","",IF(OR($N51="Yes",$S51="Yes",$X51="Yes",$AC51="Yes",$AH51="Yes"),"Yes","No"))</f>
        <v/>
      </c>
      <c r="AN53" s="430">
        <f>IF($A51="","",IFERROR(IF($AI51&lt;&gt;"",$AI51,IF($AD51&lt;&gt;"",$AD51,IF($Y51&lt;&gt;"",$Y51,IF($T51&lt;&gt;"",$T51,IF($O51&lt;&gt;"",$O51,""))))),""))</f>
        <v/>
      </c>
      <c r="AO53" s="430">
        <f>IFERROR(IF($AJ51&lt;&gt;"",$AJ51,IF($AE51&lt;&gt;"",$AE51,IF($Z51&lt;&gt;"",$Z51,IF($U51&lt;&gt;"",$U51,IF($P51&lt;&gt;"",$P51,""))))),"")</f>
        <v/>
      </c>
      <c r="AP53" s="431" t="inlineStr">
        <is>
          <t>Technique: EG-trim</t>
        </is>
      </c>
    </row>
    <row r="54" ht="15.75" customHeight="1" s="225">
      <c r="A54" s="426">
        <f>IF(C54="","",$C$2&amp;"."&amp;COUNTA($C$8:C54)&amp;"")</f>
        <v/>
      </c>
      <c r="B54" s="426" t="inlineStr">
        <is>
          <t>REQ-ORD-008, REQ-ORD-012</t>
        </is>
      </c>
      <c r="C54" s="426" t="inlineStr">
        <is>
          <t>DOC-v1.0-01 (BRD v3.2 §D8.1/D8.2)</t>
        </is>
      </c>
      <c r="D54" s="426" t="inlineStr">
        <is>
          <t>Functional</t>
        </is>
      </c>
      <c r="E54" s="426" t="inlineStr">
        <is>
          <t>Medium</t>
        </is>
      </c>
      <c r="F54" s="427" t="inlineStr">
        <is>
          <t>Check nhập Email công ty người nhận dạng unicode</t>
        </is>
      </c>
      <c r="G54" s="427" t="inlineStr">
        <is>
          <t>Đang ở Bước 2/3, khối Người nhận</t>
        </is>
      </c>
      <c r="H54" s="427" t="inlineStr">
        <is>
          <t>1. Nhập vào Email công ty người nhận: "nguyễn.a@fpt.com.vn" (ký tự có dấu)
2. Rời khỏi ô nhập (blur) hoặc bấm 'Tiếp theo'</t>
        </is>
      </c>
      <c r="I54" s="427" t="inlineStr">
        <is>
          <t>1. Ô nhập nhận đúng giá trị vừa nhập
2. Bị chặn/báo lỗi định dạng email không hợp lệ (email chuẩn không chấp nhận ký tự có dấu)</t>
        </is>
      </c>
      <c r="J54" s="426" t="inlineStr">
        <is>
          <t>AI</t>
        </is>
      </c>
      <c r="K54" s="426" t="inlineStr">
        <is>
          <t>Pending</t>
        </is>
      </c>
      <c r="L54" s="426" t="inlineStr">
        <is>
          <t>No</t>
        </is>
      </c>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f>IF($A52="","",IF(OR($N52="Yes",$S52="Yes",$X52="Yes",$AC52="Yes",$AH52="Yes"),"Yes","No"))</f>
        <v/>
      </c>
      <c r="AN54" s="430">
        <f>IF($A52="","",IFERROR(IF($AI52&lt;&gt;"",$AI52,IF($AD52&lt;&gt;"",$AD52,IF($Y52&lt;&gt;"",$Y52,IF($T52&lt;&gt;"",$T52,IF($O52&lt;&gt;"",$O52,""))))),""))</f>
        <v/>
      </c>
      <c r="AO54" s="430">
        <f>IFERROR(IF($AJ52&lt;&gt;"",$AJ52,IF($AE52&lt;&gt;"",$AE52,IF($Z52&lt;&gt;"",$Z52,IF($U52&lt;&gt;"",$U52,IF($P52&lt;&gt;"",$P52,""))))),"")</f>
        <v/>
      </c>
      <c r="AP54" s="431" t="inlineStr">
        <is>
          <t>Technique: EG-unicode</t>
        </is>
      </c>
    </row>
    <row r="55" ht="15.75" customHeight="1" s="225">
      <c r="A55" s="426">
        <f>IF(C55="","",$C$2&amp;"."&amp;COUNTA($C$8:C55)&amp;"")</f>
        <v/>
      </c>
      <c r="B55" s="426" t="inlineStr">
        <is>
          <t>REQ-ORD-008, REQ-ORD-012</t>
        </is>
      </c>
      <c r="C55" s="426" t="inlineStr">
        <is>
          <t>DOC-v1.0-01 (BRD v3.2 §D8.1/D8.2)</t>
        </is>
      </c>
      <c r="D55" s="426" t="inlineStr">
        <is>
          <t>Functional</t>
        </is>
      </c>
      <c r="E55" s="426" t="inlineStr">
        <is>
          <t>Medium</t>
        </is>
      </c>
      <c r="F55" s="427" t="inlineStr">
        <is>
          <t>Check nhập Email công ty người nhận dạng long</t>
        </is>
      </c>
      <c r="G55" s="427" t="inlineStr">
        <is>
          <t>Đang ở Bước 2/3, khối Người nhận</t>
        </is>
      </c>
      <c r="H55" s="427" t="inlineStr">
        <is>
          <t>1. Nhập vào Email công ty người nhận: chuỗi email giả lập 10.000 ký tự
2. Rời khỏi ô nhập (blur) hoặc bấm 'Tiếp theo'</t>
        </is>
      </c>
      <c r="I55" s="427" t="inlineStr">
        <is>
          <t>1. Ô nhập nhận đúng giá trị vừa nhập
2. Bị chặn/báo lỗi vượt quá độ dài cho phép</t>
        </is>
      </c>
      <c r="J55" s="426" t="inlineStr">
        <is>
          <t>AI</t>
        </is>
      </c>
      <c r="K55" s="426" t="inlineStr">
        <is>
          <t>Pending</t>
        </is>
      </c>
      <c r="L55" s="426" t="inlineStr">
        <is>
          <t>No</t>
        </is>
      </c>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f>IF($A53="","",IF(OR($N53="Yes",$S53="Yes",$X53="Yes",$AC53="Yes",$AH53="Yes"),"Yes","No"))</f>
        <v/>
      </c>
      <c r="AN55" s="430">
        <f>IF($A53="","",IFERROR(IF($AI53&lt;&gt;"",$AI53,IF($AD53&lt;&gt;"",$AD53,IF($Y53&lt;&gt;"",$Y53,IF($T53&lt;&gt;"",$T53,IF($O53&lt;&gt;"",$O53,""))))),""))</f>
        <v/>
      </c>
      <c r="AO55" s="430">
        <f>IFERROR(IF($AJ53&lt;&gt;"",$AJ53,IF($AE53&lt;&gt;"",$AE53,IF($Z53&lt;&gt;"",$Z53,IF($U53&lt;&gt;"",$U53,IF($P53&lt;&gt;"",$P53,""))))),"")</f>
        <v/>
      </c>
      <c r="AP55" s="431" t="inlineStr">
        <is>
          <t>Technique: EG-long</t>
        </is>
      </c>
    </row>
    <row r="56" ht="15.75" customHeight="1" s="225">
      <c r="A56" s="426">
        <f>IF(C56="","",$C$2&amp;"."&amp;COUNTA($C$8:C56)&amp;"")</f>
        <v/>
      </c>
      <c r="B56" s="426" t="inlineStr">
        <is>
          <t>REQ-ORD-008, REQ-ORD-012</t>
        </is>
      </c>
      <c r="C56" s="426" t="inlineStr">
        <is>
          <t>DOC-v1.0-01 (BRD v3.2 §D8.1/D8.2)</t>
        </is>
      </c>
      <c r="D56" s="426" t="inlineStr">
        <is>
          <t>Functional</t>
        </is>
      </c>
      <c r="E56" s="426" t="inlineStr">
        <is>
          <t>Medium</t>
        </is>
      </c>
      <c r="F56" s="427" t="inlineStr">
        <is>
          <t>Check nhập Email công ty người nhận dạng sql</t>
        </is>
      </c>
      <c r="G56" s="427" t="inlineStr">
        <is>
          <t>Đang ở Bước 2/3, khối Người nhận</t>
        </is>
      </c>
      <c r="H56" s="427" t="inlineStr">
        <is>
          <t>1. Nhập vào Email công ty người nhận: "a@fpt.com.vn' OR 1=1 --"
2. Rời khỏi ô nhập (blur) hoặc bấm 'Tiếp theo'</t>
        </is>
      </c>
      <c r="I56" s="427" t="inlineStr">
        <is>
          <t>1. Ô nhập nhận đúng giá trị vừa nhập
2. Bị chặn/báo lỗi định dạng email không hợp lệ, không có injection xảy ra</t>
        </is>
      </c>
      <c r="J56" s="426" t="inlineStr">
        <is>
          <t>AI</t>
        </is>
      </c>
      <c r="K56" s="426" t="inlineStr">
        <is>
          <t>Pending</t>
        </is>
      </c>
      <c r="L56" s="426" t="inlineStr">
        <is>
          <t>No</t>
        </is>
      </c>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f>IF($A54="","",IF(OR($N54="Yes",$S54="Yes",$X54="Yes",$AC54="Yes",$AH54="Yes"),"Yes","No"))</f>
        <v/>
      </c>
      <c r="AN56" s="430">
        <f>IF($A54="","",IFERROR(IF($AI54&lt;&gt;"",$AI54,IF($AD54&lt;&gt;"",$AD54,IF($Y54&lt;&gt;"",$Y54,IF($T54&lt;&gt;"",$T54,IF($O54&lt;&gt;"",$O54,""))))),""))</f>
        <v/>
      </c>
      <c r="AO56" s="430">
        <f>IFERROR(IF($AJ54&lt;&gt;"",$AJ54,IF($AE54&lt;&gt;"",$AE54,IF($Z54&lt;&gt;"",$Z54,IF($U54&lt;&gt;"",$U54,IF($P54&lt;&gt;"",$P54,""))))),"")</f>
        <v/>
      </c>
      <c r="AP56" s="431" t="inlineStr">
        <is>
          <t>Technique: EG-sql</t>
        </is>
      </c>
    </row>
    <row r="57" ht="15.75" customHeight="1" s="225">
      <c r="A57" s="426">
        <f>IF(C57="","",$C$2&amp;"."&amp;COUNTA($C$8:C57)&amp;"")</f>
        <v/>
      </c>
      <c r="B57" s="426" t="inlineStr">
        <is>
          <t>REQ-ORD-008, REQ-ORD-012</t>
        </is>
      </c>
      <c r="C57" s="426" t="inlineStr">
        <is>
          <t>DOC-v1.0-01 (BRD v3.2 §D8.1/D8.2)</t>
        </is>
      </c>
      <c r="D57" s="426" t="inlineStr">
        <is>
          <t>Functional</t>
        </is>
      </c>
      <c r="E57" s="426" t="inlineStr">
        <is>
          <t>Medium</t>
        </is>
      </c>
      <c r="F57" s="427" t="inlineStr">
        <is>
          <t>Check nhập Email công ty người nhận dạng xss</t>
        </is>
      </c>
      <c r="G57" s="427" t="inlineStr">
        <is>
          <t>Đang ở Bước 2/3, khối Người nhận</t>
        </is>
      </c>
      <c r="H57" s="427" t="inlineStr">
        <is>
          <t>1. Nhập vào Email công ty người nhận: "&lt;script&gt;alert(1)&lt;/script&gt;@fpt.com.vn"
2. Rời khỏi ô nhập (blur) hoặc bấm 'Tiếp theo'</t>
        </is>
      </c>
      <c r="I57" s="427" t="inlineStr">
        <is>
          <t>1. Ô nhập nhận đúng giá trị vừa nhập
2. Bị chặn/báo lỗi định dạng email không hợp lệ, không thực thi script</t>
        </is>
      </c>
      <c r="J57" s="426" t="inlineStr">
        <is>
          <t>AI</t>
        </is>
      </c>
      <c r="K57" s="426" t="inlineStr">
        <is>
          <t>Pending</t>
        </is>
      </c>
      <c r="L57" s="426" t="inlineStr">
        <is>
          <t>No</t>
        </is>
      </c>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f>IF($A55="","",IF(OR($N55="Yes",$S55="Yes",$X55="Yes",$AC55="Yes",$AH55="Yes"),"Yes","No"))</f>
        <v/>
      </c>
      <c r="AN57" s="430">
        <f>IF($A55="","",IFERROR(IF($AI55&lt;&gt;"",$AI55,IF($AD55&lt;&gt;"",$AD55,IF($Y55&lt;&gt;"",$Y55,IF($T55&lt;&gt;"",$T55,IF($O55&lt;&gt;"",$O55,""))))),""))</f>
        <v/>
      </c>
      <c r="AO57" s="430">
        <f>IFERROR(IF($AJ55&lt;&gt;"",$AJ55,IF($AE55&lt;&gt;"",$AE55,IF($Z55&lt;&gt;"",$Z55,IF($U55&lt;&gt;"",$U55,IF($P55&lt;&gt;"",$P55,""))))),"")</f>
        <v/>
      </c>
      <c r="AP57" s="431" t="inlineStr">
        <is>
          <t>Technique: EG-xss</t>
        </is>
      </c>
    </row>
    <row r="58" ht="15.75" customHeight="1" s="225">
      <c r="A58" s="426">
        <f>IF(C58="","",$C$2&amp;"."&amp;COUNTA($C$8:C58)&amp;"")</f>
        <v/>
      </c>
      <c r="B58" s="426" t="inlineStr">
        <is>
          <t>REQ-ORD-008, REQ-ORD-012</t>
        </is>
      </c>
      <c r="C58" s="426" t="inlineStr">
        <is>
          <t>DOC-v1.0-01 (BRD v3.2 §D8.1/D8.2)</t>
        </is>
      </c>
      <c r="D58" s="426" t="inlineStr">
        <is>
          <t>Functional</t>
        </is>
      </c>
      <c r="E58" s="426" t="inlineStr">
        <is>
          <t>Medium</t>
        </is>
      </c>
      <c r="F58" s="427" t="inlineStr">
        <is>
          <t>Check nhập Email công ty người nhận dạng control</t>
        </is>
      </c>
      <c r="G58" s="427" t="inlineStr">
        <is>
          <t>Đang ở Bước 2/3, khối Người nhận</t>
        </is>
      </c>
      <c r="H58" s="427" t="inlineStr">
        <is>
          <t>1. Nhập vào Email công ty người nhận: "a@fpt.com.vn\n" (kèm ký tự xuống dòng)
2. Rời khỏi ô nhập (blur) hoặc bấm 'Tiếp theo'</t>
        </is>
      </c>
      <c r="I58" s="427" t="inlineStr">
        <is>
          <t>1. Ô nhập nhận đúng giá trị vừa nhập
2. Bị chặn/báo lỗi định dạng email không hợp lệ</t>
        </is>
      </c>
      <c r="J58" s="426" t="inlineStr">
        <is>
          <t>AI</t>
        </is>
      </c>
      <c r="K58" s="426" t="inlineStr">
        <is>
          <t>Pending</t>
        </is>
      </c>
      <c r="L58" s="426" t="inlineStr">
        <is>
          <t>No</t>
        </is>
      </c>
      <c r="M58" s="426" t="n"/>
      <c r="N58" s="428" t="n"/>
      <c r="O58" s="428" t="n"/>
      <c r="P58" s="428" t="n"/>
      <c r="Q58" s="428" t="n"/>
      <c r="R58" s="428" t="n"/>
      <c r="S58" s="428" t="n"/>
      <c r="T58" s="428" t="n"/>
      <c r="U58" s="428" t="n"/>
      <c r="V58" s="428" t="n"/>
      <c r="W58" s="428" t="n"/>
      <c r="X58" s="428" t="n"/>
      <c r="Y58" s="428" t="n"/>
      <c r="Z58" s="428" t="n"/>
      <c r="AA58" s="428" t="n"/>
      <c r="AB58" s="429" t="n"/>
      <c r="AC58" s="429" t="n"/>
      <c r="AD58" s="429" t="n"/>
      <c r="AE58" s="429" t="n"/>
      <c r="AF58" s="429" t="n"/>
      <c r="AG58" s="429" t="n"/>
      <c r="AH58" s="429" t="n"/>
      <c r="AI58" s="429" t="n"/>
      <c r="AJ58" s="429" t="n"/>
      <c r="AK58" s="429" t="n"/>
      <c r="AL58" s="429" t="n"/>
      <c r="AM58" s="430">
        <f>IF($A56="","",IF(OR($N56="Yes",$S56="Yes",$X56="Yes",$AC56="Yes",$AH56="Yes"),"Yes","No"))</f>
        <v/>
      </c>
      <c r="AN58" s="430">
        <f>IF($A56="","",IFERROR(IF($AI56&lt;&gt;"",$AI56,IF($AD56&lt;&gt;"",$AD56,IF($Y56&lt;&gt;"",$Y56,IF($T56&lt;&gt;"",$T56,IF($O56&lt;&gt;"",$O56,""))))),""))</f>
        <v/>
      </c>
      <c r="AO58" s="430">
        <f>IFERROR(IF($AJ56&lt;&gt;"",$AJ56,IF($AE56&lt;&gt;"",$AE56,IF($Z56&lt;&gt;"",$Z56,IF($U56&lt;&gt;"",$U56,IF($P56&lt;&gt;"",$P56,""))))),"")</f>
        <v/>
      </c>
      <c r="AP58" s="431" t="inlineStr">
        <is>
          <t>Technique: EG-control</t>
        </is>
      </c>
    </row>
    <row r="59" ht="15.75" customHeight="1" s="225">
      <c r="A59" s="426">
        <f>IF(C59="","",$C$2&amp;"."&amp;COUNTA($C$8:C59)&amp;"")</f>
        <v/>
      </c>
      <c r="B59" s="426" t="inlineStr">
        <is>
          <t>REQ-ORD-008, REQ-ORD-012</t>
        </is>
      </c>
      <c r="C59" s="426" t="inlineStr">
        <is>
          <t>DOC-v1.0-01 (BRD v3.2 §D8.1/D8.2)</t>
        </is>
      </c>
      <c r="D59" s="426" t="inlineStr">
        <is>
          <t>Functional</t>
        </is>
      </c>
      <c r="E59" s="426" t="inlineStr">
        <is>
          <t>Medium</t>
        </is>
      </c>
      <c r="F59" s="427" t="inlineStr">
        <is>
          <t>Check nhập Email công ty người nhận dạng binary</t>
        </is>
      </c>
      <c r="G59" s="427" t="inlineStr">
        <is>
          <t>Đang ở Bước 2/3, khối Người nhận</t>
        </is>
      </c>
      <c r="H59" s="427" t="inlineStr">
        <is>
          <t>1. Nhập vào Email công ty người nhận: dán nội dung file nhị phân vào ô nhập
2. Rời khỏi ô nhập (blur) hoặc bấm 'Tiếp theo'</t>
        </is>
      </c>
      <c r="I59" s="427" t="inlineStr">
        <is>
          <t>1. Ô nhập nhận đúng giá trị vừa nhập
2. Bị chặn/báo lỗi định dạng email không hợp lệ, không gây lỗi hệ thống</t>
        </is>
      </c>
      <c r="J59" s="426" t="inlineStr">
        <is>
          <t>AI</t>
        </is>
      </c>
      <c r="K59" s="426" t="inlineStr">
        <is>
          <t>Pending</t>
        </is>
      </c>
      <c r="L59" s="426" t="inlineStr">
        <is>
          <t>No</t>
        </is>
      </c>
      <c r="M59" s="426" t="n"/>
      <c r="N59" s="428" t="n"/>
      <c r="O59" s="428" t="n"/>
      <c r="P59" s="428" t="n"/>
      <c r="Q59" s="428" t="n"/>
      <c r="R59" s="428" t="n"/>
      <c r="S59" s="428" t="n"/>
      <c r="T59" s="428" t="n"/>
      <c r="U59" s="428" t="n"/>
      <c r="V59" s="428" t="n"/>
      <c r="W59" s="428" t="n"/>
      <c r="X59" s="428" t="n"/>
      <c r="Y59" s="428" t="n"/>
      <c r="Z59" s="428" t="n"/>
      <c r="AA59" s="428" t="n"/>
      <c r="AB59" s="429" t="n"/>
      <c r="AC59" s="429" t="n"/>
      <c r="AD59" s="429" t="n"/>
      <c r="AE59" s="429" t="n"/>
      <c r="AF59" s="429" t="n"/>
      <c r="AG59" s="429" t="n"/>
      <c r="AH59" s="429" t="n"/>
      <c r="AI59" s="429" t="n"/>
      <c r="AJ59" s="429" t="n"/>
      <c r="AK59" s="429" t="n"/>
      <c r="AL59" s="429" t="n"/>
      <c r="AM59" s="430">
        <f>IF($A57="","",IF(OR($N57="Yes",$S57="Yes",$X57="Yes",$AC57="Yes",$AH57="Yes"),"Yes","No"))</f>
        <v/>
      </c>
      <c r="AN59" s="430">
        <f>IF($A57="","",IFERROR(IF($AI57&lt;&gt;"",$AI57,IF($AD57&lt;&gt;"",$AD57,IF($Y57&lt;&gt;"",$Y57,IF($T57&lt;&gt;"",$T57,IF($O57&lt;&gt;"",$O57,""))))),""))</f>
        <v/>
      </c>
      <c r="AO59" s="430">
        <f>IFERROR(IF($AJ57&lt;&gt;"",$AJ57,IF($AE57&lt;&gt;"",$AE57,IF($Z57&lt;&gt;"",$Z57,IF($U57&lt;&gt;"",$U57,IF($P57&lt;&gt;"",$P57,""))))),"")</f>
        <v/>
      </c>
      <c r="AP59" s="431" t="inlineStr">
        <is>
          <t>Technique: EG-binary</t>
        </is>
      </c>
    </row>
    <row r="60" ht="15.75" customHeight="1" s="225">
      <c r="A60" s="426">
        <f>IF(C60="","",$C$2&amp;"."&amp;COUNTA($C$8:C60)&amp;"")</f>
        <v/>
      </c>
      <c r="B60" s="426" t="inlineStr">
        <is>
          <t>REQ-ORD-002</t>
        </is>
      </c>
      <c r="C60" s="426" t="inlineStr">
        <is>
          <t>DOC-v1.0-02</t>
        </is>
      </c>
      <c r="D60" s="426" t="inlineStr">
        <is>
          <t>Functional</t>
        </is>
      </c>
      <c r="E60" s="426" t="inlineStr">
        <is>
          <t>Medium</t>
        </is>
      </c>
      <c r="F60" s="427" t="inlineStr">
        <is>
          <t>Check bỏ trống toàn bộ Người nhận vẫn bấm 'Tiếp theo' bị chặn</t>
        </is>
      </c>
      <c r="G60" s="427" t="inlineStr">
        <is>
          <t>Đang ở Bước 2/3, khối Người nhận để trống hoàn toàn (Email/Tên/SĐT/Địa chỉ)</t>
        </is>
      </c>
      <c r="H60" s="427" t="inlineStr">
        <is>
          <t>1. Không nhập gì vào khối Người nhận
2. Bấm 'Tiếp theo'</t>
        </is>
      </c>
      <c r="I60" s="427" t="inlineStr">
        <is>
          <t>1. Toàn bộ field khối Người nhận vẫn trống
2. Bị chặn/báo lỗi, không cho qua Bước 3/3</t>
        </is>
      </c>
      <c r="J60" s="426" t="inlineStr">
        <is>
          <t>AI</t>
        </is>
      </c>
      <c r="K60" s="426" t="inlineStr">
        <is>
          <t>Pending</t>
        </is>
      </c>
      <c r="L60" s="426" t="inlineStr">
        <is>
          <t>No</t>
        </is>
      </c>
      <c r="M60" s="426" t="n"/>
      <c r="N60" s="428" t="n"/>
      <c r="O60" s="428" t="n"/>
      <c r="P60" s="428" t="n"/>
      <c r="Q60" s="428" t="n"/>
      <c r="R60" s="428" t="n"/>
      <c r="S60" s="428" t="n"/>
      <c r="T60" s="428" t="n"/>
      <c r="U60" s="428" t="n"/>
      <c r="V60" s="428" t="n"/>
      <c r="W60" s="428" t="n"/>
      <c r="X60" s="428" t="n"/>
      <c r="Y60" s="428" t="n"/>
      <c r="Z60" s="428" t="n"/>
      <c r="AA60" s="428" t="n"/>
      <c r="AB60" s="429" t="n"/>
      <c r="AC60" s="429" t="n"/>
      <c r="AD60" s="429" t="n"/>
      <c r="AE60" s="429" t="n"/>
      <c r="AF60" s="429" t="n"/>
      <c r="AG60" s="429" t="n"/>
      <c r="AH60" s="429" t="n"/>
      <c r="AI60" s="429" t="n"/>
      <c r="AJ60" s="429" t="n"/>
      <c r="AK60" s="429" t="n"/>
      <c r="AL60" s="429" t="n"/>
      <c r="AM60" s="430">
        <f>IF($A58="","",IF(OR($N58="Yes",$S58="Yes",$X58="Yes",$AC58="Yes",$AH58="Yes"),"Yes","No"))</f>
        <v/>
      </c>
      <c r="AN60" s="430">
        <f>IF($A58="","",IFERROR(IF($AI58&lt;&gt;"",$AI58,IF($AD58&lt;&gt;"",$AD58,IF($Y58&lt;&gt;"",$Y58,IF($T58&lt;&gt;"",$T58,IF($O58&lt;&gt;"",$O58,""))))),""))</f>
        <v/>
      </c>
      <c r="AO60" s="430">
        <f>IFERROR(IF($AJ58&lt;&gt;"",$AJ58,IF($AE58&lt;&gt;"",$AE58,IF($Z58&lt;&gt;"",$Z58,IF($U58&lt;&gt;"",$U58,IF($P58&lt;&gt;"",$P58,""))))),"")</f>
        <v/>
      </c>
      <c r="AP60" s="431" t="inlineStr">
        <is>
          <t>Technique: EP-invalid-empty-NguoiNhan (C-ORD-01 Resolved)</t>
        </is>
      </c>
    </row>
    <row r="61" ht="15.75" customHeight="1" s="225">
      <c r="A61" s="426">
        <f>IF(C61="","",$C$2&amp;"."&amp;COUNTA($C$8:C61)&amp;"")</f>
        <v/>
      </c>
      <c r="B61" s="426" t="inlineStr">
        <is>
          <t>REQ-ORD-012</t>
        </is>
      </c>
      <c r="C61" s="426" t="inlineStr">
        <is>
          <t>DOC-v1.0-01 (BRD v3.2 §D8.1/D8.2)</t>
        </is>
      </c>
      <c r="D61" s="426" t="inlineStr">
        <is>
          <t>Functional</t>
        </is>
      </c>
      <c r="E61" s="426" t="inlineStr">
        <is>
          <t>Low</t>
        </is>
      </c>
      <c r="F61" s="427" t="inlineStr">
        <is>
          <t>Check Tên người nhận tại biên min-1 (1 ký tự (vd "A"))</t>
        </is>
      </c>
      <c r="G61" s="427" t="inlineStr">
        <is>
          <t>Đang ở Bước 2/3, khối Người nhận</t>
        </is>
      </c>
      <c r="H61" s="427" t="inlineStr">
        <is>
          <t>1. Nhập vào Tên người nhận: 1 ký tự (vd "A")
2. Rời ô nhập (blur)</t>
        </is>
      </c>
      <c r="I61" s="427" t="inlineStr">
        <is>
          <t>1. Ô nhập nhận đúng giá trị vừa nhập
2. Bị chặn/báo lỗi độ dài tên không hợp lệ</t>
        </is>
      </c>
      <c r="J61" s="426" t="inlineStr">
        <is>
          <t>AI</t>
        </is>
      </c>
      <c r="K61" s="426" t="inlineStr">
        <is>
          <t>Pending</t>
        </is>
      </c>
      <c r="L61" s="426" t="inlineStr">
        <is>
          <t>No</t>
        </is>
      </c>
      <c r="M61" s="426" t="n"/>
      <c r="N61" s="428" t="n"/>
      <c r="O61" s="428" t="n"/>
      <c r="P61" s="428" t="n"/>
      <c r="Q61" s="428" t="n"/>
      <c r="R61" s="428" t="n"/>
      <c r="S61" s="428" t="n"/>
      <c r="T61" s="428" t="n"/>
      <c r="U61" s="428" t="n"/>
      <c r="V61" s="428" t="n"/>
      <c r="W61" s="428" t="n"/>
      <c r="X61" s="428" t="n"/>
      <c r="Y61" s="428" t="n"/>
      <c r="Z61" s="428" t="n"/>
      <c r="AA61" s="428" t="n"/>
      <c r="AB61" s="429" t="n"/>
      <c r="AC61" s="429" t="n"/>
      <c r="AD61" s="429" t="n"/>
      <c r="AE61" s="429" t="n"/>
      <c r="AF61" s="429" t="n"/>
      <c r="AG61" s="429" t="n"/>
      <c r="AH61" s="429" t="n"/>
      <c r="AI61" s="429" t="n"/>
      <c r="AJ61" s="429" t="n"/>
      <c r="AK61" s="429" t="n"/>
      <c r="AL61" s="429" t="n"/>
      <c r="AM61" s="430">
        <f>IF($A59="","",IF(OR($N59="Yes",$S59="Yes",$X59="Yes",$AC59="Yes",$AH59="Yes"),"Yes","No"))</f>
        <v/>
      </c>
      <c r="AN61" s="430">
        <f>IF($A59="","",IFERROR(IF($AI59&lt;&gt;"",$AI59,IF($AD59&lt;&gt;"",$AD59,IF($Y59&lt;&gt;"",$Y59,IF($T59&lt;&gt;"",$T59,IF($O59&lt;&gt;"",$O59,""))))),""))</f>
        <v/>
      </c>
      <c r="AO61" s="430">
        <f>IFERROR(IF($AJ59&lt;&gt;"",$AJ59,IF($AE59&lt;&gt;"",$AE59,IF($Z59&lt;&gt;"",$Z59,IF($U59&lt;&gt;"",$U59,IF($P59&lt;&gt;"",$P59,""))))),"")</f>
        <v/>
      </c>
      <c r="AP61" s="431" t="inlineStr">
        <is>
          <t>Technique: BVA-min-1 (TenNguoiNhan)</t>
        </is>
      </c>
    </row>
    <row r="62" ht="15.75" customHeight="1" s="225">
      <c r="A62" s="426">
        <f>IF(C62="","",$C$2&amp;"."&amp;COUNTA($C$8:C62)&amp;"")</f>
        <v/>
      </c>
      <c r="B62" s="426" t="inlineStr">
        <is>
          <t>REQ-ORD-012</t>
        </is>
      </c>
      <c r="C62" s="426" t="inlineStr">
        <is>
          <t>DOC-v1.0-01 (BRD v3.2 §D8.1/D8.2)</t>
        </is>
      </c>
      <c r="D62" s="426" t="inlineStr">
        <is>
          <t>Functional</t>
        </is>
      </c>
      <c r="E62" s="426" t="inlineStr">
        <is>
          <t>Low</t>
        </is>
      </c>
      <c r="F62" s="427" t="inlineStr">
        <is>
          <t>Check Tên người nhận tại biên min (2 ký tự (vd "An"))</t>
        </is>
      </c>
      <c r="G62" s="427" t="inlineStr">
        <is>
          <t>Đang ở Bước 2/3, khối Người nhận</t>
        </is>
      </c>
      <c r="H62" s="427" t="inlineStr">
        <is>
          <t>1. Nhập vào Tên người nhận: 2 ký tự (vd "An")
2. Rời ô nhập (blur)</t>
        </is>
      </c>
      <c r="I62" s="427" t="inlineStr">
        <is>
          <t>1. Ô nhập nhận đúng giá trị vừa nhập
2. Được chấp nhận, hợp lệ</t>
        </is>
      </c>
      <c r="J62" s="426" t="inlineStr">
        <is>
          <t>AI</t>
        </is>
      </c>
      <c r="K62" s="426" t="inlineStr">
        <is>
          <t>Pending</t>
        </is>
      </c>
      <c r="L62" s="426" t="inlineStr">
        <is>
          <t>No</t>
        </is>
      </c>
      <c r="M62" s="426" t="n"/>
      <c r="N62" s="428" t="n"/>
      <c r="O62" s="428" t="n"/>
      <c r="P62" s="428" t="n"/>
      <c r="Q62" s="428" t="n"/>
      <c r="R62" s="428" t="n"/>
      <c r="S62" s="428" t="n"/>
      <c r="T62" s="428" t="n"/>
      <c r="U62" s="428" t="n"/>
      <c r="V62" s="428" t="n"/>
      <c r="W62" s="428" t="n"/>
      <c r="X62" s="428" t="n"/>
      <c r="Y62" s="428" t="n"/>
      <c r="Z62" s="428" t="n"/>
      <c r="AA62" s="428" t="n"/>
      <c r="AB62" s="429" t="n"/>
      <c r="AC62" s="429" t="n"/>
      <c r="AD62" s="429" t="n"/>
      <c r="AE62" s="429" t="n"/>
      <c r="AF62" s="429" t="n"/>
      <c r="AG62" s="429" t="n"/>
      <c r="AH62" s="429" t="n"/>
      <c r="AI62" s="429" t="n"/>
      <c r="AJ62" s="429" t="n"/>
      <c r="AK62" s="429" t="n"/>
      <c r="AL62" s="429" t="n"/>
      <c r="AM62" s="430">
        <f>IF($A60="","",IF(OR($N60="Yes",$S60="Yes",$X60="Yes",$AC60="Yes",$AH60="Yes"),"Yes","No"))</f>
        <v/>
      </c>
      <c r="AN62" s="430">
        <f>IF($A60="","",IFERROR(IF($AI60&lt;&gt;"",$AI60,IF($AD60&lt;&gt;"",$AD60,IF($Y60&lt;&gt;"",$Y60,IF($T60&lt;&gt;"",$T60,IF($O60&lt;&gt;"",$O60,""))))),""))</f>
        <v/>
      </c>
      <c r="AO62" s="430">
        <f>IFERROR(IF($AJ60&lt;&gt;"",$AJ60,IF($AE60&lt;&gt;"",$AE60,IF($Z60&lt;&gt;"",$Z60,IF($U60&lt;&gt;"",$U60,IF($P60&lt;&gt;"",$P60,""))))),"")</f>
        <v/>
      </c>
      <c r="AP62" s="431" t="inlineStr">
        <is>
          <t>Technique: BVA-min (TenNguoiNhan)</t>
        </is>
      </c>
    </row>
    <row r="63" ht="15.75" customHeight="1" s="225">
      <c r="A63" s="426">
        <f>IF(C63="","",$C$2&amp;"."&amp;COUNTA($C$8:C63)&amp;"")</f>
        <v/>
      </c>
      <c r="B63" s="426" t="inlineStr">
        <is>
          <t>REQ-ORD-012</t>
        </is>
      </c>
      <c r="C63" s="426" t="inlineStr">
        <is>
          <t>DOC-v1.0-01 (BRD v3.2 §D8.1/D8.2)</t>
        </is>
      </c>
      <c r="D63" s="426" t="inlineStr">
        <is>
          <t>Functional</t>
        </is>
      </c>
      <c r="E63" s="426" t="inlineStr">
        <is>
          <t>Low</t>
        </is>
      </c>
      <c r="F63" s="427" t="inlineStr">
        <is>
          <t>Check Tên người nhận tại biên min+1 (3 ký tự (vd "Anh"))</t>
        </is>
      </c>
      <c r="G63" s="427" t="inlineStr">
        <is>
          <t>Đang ở Bước 2/3, khối Người nhận</t>
        </is>
      </c>
      <c r="H63" s="427" t="inlineStr">
        <is>
          <t>1. Nhập vào Tên người nhận: 3 ký tự (vd "Anh")
2. Rời ô nhập (blur)</t>
        </is>
      </c>
      <c r="I63" s="427" t="inlineStr">
        <is>
          <t>1. Ô nhập nhận đúng giá trị vừa nhập
2. Được chấp nhận, hợp lệ</t>
        </is>
      </c>
      <c r="J63" s="426" t="inlineStr">
        <is>
          <t>AI</t>
        </is>
      </c>
      <c r="K63" s="426" t="inlineStr">
        <is>
          <t>Pending</t>
        </is>
      </c>
      <c r="L63" s="426" t="inlineStr">
        <is>
          <t>No</t>
        </is>
      </c>
      <c r="M63" s="426" t="n"/>
      <c r="N63" s="428" t="n"/>
      <c r="O63" s="428" t="n"/>
      <c r="P63" s="428" t="n"/>
      <c r="Q63" s="428" t="n"/>
      <c r="R63" s="428" t="n"/>
      <c r="S63" s="428" t="n"/>
      <c r="T63" s="428" t="n"/>
      <c r="U63" s="428" t="n"/>
      <c r="V63" s="428" t="n"/>
      <c r="W63" s="428" t="n"/>
      <c r="X63" s="428" t="n"/>
      <c r="Y63" s="428" t="n"/>
      <c r="Z63" s="428" t="n"/>
      <c r="AA63" s="428" t="n"/>
      <c r="AB63" s="429" t="n"/>
      <c r="AC63" s="429" t="n"/>
      <c r="AD63" s="429" t="n"/>
      <c r="AE63" s="429" t="n"/>
      <c r="AF63" s="429" t="n"/>
      <c r="AG63" s="429" t="n"/>
      <c r="AH63" s="429" t="n"/>
      <c r="AI63" s="429" t="n"/>
      <c r="AJ63" s="429" t="n"/>
      <c r="AK63" s="429" t="n"/>
      <c r="AL63" s="429" t="n"/>
      <c r="AM63" s="430">
        <f>IF($A61="","",IF(OR($N61="Yes",$S61="Yes",$X61="Yes",$AC61="Yes",$AH61="Yes"),"Yes","No"))</f>
        <v/>
      </c>
      <c r="AN63" s="430">
        <f>IF($A61="","",IFERROR(IF($AI61&lt;&gt;"",$AI61,IF($AD61&lt;&gt;"",$AD61,IF($Y61&lt;&gt;"",$Y61,IF($T61&lt;&gt;"",$T61,IF($O61&lt;&gt;"",$O61,""))))),""))</f>
        <v/>
      </c>
      <c r="AO63" s="430">
        <f>IFERROR(IF($AJ61&lt;&gt;"",$AJ61,IF($AE61&lt;&gt;"",$AE61,IF($Z61&lt;&gt;"",$Z61,IF($U61&lt;&gt;"",$U61,IF($P61&lt;&gt;"",$P61,""))))),"")</f>
        <v/>
      </c>
      <c r="AP63" s="431" t="inlineStr">
        <is>
          <t>Technique: BVA-min+1 (TenNguoiNhan)</t>
        </is>
      </c>
      <c r="AQ63" s="224" t="n"/>
    </row>
    <row r="64" ht="15.75" customHeight="1" s="225">
      <c r="A64" s="426">
        <f>IF(C64="","",$C$2&amp;"."&amp;COUNTA($C$8:C64)&amp;"")</f>
        <v/>
      </c>
      <c r="B64" s="426" t="inlineStr">
        <is>
          <t>REQ-ORD-012</t>
        </is>
      </c>
      <c r="C64" s="426" t="inlineStr">
        <is>
          <t>DOC-v1.0-01 (BRD v3.2 §D8.1/D8.2)</t>
        </is>
      </c>
      <c r="D64" s="426" t="inlineStr">
        <is>
          <t>Functional</t>
        </is>
      </c>
      <c r="E64" s="426" t="inlineStr">
        <is>
          <t>Low</t>
        </is>
      </c>
      <c r="F64" s="427" t="inlineStr">
        <is>
          <t>Check Tên người nhận tại biên max-1 (59 ký tự hợp lệ)</t>
        </is>
      </c>
      <c r="G64" s="427" t="inlineStr">
        <is>
          <t>Đang ở Bước 2/3, khối Người nhận</t>
        </is>
      </c>
      <c r="H64" s="427" t="inlineStr">
        <is>
          <t>1. Nhập vào Tên người nhận: 59 ký tự hợp lệ
2. Rời ô nhập (blur)</t>
        </is>
      </c>
      <c r="I64" s="427" t="inlineStr">
        <is>
          <t>1. Ô nhập nhận đúng giá trị vừa nhập
2. Được chấp nhận, hợp lệ</t>
        </is>
      </c>
      <c r="J64" s="426" t="inlineStr">
        <is>
          <t>AI</t>
        </is>
      </c>
      <c r="K64" s="426" t="inlineStr">
        <is>
          <t>Pending</t>
        </is>
      </c>
      <c r="L64" s="426" t="inlineStr">
        <is>
          <t>No</t>
        </is>
      </c>
      <c r="M64" s="426" t="n"/>
      <c r="N64" s="428" t="n"/>
      <c r="O64" s="428" t="n"/>
      <c r="P64" s="428" t="n"/>
      <c r="Q64" s="428" t="n"/>
      <c r="R64" s="428" t="n"/>
      <c r="S64" s="428" t="n"/>
      <c r="T64" s="428" t="n"/>
      <c r="U64" s="428" t="n"/>
      <c r="V64" s="428" t="n"/>
      <c r="W64" s="428" t="n"/>
      <c r="X64" s="428" t="n"/>
      <c r="Y64" s="428" t="n"/>
      <c r="Z64" s="428" t="n"/>
      <c r="AA64" s="428" t="n"/>
      <c r="AB64" s="429" t="n"/>
      <c r="AC64" s="429" t="n"/>
      <c r="AD64" s="429" t="n"/>
      <c r="AE64" s="429" t="n"/>
      <c r="AF64" s="429" t="n"/>
      <c r="AG64" s="429" t="n"/>
      <c r="AH64" s="429" t="n"/>
      <c r="AI64" s="429" t="n"/>
      <c r="AJ64" s="429" t="n"/>
      <c r="AK64" s="429" t="n"/>
      <c r="AL64" s="429" t="n"/>
      <c r="AM64" s="430">
        <f>IF($A62="","",IF(OR($N62="Yes",$S62="Yes",$X62="Yes",$AC62="Yes",$AH62="Yes"),"Yes","No"))</f>
        <v/>
      </c>
      <c r="AN64" s="430">
        <f>IF($A62="","",IFERROR(IF($AI62&lt;&gt;"",$AI62,IF($AD62&lt;&gt;"",$AD62,IF($Y62&lt;&gt;"",$Y62,IF($T62&lt;&gt;"",$T62,IF($O62&lt;&gt;"",$O62,""))))),""))</f>
        <v/>
      </c>
      <c r="AO64" s="430">
        <f>IFERROR(IF($AJ62&lt;&gt;"",$AJ62,IF($AE62&lt;&gt;"",$AE62,IF($Z62&lt;&gt;"",$Z62,IF($U62&lt;&gt;"",$U62,IF($P62&lt;&gt;"",$P62,""))))),"")</f>
        <v/>
      </c>
      <c r="AP64" s="431" t="inlineStr">
        <is>
          <t>Technique: BVA-max-1 (TenNguoiNhan)</t>
        </is>
      </c>
      <c r="AQ64" s="224" t="n"/>
    </row>
    <row r="65" ht="15.75" customHeight="1" s="225">
      <c r="A65" s="426">
        <f>IF(C65="","",$C$2&amp;"."&amp;COUNTA($C$8:C65)&amp;"")</f>
        <v/>
      </c>
      <c r="B65" s="426" t="inlineStr">
        <is>
          <t>REQ-ORD-012</t>
        </is>
      </c>
      <c r="C65" s="426" t="inlineStr">
        <is>
          <t>DOC-v1.0-01 (BRD v3.2 §D8.1/D8.2)</t>
        </is>
      </c>
      <c r="D65" s="426" t="inlineStr">
        <is>
          <t>Functional</t>
        </is>
      </c>
      <c r="E65" s="426" t="inlineStr">
        <is>
          <t>Low</t>
        </is>
      </c>
      <c r="F65" s="427" t="inlineStr">
        <is>
          <t>Check Tên người nhận tại biên max (đúng 60 ký tự hợp lệ)</t>
        </is>
      </c>
      <c r="G65" s="427" t="inlineStr">
        <is>
          <t>Đang ở Bước 2/3, khối Người nhận</t>
        </is>
      </c>
      <c r="H65" s="427" t="inlineStr">
        <is>
          <t>1. Nhập vào Tên người nhận: đúng 60 ký tự hợp lệ
2. Rời ô nhập (blur)</t>
        </is>
      </c>
      <c r="I65" s="427" t="inlineStr">
        <is>
          <t>1. Ô nhập nhận đúng giá trị vừa nhập
2. Được chấp nhận, hợp lệ</t>
        </is>
      </c>
      <c r="J65" s="426" t="inlineStr">
        <is>
          <t>AI</t>
        </is>
      </c>
      <c r="K65" s="426" t="inlineStr">
        <is>
          <t>Pending</t>
        </is>
      </c>
      <c r="L65" s="426" t="inlineStr">
        <is>
          <t>No</t>
        </is>
      </c>
      <c r="M65" s="426" t="n"/>
      <c r="N65" s="428" t="n"/>
      <c r="O65" s="428" t="n"/>
      <c r="P65" s="428" t="n"/>
      <c r="Q65" s="428" t="n"/>
      <c r="R65" s="428" t="n"/>
      <c r="S65" s="428" t="n"/>
      <c r="T65" s="428" t="n"/>
      <c r="U65" s="428" t="n"/>
      <c r="V65" s="428" t="n"/>
      <c r="W65" s="428" t="n"/>
      <c r="X65" s="428" t="n"/>
      <c r="Y65" s="428" t="n"/>
      <c r="Z65" s="428" t="n"/>
      <c r="AA65" s="428" t="n"/>
      <c r="AB65" s="429" t="n"/>
      <c r="AC65" s="429" t="n"/>
      <c r="AD65" s="429" t="n"/>
      <c r="AE65" s="429" t="n"/>
      <c r="AF65" s="429" t="n"/>
      <c r="AG65" s="429" t="n"/>
      <c r="AH65" s="429" t="n"/>
      <c r="AI65" s="429" t="n"/>
      <c r="AJ65" s="429" t="n"/>
      <c r="AK65" s="429" t="n"/>
      <c r="AL65" s="429" t="n"/>
      <c r="AM65" s="430">
        <f>IF($A63="","",IF(OR($N63="Yes",$S63="Yes",$X63="Yes",$AC63="Yes",$AH63="Yes"),"Yes","No"))</f>
        <v/>
      </c>
      <c r="AN65" s="430">
        <f>IF($A63="","",IFERROR(IF($AI63&lt;&gt;"",$AI63,IF($AD63&lt;&gt;"",$AD63,IF($Y63&lt;&gt;"",$Y63,IF($T63&lt;&gt;"",$T63,IF($O63&lt;&gt;"",$O63,""))))),""))</f>
        <v/>
      </c>
      <c r="AO65" s="430">
        <f>IFERROR(IF($AJ63&lt;&gt;"",$AJ63,IF($AE63&lt;&gt;"",$AE63,IF($Z63&lt;&gt;"",$Z63,IF($U63&lt;&gt;"",$U63,IF($P63&lt;&gt;"",$P63,""))))),"")</f>
        <v/>
      </c>
      <c r="AP65" s="431" t="inlineStr">
        <is>
          <t>Technique: BVA-max (TenNguoiNhan)</t>
        </is>
      </c>
      <c r="AQ65" s="224" t="n"/>
    </row>
    <row r="66" ht="15.75" customHeight="1" s="225">
      <c r="A66" s="426">
        <f>IF(C66="","",$C$2&amp;"."&amp;COUNTA($C$8:C66)&amp;"")</f>
        <v/>
      </c>
      <c r="B66" s="426" t="inlineStr">
        <is>
          <t>REQ-ORD-012</t>
        </is>
      </c>
      <c r="C66" s="426" t="inlineStr">
        <is>
          <t>DOC-v1.0-01 (BRD v3.2 §D8.1/D8.2)</t>
        </is>
      </c>
      <c r="D66" s="426" t="inlineStr">
        <is>
          <t>Functional</t>
        </is>
      </c>
      <c r="E66" s="426" t="inlineStr">
        <is>
          <t>Low</t>
        </is>
      </c>
      <c r="F66" s="427" t="inlineStr">
        <is>
          <t>Check Tên người nhận tại biên max+1 (61 ký tự)</t>
        </is>
      </c>
      <c r="G66" s="427" t="inlineStr">
        <is>
          <t>Đang ở Bước 2/3, khối Người nhận</t>
        </is>
      </c>
      <c r="H66" s="427" t="inlineStr">
        <is>
          <t>1. Nhập vào Tên người nhận: 61 ký tự
2. Rời ô nhập (blur)</t>
        </is>
      </c>
      <c r="I66" s="427" t="inlineStr">
        <is>
          <t>1. Ô nhập nhận đúng giá trị vừa nhập
2. Bị chặn/báo lỗi độ dài tên không hợp lệ</t>
        </is>
      </c>
      <c r="J66" s="426" t="inlineStr">
        <is>
          <t>AI</t>
        </is>
      </c>
      <c r="K66" s="426" t="inlineStr">
        <is>
          <t>Pending</t>
        </is>
      </c>
      <c r="L66" s="426" t="inlineStr">
        <is>
          <t>No</t>
        </is>
      </c>
      <c r="M66" s="426" t="n"/>
      <c r="N66" s="428" t="n"/>
      <c r="O66" s="428" t="n"/>
      <c r="P66" s="428" t="n"/>
      <c r="Q66" s="428" t="n"/>
      <c r="R66" s="428" t="n"/>
      <c r="S66" s="428" t="n"/>
      <c r="T66" s="428" t="n"/>
      <c r="U66" s="428" t="n"/>
      <c r="V66" s="428" t="n"/>
      <c r="W66" s="428" t="n"/>
      <c r="X66" s="428" t="n"/>
      <c r="Y66" s="428" t="n"/>
      <c r="Z66" s="428" t="n"/>
      <c r="AA66" s="428" t="n"/>
      <c r="AB66" s="429" t="n"/>
      <c r="AC66" s="429" t="n"/>
      <c r="AD66" s="429" t="n"/>
      <c r="AE66" s="429" t="n"/>
      <c r="AF66" s="429" t="n"/>
      <c r="AG66" s="429" t="n"/>
      <c r="AH66" s="429" t="n"/>
      <c r="AI66" s="429" t="n"/>
      <c r="AJ66" s="429" t="n"/>
      <c r="AK66" s="429" t="n"/>
      <c r="AL66" s="429" t="n"/>
      <c r="AM66" s="430">
        <f>IF($A64="","",IF(OR($N64="Yes",$S64="Yes",$X64="Yes",$AC64="Yes",$AH64="Yes"),"Yes","No"))</f>
        <v/>
      </c>
      <c r="AN66" s="430">
        <f>IF($A64="","",IFERROR(IF($AI64&lt;&gt;"",$AI64,IF($AD64&lt;&gt;"",$AD64,IF($Y64&lt;&gt;"",$Y64,IF($T64&lt;&gt;"",$T64,IF($O64&lt;&gt;"",$O64,""))))),""))</f>
        <v/>
      </c>
      <c r="AO66" s="430">
        <f>IFERROR(IF($AJ64&lt;&gt;"",$AJ64,IF($AE64&lt;&gt;"",$AE64,IF($Z64&lt;&gt;"",$Z64,IF($U64&lt;&gt;"",$U64,IF($P64&lt;&gt;"",$P64,""))))),"")</f>
        <v/>
      </c>
      <c r="AP66" s="431" t="inlineStr">
        <is>
          <t>Technique: BVA-max+1 (TenNguoiNhan)</t>
        </is>
      </c>
      <c r="AQ66" s="224" t="n"/>
    </row>
    <row r="67" ht="45" customHeight="1" s="225">
      <c r="A67" s="426">
        <f>IF(C67="","",$C$2&amp;"."&amp;COUNTA($C$8:C67)&amp;"")</f>
        <v/>
      </c>
      <c r="B67" s="426" t="inlineStr">
        <is>
          <t>REQ-ORD-012</t>
        </is>
      </c>
      <c r="C67" s="426" t="inlineStr">
        <is>
          <t>DOC-v1.0-01 (BRD v3.2 §D8.1)</t>
        </is>
      </c>
      <c r="D67" s="426" t="inlineStr">
        <is>
          <t>Functional</t>
        </is>
      </c>
      <c r="E67" s="426" t="inlineStr">
        <is>
          <t>Medium</t>
        </is>
      </c>
      <c r="F67" s="427" t="inlineStr">
        <is>
          <t>Check bỏ trống Số điện thoại (Người nhận) bị chặn</t>
        </is>
      </c>
      <c r="G67" s="427" t="inlineStr">
        <is>
          <t>Đang ở Bước 2/3, khối 'Người nhận', đã xoá hết nội dung field Số điện thoại</t>
        </is>
      </c>
      <c r="H67" s="427" t="inlineStr">
        <is>
          <t>1. Xoá trống Số điện thoại (Người nhận)
2. Bấm 'Tiếp theo'</t>
        </is>
      </c>
      <c r="I67" s="427" t="inlineStr">
        <is>
          <t>1. Field hiển thị rỗng
2. Bị chặn/báo lỗi, không cho qua Bước 3/3</t>
        </is>
      </c>
      <c r="J67" s="426" t="inlineStr">
        <is>
          <t>AI</t>
        </is>
      </c>
      <c r="K67" s="426" t="inlineStr">
        <is>
          <t>Pending</t>
        </is>
      </c>
      <c r="L67" s="426" t="inlineStr">
        <is>
          <t>No</t>
        </is>
      </c>
      <c r="M67" s="426" t="n"/>
      <c r="N67" s="428" t="n"/>
      <c r="O67" s="428" t="n"/>
      <c r="P67" s="428" t="n"/>
      <c r="Q67" s="428" t="n"/>
      <c r="R67" s="428" t="n"/>
      <c r="S67" s="428" t="n"/>
      <c r="T67" s="428" t="n"/>
      <c r="U67" s="428" t="n"/>
      <c r="V67" s="428" t="n"/>
      <c r="W67" s="428" t="n"/>
      <c r="X67" s="428" t="n"/>
      <c r="Y67" s="428" t="n"/>
      <c r="Z67" s="428" t="n"/>
      <c r="AA67" s="428" t="n"/>
      <c r="AB67" s="429" t="n"/>
      <c r="AC67" s="429" t="n"/>
      <c r="AD67" s="429" t="n"/>
      <c r="AE67" s="429" t="n"/>
      <c r="AF67" s="429" t="n"/>
      <c r="AG67" s="429" t="n"/>
      <c r="AH67" s="429" t="n"/>
      <c r="AI67" s="429" t="n"/>
      <c r="AJ67" s="429" t="n"/>
      <c r="AK67" s="429" t="n"/>
      <c r="AL67" s="429" t="n"/>
      <c r="AM67" s="430">
        <f>IF($A65="","",IF(OR($N65="Yes",$S65="Yes",$X65="Yes",$AC65="Yes",$AH65="Yes"),"Yes","No"))</f>
        <v/>
      </c>
      <c r="AN67" s="430">
        <f>IF($A65="","",IFERROR(IF($AI65&lt;&gt;"",$AI65,IF($AD65&lt;&gt;"",$AD65,IF($Y65&lt;&gt;"",$Y65,IF($T65&lt;&gt;"",$T65,IF($O65&lt;&gt;"",$O65,""))))),""))</f>
        <v/>
      </c>
      <c r="AO67" s="430">
        <f>IFERROR(IF($AJ65&lt;&gt;"",$AJ65,IF($AE65&lt;&gt;"",$AE65,IF($Z65&lt;&gt;"",$Z65,IF($U65&lt;&gt;"",$U65,IF($P65&lt;&gt;"",$P65,""))))),"")</f>
        <v/>
      </c>
      <c r="AP67" s="431" t="n"/>
      <c r="AQ67" s="224" t="n"/>
    </row>
    <row r="68" ht="45" customHeight="1" s="225">
      <c r="A68" s="426">
        <f>IF(C68="","",$C$2&amp;"."&amp;COUNTA($C$8:C68)&amp;"")</f>
        <v/>
      </c>
      <c r="B68" s="426" t="inlineStr">
        <is>
          <t>REQ-ORD-012</t>
        </is>
      </c>
      <c r="C68" s="426" t="inlineStr">
        <is>
          <t>DOC-v1.0-01 (BRD v3.2 §D8.1)</t>
        </is>
      </c>
      <c r="D68" s="426" t="inlineStr">
        <is>
          <t>Functional</t>
        </is>
      </c>
      <c r="E68" s="426" t="inlineStr">
        <is>
          <t>Medium</t>
        </is>
      </c>
      <c r="F68" s="427" t="inlineStr">
        <is>
          <t>Check Số điện thoại (Người nhận) đúng định dạng chuẩn VN hợp lệ</t>
        </is>
      </c>
      <c r="G68" s="427" t="inlineStr">
        <is>
          <t>Đang ở Bước 2/3, khối 'Người nhận'</t>
        </is>
      </c>
      <c r="H68" s="427" t="inlineStr">
        <is>
          <t>1. Nhập Số điện thoại đúng chuẩn VN (10 số, đầu 0, vd '0987654321')
2. Bấm 'Tiếp theo'</t>
        </is>
      </c>
      <c r="I68" s="427" t="inlineStr">
        <is>
          <t>1. Không báo lỗi
2. Cho qua Bước 3/3 bình thường</t>
        </is>
      </c>
      <c r="J68" s="426" t="inlineStr">
        <is>
          <t>AI</t>
        </is>
      </c>
      <c r="K68" s="426" t="inlineStr">
        <is>
          <t>Pending</t>
        </is>
      </c>
      <c r="L68" s="426" t="inlineStr">
        <is>
          <t>No</t>
        </is>
      </c>
      <c r="M68" s="426" t="n"/>
      <c r="N68" s="428" t="n"/>
      <c r="O68" s="428" t="n"/>
      <c r="P68" s="428" t="n"/>
      <c r="Q68" s="428" t="n"/>
      <c r="R68" s="428" t="n"/>
      <c r="S68" s="428" t="n"/>
      <c r="T68" s="428" t="n"/>
      <c r="U68" s="428" t="n"/>
      <c r="V68" s="428" t="n"/>
      <c r="W68" s="428" t="n"/>
      <c r="X68" s="428" t="n"/>
      <c r="Y68" s="428" t="n"/>
      <c r="Z68" s="428" t="n"/>
      <c r="AA68" s="428" t="n"/>
      <c r="AB68" s="429" t="n"/>
      <c r="AC68" s="429" t="n"/>
      <c r="AD68" s="429" t="n"/>
      <c r="AE68" s="429" t="n"/>
      <c r="AF68" s="429" t="n"/>
      <c r="AG68" s="429" t="n"/>
      <c r="AH68" s="429" t="n"/>
      <c r="AI68" s="429" t="n"/>
      <c r="AJ68" s="429" t="n"/>
      <c r="AK68" s="429" t="n"/>
      <c r="AL68" s="429" t="n"/>
      <c r="AM68" s="430">
        <f>IF($A66="","",IF(OR($N66="Yes",$S66="Yes",$X66="Yes",$AC66="Yes",$AH66="Yes"),"Yes","No"))</f>
        <v/>
      </c>
      <c r="AN68" s="430">
        <f>IF($A66="","",IFERROR(IF($AI66&lt;&gt;"",$AI66,IF($AD66&lt;&gt;"",$AD66,IF($Y66&lt;&gt;"",$Y66,IF($T66&lt;&gt;"",$T66,IF($O66&lt;&gt;"",$O66,""))))),""))</f>
        <v/>
      </c>
      <c r="AO68" s="430">
        <f>IFERROR(IF($AJ66&lt;&gt;"",$AJ66,IF($AE66&lt;&gt;"",$AE66,IF($Z66&lt;&gt;"",$Z66,IF($U66&lt;&gt;"",$U66,IF($P66&lt;&gt;"",$P66,""))))),"")</f>
        <v/>
      </c>
      <c r="AP68" s="431" t="n"/>
      <c r="AQ68" s="224" t="n"/>
    </row>
    <row r="69" ht="45" customHeight="1" s="225">
      <c r="A69" s="426">
        <f>IF(C69="","",$C$2&amp;"."&amp;COUNTA($C$8:C69)&amp;"")</f>
        <v/>
      </c>
      <c r="B69" s="426" t="inlineStr">
        <is>
          <t>REQ-ORD-012</t>
        </is>
      </c>
      <c r="C69" s="426" t="inlineStr">
        <is>
          <t>DOC-v1.0-01 (BRD v3.2 §D8.1)</t>
        </is>
      </c>
      <c r="D69" s="426" t="inlineStr">
        <is>
          <t>Functional</t>
        </is>
      </c>
      <c r="E69" s="426" t="inlineStr">
        <is>
          <t>Medium</t>
        </is>
      </c>
      <c r="F69" s="427" t="inlineStr">
        <is>
          <t>Check Số điện thoại (Người nhận) sai định dạng bị chặn</t>
        </is>
      </c>
      <c r="G69" s="427" t="inlineStr">
        <is>
          <t>Đang ở Bước 2/3, khối 'Người nhận'</t>
        </is>
      </c>
      <c r="H69" s="427" t="inlineStr">
        <is>
          <t>1. Nhập Số điện thoại sai định dạng (vd thiếu số 0 đầu, không đủ 10 số, hoặc chứa ký tự chữ)
2. Bấm 'Tiếp theo'</t>
        </is>
      </c>
      <c r="I69" s="427" t="inlineStr">
        <is>
          <t>1. Bị chặn/báo lỗi đúng field Số điện thoại
2. Không cho qua Bước 3/3</t>
        </is>
      </c>
      <c r="J69" s="426" t="inlineStr">
        <is>
          <t>AI</t>
        </is>
      </c>
      <c r="K69" s="426" t="inlineStr">
        <is>
          <t>Pending</t>
        </is>
      </c>
      <c r="L69" s="426" t="inlineStr">
        <is>
          <t>No</t>
        </is>
      </c>
      <c r="M69" s="426" t="n"/>
      <c r="N69" s="428" t="n"/>
      <c r="O69" s="428" t="n"/>
      <c r="P69" s="428" t="n"/>
      <c r="Q69" s="428" t="n"/>
      <c r="R69" s="428" t="n"/>
      <c r="S69" s="428" t="n"/>
      <c r="T69" s="428" t="n"/>
      <c r="U69" s="428" t="n"/>
      <c r="V69" s="428" t="n"/>
      <c r="W69" s="428" t="n"/>
      <c r="X69" s="428" t="n"/>
      <c r="Y69" s="428" t="n"/>
      <c r="Z69" s="428" t="n"/>
      <c r="AA69" s="428" t="n"/>
      <c r="AB69" s="429" t="n"/>
      <c r="AC69" s="429" t="n"/>
      <c r="AD69" s="429" t="n"/>
      <c r="AE69" s="429" t="n"/>
      <c r="AF69" s="429" t="n"/>
      <c r="AG69" s="429" t="n"/>
      <c r="AH69" s="429" t="n"/>
      <c r="AI69" s="429" t="n"/>
      <c r="AJ69" s="429" t="n"/>
      <c r="AK69" s="429" t="n"/>
      <c r="AL69" s="429" t="n"/>
      <c r="AM69" s="430">
        <f>IF($A67="","",IF(OR($N67="Yes",$S67="Yes",$X67="Yes",$AC67="Yes",$AH67="Yes"),"Yes","No"))</f>
        <v/>
      </c>
      <c r="AN69" s="430">
        <f>IF($A67="","",IFERROR(IF($AI67&lt;&gt;"",$AI67,IF($AD67&lt;&gt;"",$AD67,IF($Y67&lt;&gt;"",$Y67,IF($T67&lt;&gt;"",$T67,IF($O67&lt;&gt;"",$O67,""))))),""))</f>
        <v/>
      </c>
      <c r="AO69" s="430">
        <f>IFERROR(IF($AJ67&lt;&gt;"",$AJ67,IF($AE67&lt;&gt;"",$AE67,IF($Z67&lt;&gt;"",$Z67,IF($U67&lt;&gt;"",$U67,IF($P67&lt;&gt;"",$P67,""))))),"")</f>
        <v/>
      </c>
      <c r="AP69" s="431" t="n"/>
      <c r="AQ69" s="224" t="n"/>
    </row>
    <row r="70" ht="15.75" customHeight="1" s="225">
      <c r="A70" s="426">
        <f>IF(C70="","",$C$2&amp;"."&amp;COUNTA($C$8:C70)&amp;"")</f>
        <v/>
      </c>
      <c r="B70" s="426" t="inlineStr">
        <is>
          <t>REQ-ORD-012</t>
        </is>
      </c>
      <c r="C70" s="426" t="inlineStr">
        <is>
          <t>DOC-v1.0-01 (BRD v3.2 §D8.1/D8.2)</t>
        </is>
      </c>
      <c r="D70" s="426" t="inlineStr">
        <is>
          <t>Functional</t>
        </is>
      </c>
      <c r="E70" s="426" t="inlineStr">
        <is>
          <t>Low</t>
        </is>
      </c>
      <c r="F70" s="427" t="inlineStr">
        <is>
          <t>Check Địa chỉ giao hàng tại biên empty ((để trống))</t>
        </is>
      </c>
      <c r="G70" s="427" t="inlineStr">
        <is>
          <t>Đang ở Bước 2/3, khối Người nhận</t>
        </is>
      </c>
      <c r="H70" s="427" t="inlineStr">
        <is>
          <t>1. Nhập vào Địa chỉ giao hàng: (để trống)
2. Rời ô nhập (blur) hoặc bấm 'Tiếp theo'</t>
        </is>
      </c>
      <c r="I70" s="427" t="inlineStr">
        <is>
          <t>1. Ô nhập nhận đúng giá trị vừa nhập
2. Bị chặn/báo lỗi (trống hoặc vượt quá 200 ký tự)</t>
        </is>
      </c>
      <c r="J70" s="426" t="inlineStr">
        <is>
          <t>AI</t>
        </is>
      </c>
      <c r="K70" s="426" t="inlineStr">
        <is>
          <t>Pending</t>
        </is>
      </c>
      <c r="L70" s="426" t="inlineStr">
        <is>
          <t>No</t>
        </is>
      </c>
      <c r="M70" s="426" t="n"/>
      <c r="N70" s="428" t="n"/>
      <c r="O70" s="428" t="n"/>
      <c r="P70" s="428" t="n"/>
      <c r="Q70" s="428" t="n"/>
      <c r="R70" s="428" t="n"/>
      <c r="S70" s="428" t="n"/>
      <c r="T70" s="428" t="n"/>
      <c r="U70" s="428" t="n"/>
      <c r="V70" s="428" t="n"/>
      <c r="W70" s="428" t="n"/>
      <c r="X70" s="428" t="n"/>
      <c r="Y70" s="428" t="n"/>
      <c r="Z70" s="428" t="n"/>
      <c r="AA70" s="428" t="n"/>
      <c r="AB70" s="429" t="n"/>
      <c r="AC70" s="429" t="n"/>
      <c r="AD70" s="429" t="n"/>
      <c r="AE70" s="429" t="n"/>
      <c r="AF70" s="429" t="n"/>
      <c r="AG70" s="429" t="n"/>
      <c r="AH70" s="429" t="n"/>
      <c r="AI70" s="429" t="n"/>
      <c r="AJ70" s="429" t="n"/>
      <c r="AK70" s="429" t="n"/>
      <c r="AL70" s="429" t="n"/>
      <c r="AM70" s="430">
        <f>IF($A68="","",IF(OR($N68="Yes",$S68="Yes",$X68="Yes",$AC68="Yes",$AH68="Yes"),"Yes","No"))</f>
        <v/>
      </c>
      <c r="AN70" s="430">
        <f>IF($A68="","",IFERROR(IF($AI68&lt;&gt;"",$AI68,IF($AD68&lt;&gt;"",$AD68,IF($Y68&lt;&gt;"",$Y68,IF($T68&lt;&gt;"",$T68,IF($O68&lt;&gt;"",$O68,""))))),""))</f>
        <v/>
      </c>
      <c r="AO70" s="430">
        <f>IFERROR(IF($AJ68&lt;&gt;"",$AJ68,IF($AE68&lt;&gt;"",$AE68,IF($Z68&lt;&gt;"",$Z68,IF($U68&lt;&gt;"",$U68,IF($P68&lt;&gt;"",$P68,""))))),"")</f>
        <v/>
      </c>
      <c r="AP70" s="431" t="inlineStr">
        <is>
          <t>Technique: BVA-empty (DiaChiGiaoHang)</t>
        </is>
      </c>
      <c r="AQ70" s="224" t="n"/>
    </row>
    <row r="71" ht="15.75" customHeight="1" s="225">
      <c r="A71" s="426">
        <f>IF(C71="","",$C$2&amp;"."&amp;COUNTA($C$8:C71)&amp;"")</f>
        <v/>
      </c>
      <c r="B71" s="426" t="inlineStr">
        <is>
          <t>REQ-ORD-012</t>
        </is>
      </c>
      <c r="C71" s="426" t="inlineStr">
        <is>
          <t>DOC-v1.0-01 (BRD v3.2 §D8.1/D8.2)</t>
        </is>
      </c>
      <c r="D71" s="426" t="inlineStr">
        <is>
          <t>Functional</t>
        </is>
      </c>
      <c r="E71" s="426" t="inlineStr">
        <is>
          <t>Low</t>
        </is>
      </c>
      <c r="F71" s="427" t="inlineStr">
        <is>
          <t>Check Địa chỉ giao hàng tại biên max-1 (199 ký tự hợp lệ)</t>
        </is>
      </c>
      <c r="G71" s="427" t="inlineStr">
        <is>
          <t>Đang ở Bước 2/3, khối Người nhận</t>
        </is>
      </c>
      <c r="H71" s="427" t="inlineStr">
        <is>
          <t>1. Nhập vào Địa chỉ giao hàng: 199 ký tự hợp lệ
2. Rời ô nhập (blur) hoặc bấm 'Tiếp theo'</t>
        </is>
      </c>
      <c r="I71" s="427" t="inlineStr">
        <is>
          <t>1. Ô nhập nhận đúng giá trị vừa nhập
2. Được chấp nhận, hợp lệ</t>
        </is>
      </c>
      <c r="J71" s="426" t="inlineStr">
        <is>
          <t>AI</t>
        </is>
      </c>
      <c r="K71" s="426" t="inlineStr">
        <is>
          <t>Pending</t>
        </is>
      </c>
      <c r="L71" s="426" t="inlineStr">
        <is>
          <t>No</t>
        </is>
      </c>
      <c r="M71" s="426" t="n"/>
      <c r="N71" s="428" t="n"/>
      <c r="O71" s="428" t="n"/>
      <c r="P71" s="428" t="n"/>
      <c r="Q71" s="428" t="n"/>
      <c r="R71" s="428" t="n"/>
      <c r="S71" s="428" t="n"/>
      <c r="T71" s="428" t="n"/>
      <c r="U71" s="428" t="n"/>
      <c r="V71" s="428" t="n"/>
      <c r="W71" s="428" t="n"/>
      <c r="X71" s="428" t="n"/>
      <c r="Y71" s="428" t="n"/>
      <c r="Z71" s="428" t="n"/>
      <c r="AA71" s="428" t="n"/>
      <c r="AB71" s="429" t="n"/>
      <c r="AC71" s="429" t="n"/>
      <c r="AD71" s="429" t="n"/>
      <c r="AE71" s="429" t="n"/>
      <c r="AF71" s="429" t="n"/>
      <c r="AG71" s="429" t="n"/>
      <c r="AH71" s="429" t="n"/>
      <c r="AI71" s="429" t="n"/>
      <c r="AJ71" s="429" t="n"/>
      <c r="AK71" s="429" t="n"/>
      <c r="AL71" s="429" t="n"/>
      <c r="AM71" s="430">
        <f>IF($A69="","",IF(OR($N69="Yes",$S69="Yes",$X69="Yes",$AC69="Yes",$AH69="Yes"),"Yes","No"))</f>
        <v/>
      </c>
      <c r="AN71" s="430">
        <f>IF($A69="","",IFERROR(IF($AI69&lt;&gt;"",$AI69,IF($AD69&lt;&gt;"",$AD69,IF($Y69&lt;&gt;"",$Y69,IF($T69&lt;&gt;"",$T69,IF($O69&lt;&gt;"",$O69,""))))),""))</f>
        <v/>
      </c>
      <c r="AO71" s="430">
        <f>IFERROR(IF($AJ69&lt;&gt;"",$AJ69,IF($AE69&lt;&gt;"",$AE69,IF($Z69&lt;&gt;"",$Z69,IF($U69&lt;&gt;"",$U69,IF($P69&lt;&gt;"",$P69,""))))),"")</f>
        <v/>
      </c>
      <c r="AP71" s="431" t="inlineStr">
        <is>
          <t>Technique: BVA-max-1 (DiaChiGiaoHang)</t>
        </is>
      </c>
      <c r="AQ71" s="224" t="n"/>
    </row>
    <row r="72" ht="15.75" customHeight="1" s="225">
      <c r="A72" s="426">
        <f>IF(C72="","",$C$2&amp;"."&amp;COUNTA($C$8:C72)&amp;"")</f>
        <v/>
      </c>
      <c r="B72" s="426" t="inlineStr">
        <is>
          <t>REQ-ORD-012</t>
        </is>
      </c>
      <c r="C72" s="426" t="inlineStr">
        <is>
          <t>DOC-v1.0-01 (BRD v3.2 §D8.1/D8.2)</t>
        </is>
      </c>
      <c r="D72" s="426" t="inlineStr">
        <is>
          <t>Functional</t>
        </is>
      </c>
      <c r="E72" s="426" t="inlineStr">
        <is>
          <t>Low</t>
        </is>
      </c>
      <c r="F72" s="427" t="inlineStr">
        <is>
          <t>Check Địa chỉ giao hàng tại biên max (đúng 200 ký tự hợp lệ)</t>
        </is>
      </c>
      <c r="G72" s="427" t="inlineStr">
        <is>
          <t>Đang ở Bước 2/3, khối Người nhận</t>
        </is>
      </c>
      <c r="H72" s="427" t="inlineStr">
        <is>
          <t>1. Nhập vào Địa chỉ giao hàng: đúng 200 ký tự hợp lệ
2. Rời ô nhập (blur) hoặc bấm 'Tiếp theo'</t>
        </is>
      </c>
      <c r="I72" s="427" t="inlineStr">
        <is>
          <t>1. Ô nhập nhận đúng giá trị vừa nhập
2. Được chấp nhận, hợp lệ</t>
        </is>
      </c>
      <c r="J72" s="426" t="inlineStr">
        <is>
          <t>AI</t>
        </is>
      </c>
      <c r="K72" s="426" t="inlineStr">
        <is>
          <t>Pending</t>
        </is>
      </c>
      <c r="L72" s="426" t="inlineStr">
        <is>
          <t>No</t>
        </is>
      </c>
      <c r="M72" s="426" t="n"/>
      <c r="N72" s="428" t="n"/>
      <c r="O72" s="428" t="n"/>
      <c r="P72" s="428" t="n"/>
      <c r="Q72" s="428" t="n"/>
      <c r="R72" s="428" t="n"/>
      <c r="S72" s="428" t="n"/>
      <c r="T72" s="428" t="n"/>
      <c r="U72" s="428" t="n"/>
      <c r="V72" s="428" t="n"/>
      <c r="W72" s="428" t="n"/>
      <c r="X72" s="428" t="n"/>
      <c r="Y72" s="428" t="n"/>
      <c r="Z72" s="428" t="n"/>
      <c r="AA72" s="428" t="n"/>
      <c r="AB72" s="429" t="n"/>
      <c r="AC72" s="429" t="n"/>
      <c r="AD72" s="429" t="n"/>
      <c r="AE72" s="429" t="n"/>
      <c r="AF72" s="429" t="n"/>
      <c r="AG72" s="429" t="n"/>
      <c r="AH72" s="429" t="n"/>
      <c r="AI72" s="429" t="n"/>
      <c r="AJ72" s="429" t="n"/>
      <c r="AK72" s="429" t="n"/>
      <c r="AL72" s="429" t="n"/>
      <c r="AM72" s="430">
        <f>IF($A70="","",IF(OR($N70="Yes",$S70="Yes",$X70="Yes",$AC70="Yes",$AH70="Yes"),"Yes","No"))</f>
        <v/>
      </c>
      <c r="AN72" s="430">
        <f>IF($A70="","",IFERROR(IF($AI70&lt;&gt;"",$AI70,IF($AD70&lt;&gt;"",$AD70,IF($Y70&lt;&gt;"",$Y70,IF($T70&lt;&gt;"",$T70,IF($O70&lt;&gt;"",$O70,""))))),""))</f>
        <v/>
      </c>
      <c r="AO72" s="430">
        <f>IFERROR(IF($AJ70&lt;&gt;"",$AJ70,IF($AE70&lt;&gt;"",$AE70,IF($Z70&lt;&gt;"",$Z70,IF($U70&lt;&gt;"",$U70,IF($P70&lt;&gt;"",$P70,""))))),"")</f>
        <v/>
      </c>
      <c r="AP72" s="431" t="inlineStr">
        <is>
          <t>Technique: BVA-max (DiaChiGiaoHang)</t>
        </is>
      </c>
      <c r="AQ72" s="224" t="n"/>
    </row>
    <row r="73" ht="15.75" customHeight="1" s="225">
      <c r="A73" s="426">
        <f>IF(C73="","",$C$2&amp;"."&amp;COUNTA($C$8:C73)&amp;"")</f>
        <v/>
      </c>
      <c r="B73" s="426" t="inlineStr">
        <is>
          <t>REQ-ORD-012</t>
        </is>
      </c>
      <c r="C73" s="426" t="inlineStr">
        <is>
          <t>DOC-v1.0-01 (BRD v3.2 §D8.1/D8.2)</t>
        </is>
      </c>
      <c r="D73" s="426" t="inlineStr">
        <is>
          <t>Functional</t>
        </is>
      </c>
      <c r="E73" s="426" t="inlineStr">
        <is>
          <t>Low</t>
        </is>
      </c>
      <c r="F73" s="427" t="inlineStr">
        <is>
          <t>Check Địa chỉ giao hàng tại biên max+1 (201 ký tự)</t>
        </is>
      </c>
      <c r="G73" s="427" t="inlineStr">
        <is>
          <t>Đang ở Bước 2/3, khối Người nhận</t>
        </is>
      </c>
      <c r="H73" s="427" t="inlineStr">
        <is>
          <t>1. Nhập vào Địa chỉ giao hàng: 201 ký tự
2. Rời ô nhập (blur) hoặc bấm 'Tiếp theo'</t>
        </is>
      </c>
      <c r="I73" s="427" t="inlineStr">
        <is>
          <t>1. Ô nhập nhận đúng giá trị vừa nhập
2. Bị chặn/báo lỗi (trống hoặc vượt quá 200 ký tự)</t>
        </is>
      </c>
      <c r="J73" s="426" t="inlineStr">
        <is>
          <t>AI</t>
        </is>
      </c>
      <c r="K73" s="426" t="inlineStr">
        <is>
          <t>Pending</t>
        </is>
      </c>
      <c r="L73" s="426" t="inlineStr">
        <is>
          <t>No</t>
        </is>
      </c>
      <c r="M73" s="426" t="n"/>
      <c r="N73" s="428" t="n"/>
      <c r="O73" s="428" t="n"/>
      <c r="P73" s="428" t="n"/>
      <c r="Q73" s="428" t="n"/>
      <c r="R73" s="428" t="n"/>
      <c r="S73" s="428" t="n"/>
      <c r="T73" s="428" t="n"/>
      <c r="U73" s="428" t="n"/>
      <c r="V73" s="428" t="n"/>
      <c r="W73" s="428" t="n"/>
      <c r="X73" s="428" t="n"/>
      <c r="Y73" s="428" t="n"/>
      <c r="Z73" s="428" t="n"/>
      <c r="AA73" s="428" t="n"/>
      <c r="AB73" s="429" t="n"/>
      <c r="AC73" s="429" t="n"/>
      <c r="AD73" s="429" t="n"/>
      <c r="AE73" s="429" t="n"/>
      <c r="AF73" s="429" t="n"/>
      <c r="AG73" s="429" t="n"/>
      <c r="AH73" s="429" t="n"/>
      <c r="AI73" s="429" t="n"/>
      <c r="AJ73" s="429" t="n"/>
      <c r="AK73" s="429" t="n"/>
      <c r="AL73" s="429" t="n"/>
      <c r="AM73" s="430">
        <f>IF($A71="","",IF(OR($N71="Yes",$S71="Yes",$X71="Yes",$AC71="Yes",$AH71="Yes"),"Yes","No"))</f>
        <v/>
      </c>
      <c r="AN73" s="430">
        <f>IF($A71="","",IFERROR(IF($AI71&lt;&gt;"",$AI71,IF($AD71&lt;&gt;"",$AD71,IF($Y71&lt;&gt;"",$Y71,IF($T71&lt;&gt;"",$T71,IF($O71&lt;&gt;"",$O71,""))))),""))</f>
        <v/>
      </c>
      <c r="AO73" s="430">
        <f>IFERROR(IF($AJ71&lt;&gt;"",$AJ71,IF($AE71&lt;&gt;"",$AE71,IF($Z71&lt;&gt;"",$Z71,IF($U71&lt;&gt;"",$U71,IF($P71&lt;&gt;"",$P71,""))))),"")</f>
        <v/>
      </c>
      <c r="AP73" s="431" t="inlineStr">
        <is>
          <t>Technique: BVA-max+1 (DiaChiGiaoHang)</t>
        </is>
      </c>
      <c r="AQ73" s="224" t="n"/>
    </row>
    <row r="74" ht="15.75" customHeight="1" s="225">
      <c r="A74" s="426">
        <f>IF(C74="","",$C$2&amp;"."&amp;COUNTA($C$8:C74)&amp;"")</f>
        <v/>
      </c>
      <c r="B74" s="426" t="inlineStr">
        <is>
          <t>REQ-ORD-012</t>
        </is>
      </c>
      <c r="C74" s="426" t="inlineStr">
        <is>
          <t>DOC-v1.0-01 (BRD v3.2 §D8.1/D8.2)</t>
        </is>
      </c>
      <c r="D74" s="426" t="inlineStr">
        <is>
          <t>Functional</t>
        </is>
      </c>
      <c r="E74" s="426" t="inlineStr">
        <is>
          <t>Medium</t>
        </is>
      </c>
      <c r="F74" s="427" t="inlineStr">
        <is>
          <t>Check Địa chỉ giao hàng trùng Địa chỉ lấy hàng bị chặn</t>
        </is>
      </c>
      <c r="G74" s="427" t="inlineStr">
        <is>
          <t>Đang ở Bước 2/3, Địa chỉ lấy hàng đang là 'Tòa nhà Lô B3, KCX Tân Thuận, Q.7'</t>
        </is>
      </c>
      <c r="H74" s="427" t="inlineStr">
        <is>
          <t>1. Nhập Địa chỉ giao hàng = 'Tòa nhà Lô B3, KCX Tân Thuận, Q.7' (giống hệt Địa chỉ lấy hàng)
2. Bấm 'Tiếp theo'</t>
        </is>
      </c>
      <c r="I74" s="427" t="inlineStr">
        <is>
          <t>1. Ô nhập nhận đúng giá trị vừa nhập
2. Bị chặn/báo lỗi 'Địa chỉ giao hàng phải khác địa chỉ lấy hàng', không cho qua Bước 3/3</t>
        </is>
      </c>
      <c r="J74" s="426" t="inlineStr">
        <is>
          <t>AI</t>
        </is>
      </c>
      <c r="K74" s="426" t="inlineStr">
        <is>
          <t>Pending</t>
        </is>
      </c>
      <c r="L74" s="426" t="inlineStr">
        <is>
          <t>No</t>
        </is>
      </c>
      <c r="M74" s="426" t="n"/>
      <c r="N74" s="428" t="n"/>
      <c r="O74" s="428" t="n"/>
      <c r="P74" s="428" t="n"/>
      <c r="Q74" s="428" t="n"/>
      <c r="R74" s="428" t="n"/>
      <c r="S74" s="428" t="n"/>
      <c r="T74" s="428" t="n"/>
      <c r="U74" s="428" t="n"/>
      <c r="V74" s="428" t="n"/>
      <c r="W74" s="428" t="n"/>
      <c r="X74" s="428" t="n"/>
      <c r="Y74" s="428" t="n"/>
      <c r="Z74" s="428" t="n"/>
      <c r="AA74" s="428" t="n"/>
      <c r="AB74" s="429" t="n"/>
      <c r="AC74" s="429" t="n"/>
      <c r="AD74" s="429" t="n"/>
      <c r="AE74" s="429" t="n"/>
      <c r="AF74" s="429" t="n"/>
      <c r="AG74" s="429" t="n"/>
      <c r="AH74" s="429" t="n"/>
      <c r="AI74" s="429" t="n"/>
      <c r="AJ74" s="429" t="n"/>
      <c r="AK74" s="429" t="n"/>
      <c r="AL74" s="429" t="n"/>
      <c r="AM74" s="430">
        <f>IF($A72="","",IF(OR($N72="Yes",$S72="Yes",$X72="Yes",$AC72="Yes",$AH72="Yes"),"Yes","No"))</f>
        <v/>
      </c>
      <c r="AN74" s="430">
        <f>IF($A72="","",IFERROR(IF($AI72&lt;&gt;"",$AI72,IF($AD72&lt;&gt;"",$AD72,IF($Y72&lt;&gt;"",$Y72,IF($T72&lt;&gt;"",$T72,IF($O72&lt;&gt;"",$O72,""))))),""))</f>
        <v/>
      </c>
      <c r="AO74" s="430">
        <f>IFERROR(IF($AJ72&lt;&gt;"",$AJ72,IF($AE72&lt;&gt;"",$AE72,IF($Z72&lt;&gt;"",$Z72,IF($U72&lt;&gt;"",$U72,IF($P72&lt;&gt;"",$P72,""))))),"")</f>
        <v/>
      </c>
      <c r="AP74" s="431" t="inlineStr">
        <is>
          <t>Technique: EP-invalid-duplicate-address (rule mới BRD v3.2 §D8.1)</t>
        </is>
      </c>
      <c r="AQ74" s="224" t="n"/>
    </row>
    <row r="75" ht="45" customHeight="1" s="225">
      <c r="A75" s="426">
        <f>IF(C75="","",$C$2&amp;"."&amp;COUNTA($C$8:C75)&amp;"")</f>
        <v/>
      </c>
      <c r="B75" s="426" t="inlineStr">
        <is>
          <t>REQ-ORD-014</t>
        </is>
      </c>
      <c r="C75" s="426" t="inlineStr">
        <is>
          <t>DOC-v1.0-06</t>
        </is>
      </c>
      <c r="D75" s="426" t="inlineStr">
        <is>
          <t>Functional</t>
        </is>
      </c>
      <c r="E75" s="426" t="inlineStr">
        <is>
          <t>Medium</t>
        </is>
      </c>
      <c r="F75" s="427" t="inlineStr">
        <is>
          <t>Check nhập text vào Địa chỉ giao hàng hiển thị danh sách gợi ý để CHỌN (không tự do nhập lưu thẳng)</t>
        </is>
      </c>
      <c r="G75" s="427" t="inlineStr">
        <is>
          <t>Đang ở Bước 2/3, khối 'Người nhận', field Địa chỉ giao hàng</t>
        </is>
      </c>
      <c r="H75" s="427" t="inlineStr">
        <is>
          <t>1. Nhập 1 chuỗi text bất kỳ khớp 1 phần tên văn phòng (vd 'f-town')
2. Chọn 1 kết quả trong danh sách gợi ý hiện ra</t>
        </is>
      </c>
      <c r="I75" s="427" t="inlineStr">
        <is>
          <t>1. Hệ thống hiển thị danh sách gợi ý văn phòng khớp với text đã nhập, load từ dữ liệu hệ thống (DB) — tương tự cơ chế ở Địa chỉ lấy hàng
2. Field Địa chỉ giao hàng cập nhật đúng theo đúng item đã CHỌN trong danh sách (không phải giữ nguyên text gõ tự do)</t>
        </is>
      </c>
      <c r="J75" s="426" t="inlineStr">
        <is>
          <t>AI</t>
        </is>
      </c>
      <c r="K75" s="426" t="inlineStr">
        <is>
          <t>Pending</t>
        </is>
      </c>
      <c r="L75" s="426" t="inlineStr">
        <is>
          <t>No</t>
        </is>
      </c>
      <c r="M75" s="426" t="n"/>
      <c r="N75" s="428" t="n"/>
      <c r="O75" s="428" t="n"/>
      <c r="P75" s="428" t="n"/>
      <c r="Q75" s="428" t="n"/>
      <c r="R75" s="428" t="n"/>
      <c r="S75" s="428" t="n"/>
      <c r="T75" s="428" t="n"/>
      <c r="U75" s="428" t="n"/>
      <c r="V75" s="428" t="n"/>
      <c r="W75" s="428" t="n"/>
      <c r="X75" s="428" t="n"/>
      <c r="Y75" s="428" t="n"/>
      <c r="Z75" s="428" t="n"/>
      <c r="AA75" s="428" t="n"/>
      <c r="AB75" s="429" t="n"/>
      <c r="AC75" s="429" t="n"/>
      <c r="AD75" s="429" t="n"/>
      <c r="AE75" s="429" t="n"/>
      <c r="AF75" s="429" t="n"/>
      <c r="AG75" s="429" t="n"/>
      <c r="AH75" s="429" t="n"/>
      <c r="AI75" s="429" t="n"/>
      <c r="AJ75" s="429" t="n"/>
      <c r="AK75" s="429" t="n"/>
      <c r="AL75" s="429" t="n"/>
      <c r="AM75" s="430">
        <f>IF($A73="","",IF(OR($N73="Yes",$S73="Yes",$X73="Yes",$AC73="Yes",$AH73="Yes"),"Yes","No"))</f>
        <v/>
      </c>
      <c r="AN75" s="430">
        <f>IF($A73="","",IFERROR(IF($AI73&lt;&gt;"",$AI73,IF($AD73&lt;&gt;"",$AD73,IF($Y73&lt;&gt;"",$Y73,IF($T73&lt;&gt;"",$T73,IF($O73&lt;&gt;"",$O73,""))))),""))</f>
        <v/>
      </c>
      <c r="AO75" s="430">
        <f>IFERROR(IF($AJ73&lt;&gt;"",$AJ73,IF($AE73&lt;&gt;"",$AE73,IF($Z73&lt;&gt;"",$Z73,IF($U73&lt;&gt;"",$U73,IF($P73&lt;&gt;"",$P73,""))))),"")</f>
        <v/>
      </c>
      <c r="AP75" s="431" t="n"/>
      <c r="AQ75" s="224" t="n"/>
    </row>
    <row r="76" ht="45" customHeight="1" s="225">
      <c r="A76" s="426">
        <f>IF(C76="","",$C$2&amp;"."&amp;COUNTA($C$8:C76)&amp;"")</f>
        <v/>
      </c>
      <c r="B76" s="426" t="inlineStr">
        <is>
          <t>REQ-ORD-014</t>
        </is>
      </c>
      <c r="C76" s="426" t="inlineStr">
        <is>
          <t>DOC-v1.0-06</t>
        </is>
      </c>
      <c r="D76" s="426" t="inlineStr">
        <is>
          <t>Functional</t>
        </is>
      </c>
      <c r="E76" s="426" t="inlineStr">
        <is>
          <t>Low</t>
        </is>
      </c>
      <c r="F76" s="427" t="inlineStr">
        <is>
          <t>Check tìm kiếm Địa chỉ giao hàng không phân biệt hoa/thường</t>
        </is>
      </c>
      <c r="G76" s="427" t="inlineStr">
        <is>
          <t>Đang ở Bước 2/3, khối 'Người nhận', field Địa chỉ giao hàng</t>
        </is>
      </c>
      <c r="H76" s="427" t="inlineStr">
        <is>
          <t>1. Nhập từ khoá viết HOA (vd 'F-TOWN'), ghi nhận danh sách gợi ý
2. Xoá, nhập lại đúng từ khoá viết thường (vd 'f-town')</t>
        </is>
      </c>
      <c r="I76" s="427" t="inlineStr">
        <is>
          <t>1. Danh sách gợi ý hiện ra khớp text
2. Danh sách gợi ý ở bước 2 giống hệt bước 1 (không phân biệt hoa/thường)</t>
        </is>
      </c>
      <c r="J76" s="426" t="inlineStr">
        <is>
          <t>AI</t>
        </is>
      </c>
      <c r="K76" s="426" t="inlineStr">
        <is>
          <t>Pending</t>
        </is>
      </c>
      <c r="L76" s="426" t="inlineStr">
        <is>
          <t>No</t>
        </is>
      </c>
      <c r="M76" s="426" t="n"/>
      <c r="N76" s="428" t="n"/>
      <c r="O76" s="428" t="n"/>
      <c r="P76" s="428" t="n"/>
      <c r="Q76" s="428" t="n"/>
      <c r="R76" s="428" t="n"/>
      <c r="S76" s="428" t="n"/>
      <c r="T76" s="428" t="n"/>
      <c r="U76" s="428" t="n"/>
      <c r="V76" s="428" t="n"/>
      <c r="W76" s="428" t="n"/>
      <c r="X76" s="428" t="n"/>
      <c r="Y76" s="428" t="n"/>
      <c r="Z76" s="428" t="n"/>
      <c r="AA76" s="428" t="n"/>
      <c r="AB76" s="429" t="n"/>
      <c r="AC76" s="429" t="n"/>
      <c r="AD76" s="429" t="n"/>
      <c r="AE76" s="429" t="n"/>
      <c r="AF76" s="429" t="n"/>
      <c r="AG76" s="429" t="n"/>
      <c r="AH76" s="429" t="n"/>
      <c r="AI76" s="429" t="n"/>
      <c r="AJ76" s="429" t="n"/>
      <c r="AK76" s="429" t="n"/>
      <c r="AL76" s="429" t="n"/>
      <c r="AM76" s="430">
        <f>IF($A74="","",IF(OR($N74="Yes",$S74="Yes",$X74="Yes",$AC74="Yes",$AH74="Yes"),"Yes","No"))</f>
        <v/>
      </c>
      <c r="AN76" s="430">
        <f>IF($A74="","",IFERROR(IF($AI74&lt;&gt;"",$AI74,IF($AD74&lt;&gt;"",$AD74,IF($Y74&lt;&gt;"",$Y74,IF($T74&lt;&gt;"",$T74,IF($O74&lt;&gt;"",$O74,""))))),""))</f>
        <v/>
      </c>
      <c r="AO76" s="430">
        <f>IFERROR(IF($AJ74&lt;&gt;"",$AJ74,IF($AE74&lt;&gt;"",$AE74,IF($Z74&lt;&gt;"",$Z74,IF($U74&lt;&gt;"",$U74,IF($P74&lt;&gt;"",$P74,""))))),"")</f>
        <v/>
      </c>
      <c r="AP76" s="431" t="n"/>
      <c r="AQ76" s="224" t="n"/>
    </row>
    <row r="77" ht="45" customHeight="1" s="225">
      <c r="A77" s="426">
        <f>IF(C77="","",$C$2&amp;"."&amp;COUNTA($C$8:C77)&amp;"")</f>
        <v/>
      </c>
      <c r="B77" s="426" t="inlineStr">
        <is>
          <t>REQ-ORD-014</t>
        </is>
      </c>
      <c r="C77" s="426" t="inlineStr">
        <is>
          <t>DOC-v1.0-06</t>
        </is>
      </c>
      <c r="D77" s="426" t="inlineStr">
        <is>
          <t>Functional</t>
        </is>
      </c>
      <c r="E77" s="426" t="inlineStr">
        <is>
          <t>Medium</t>
        </is>
      </c>
      <c r="F77" s="427" t="inlineStr">
        <is>
          <t>Check gõ text ở Địa chỉ giao hàng nhưng KHÔNG chọn gợi ý → không được lưu làm địa chỉ</t>
        </is>
      </c>
      <c r="G77" s="427" t="inlineStr">
        <is>
          <t>Đang ở Bước 2/3, khối 'Người nhận', field Địa chỉ giao hàng</t>
        </is>
      </c>
      <c r="H77" s="427" t="inlineStr">
        <is>
          <t>1. Gõ 1 chuỗi text bất kỳ (vd 'f-town')
2. KHÔNG chọn gợi ý nào, bấm 'Tiếp theo' ngay</t>
        </is>
      </c>
      <c r="I77" s="427" t="inlineStr">
        <is>
          <t>1. Danh sách gợi ý hiện ra nhưng chưa có item nào được chọn
2. Bị chặn/báo lỗi (field coi như chưa hợp lệ) — hệ thống KHÔNG tự lưu nguyên text đã gõ làm địa chỉ</t>
        </is>
      </c>
      <c r="J77" s="426" t="inlineStr">
        <is>
          <t>AI</t>
        </is>
      </c>
      <c r="K77" s="426" t="inlineStr">
        <is>
          <t>Pending</t>
        </is>
      </c>
      <c r="L77" s="426" t="inlineStr">
        <is>
          <t>No</t>
        </is>
      </c>
      <c r="M77" s="426" t="n"/>
      <c r="N77" s="428" t="n"/>
      <c r="O77" s="428" t="n"/>
      <c r="P77" s="428" t="n"/>
      <c r="Q77" s="428" t="n"/>
      <c r="R77" s="428" t="n"/>
      <c r="S77" s="428" t="n"/>
      <c r="T77" s="428" t="n"/>
      <c r="U77" s="428" t="n"/>
      <c r="V77" s="428" t="n"/>
      <c r="W77" s="428" t="n"/>
      <c r="X77" s="428" t="n"/>
      <c r="Y77" s="428" t="n"/>
      <c r="Z77" s="428" t="n"/>
      <c r="AA77" s="428" t="n"/>
      <c r="AB77" s="429" t="n"/>
      <c r="AC77" s="429" t="n"/>
      <c r="AD77" s="429" t="n"/>
      <c r="AE77" s="429" t="n"/>
      <c r="AF77" s="429" t="n"/>
      <c r="AG77" s="429" t="n"/>
      <c r="AH77" s="429" t="n"/>
      <c r="AI77" s="429" t="n"/>
      <c r="AJ77" s="429" t="n"/>
      <c r="AK77" s="429" t="n"/>
      <c r="AL77" s="429" t="n"/>
      <c r="AM77" s="430">
        <f>IF($A75="","",IF(OR($N75="Yes",$S75="Yes",$X75="Yes",$AC75="Yes",$AH75="Yes"),"Yes","No"))</f>
        <v/>
      </c>
      <c r="AN77" s="430">
        <f>IF($A75="","",IFERROR(IF($AI75&lt;&gt;"",$AI75,IF($AD75&lt;&gt;"",$AD75,IF($Y75&lt;&gt;"",$Y75,IF($T75&lt;&gt;"",$T75,IF($O75&lt;&gt;"",$O75,""))))),""))</f>
        <v/>
      </c>
      <c r="AO77" s="430">
        <f>IFERROR(IF($AJ75&lt;&gt;"",$AJ75,IF($AE75&lt;&gt;"",$AE75,IF($Z75&lt;&gt;"",$Z75,IF($U75&lt;&gt;"",$U75,IF($P75&lt;&gt;"",$P75,""))))),"")</f>
        <v/>
      </c>
      <c r="AP77" s="431" t="n"/>
      <c r="AQ77" s="224" t="n"/>
    </row>
    <row r="78" ht="15.75" customHeight="1" s="225">
      <c r="A78" s="426" t="n"/>
      <c r="B78" s="432" t="inlineStr">
        <is>
          <t>Block Thời gian</t>
        </is>
      </c>
      <c r="C78" s="233" t="n"/>
      <c r="D78" s="233" t="n"/>
      <c r="E78" s="233" t="n"/>
      <c r="F78" s="233" t="n"/>
      <c r="G78" s="233" t="n"/>
      <c r="H78" s="233" t="n"/>
      <c r="I78" s="231" t="n"/>
      <c r="J78" s="426" t="n"/>
      <c r="K78" s="426" t="n"/>
      <c r="L78" s="426" t="n"/>
      <c r="M78" s="426" t="n"/>
      <c r="N78" s="428" t="n"/>
      <c r="O78" s="428" t="n"/>
      <c r="P78" s="428" t="n"/>
      <c r="Q78" s="428" t="n"/>
      <c r="R78" s="428" t="n"/>
      <c r="S78" s="428" t="n"/>
      <c r="T78" s="428" t="n"/>
      <c r="U78" s="428" t="n"/>
      <c r="V78" s="428" t="n"/>
      <c r="W78" s="428" t="n"/>
      <c r="X78" s="428" t="n"/>
      <c r="Y78" s="428" t="n"/>
      <c r="Z78" s="428" t="n"/>
      <c r="AA78" s="428" t="n"/>
      <c r="AB78" s="429" t="n"/>
      <c r="AC78" s="429" t="n"/>
      <c r="AD78" s="429" t="n"/>
      <c r="AE78" s="429" t="n"/>
      <c r="AF78" s="429" t="n"/>
      <c r="AG78" s="429" t="n"/>
      <c r="AH78" s="429" t="n"/>
      <c r="AI78" s="429" t="n"/>
      <c r="AJ78" s="429" t="n"/>
      <c r="AK78" s="429" t="n"/>
      <c r="AL78" s="429" t="n"/>
      <c r="AM78" s="430" t="n"/>
      <c r="AN78" s="430" t="n"/>
      <c r="AO78" s="430" t="n"/>
      <c r="AP78" s="431" t="n"/>
      <c r="AQ78" s="224" t="n"/>
    </row>
    <row r="79" ht="55" customHeight="1" s="225">
      <c r="A79" s="426">
        <f>IF(C79="","",$C$2&amp;"."&amp;COUNTA($C$8:C79)&amp;"")</f>
        <v/>
      </c>
      <c r="B79" s="426" t="inlineStr">
        <is>
          <t>REQ-ORD-002, REQ-ORD-012</t>
        </is>
      </c>
      <c r="C79" s="426" t="inlineStr">
        <is>
          <t>DOC-v1.0-01 (BRD v3.2 §D8.1/D8.2)</t>
        </is>
      </c>
      <c r="D79" s="426" t="inlineStr">
        <is>
          <t>UI</t>
        </is>
      </c>
      <c r="E79" s="426" t="inlineStr">
        <is>
          <t>Medium</t>
        </is>
      </c>
      <c r="F79" s="427" t="inlineStr">
        <is>
          <t>Check đầy đủ 2 nhóm field Thời gian với giá trị mặc định</t>
        </is>
      </c>
      <c r="G79" s="427" t="inlineStr">
        <is>
          <t>Vừa vào Bước 2/3 lần đầu, form MỚI/SẠCH chưa sửa gì</t>
        </is>
      </c>
      <c r="H79" s="427" t="inlineStr">
        <is>
          <t>1. Quan sát khối 'Thời gian'</t>
        </is>
      </c>
      <c r="I79" s="427" t="inlineStr">
        <is>
          <t>1. Hiển thị đủ:
- Từ ngày/Đến ngày (mặc định = hôm nay)
- Khung giờ mong muốn Từ/Đến (mặc định 17:00–18:30)</t>
        </is>
      </c>
      <c r="J79" s="426" t="inlineStr">
        <is>
          <t>AI</t>
        </is>
      </c>
      <c r="K79" s="426" t="inlineStr">
        <is>
          <t>Pending</t>
        </is>
      </c>
      <c r="L79" s="426" t="inlineStr">
        <is>
          <t>No</t>
        </is>
      </c>
      <c r="M79" s="426" t="n"/>
      <c r="N79" s="428" t="n"/>
      <c r="O79" s="428" t="n"/>
      <c r="P79" s="428" t="n"/>
      <c r="Q79" s="428" t="n"/>
      <c r="R79" s="428" t="n"/>
      <c r="S79" s="428" t="n"/>
      <c r="T79" s="428" t="n"/>
      <c r="U79" s="428" t="n"/>
      <c r="V79" s="428" t="n"/>
      <c r="W79" s="428" t="n"/>
      <c r="X79" s="428" t="n"/>
      <c r="Y79" s="428" t="n"/>
      <c r="Z79" s="428" t="n"/>
      <c r="AA79" s="428" t="n"/>
      <c r="AB79" s="429" t="n"/>
      <c r="AC79" s="429" t="n"/>
      <c r="AD79" s="429" t="n"/>
      <c r="AE79" s="429" t="n"/>
      <c r="AF79" s="429" t="n"/>
      <c r="AG79" s="429" t="n"/>
      <c r="AH79" s="429" t="n"/>
      <c r="AI79" s="429" t="n"/>
      <c r="AJ79" s="429" t="n"/>
      <c r="AK79" s="429" t="n"/>
      <c r="AL79" s="429" t="n"/>
      <c r="AM79" s="430">
        <f>IF($A77="","",IF(OR($N77="Yes",$S77="Yes",$X77="Yes",$AC77="Yes",$AH77="Yes"),"Yes","No"))</f>
        <v/>
      </c>
      <c r="AN79" s="430">
        <f>IF($A77="","",IFERROR(IF($AI77&lt;&gt;"",$AI77,IF($AD77&lt;&gt;"",$AD77,IF($Y77&lt;&gt;"",$Y77,IF($T77&lt;&gt;"",$T77,IF($O77&lt;&gt;"",$O77,""))))),""))</f>
        <v/>
      </c>
      <c r="AO79" s="430">
        <f>IFERROR(IF($AJ77&lt;&gt;"",$AJ77,IF($AE77&lt;&gt;"",$AE77,IF($Z77&lt;&gt;"",$Z77,IF($U77&lt;&gt;"",$U77,IF($P77&lt;&gt;"",$P77,""))))),"")</f>
        <v/>
      </c>
      <c r="AP79" s="431" t="inlineStr">
        <is>
          <t>Field/column completeness check — auto-derived (xem generate.md Step 3b)</t>
        </is>
      </c>
      <c r="AQ79" s="224" t="n"/>
    </row>
    <row r="80" ht="15.75" customHeight="1" s="225">
      <c r="A80" s="426">
        <f>IF(C80="","",$C$2&amp;"."&amp;COUNTA($C$8:C80)&amp;"")</f>
        <v/>
      </c>
      <c r="B80" s="426" t="inlineStr">
        <is>
          <t>REQ-ORD-012</t>
        </is>
      </c>
      <c r="C80" s="426" t="inlineStr">
        <is>
          <t>DOC-v1.0-01</t>
        </is>
      </c>
      <c r="D80" s="426" t="inlineStr">
        <is>
          <t>Functional</t>
        </is>
      </c>
      <c r="E80" s="426" t="inlineStr">
        <is>
          <t>Medium</t>
        </is>
      </c>
      <c r="F80" s="427" t="inlineStr">
        <is>
          <t>Check chọn Đến ngày trước Từ ngày bị chặn</t>
        </is>
      </c>
      <c r="G80" s="427" t="inlineStr">
        <is>
          <t>Đang ở Bước 2/3, khối Thời gian</t>
        </is>
      </c>
      <c r="H80" s="427" t="inlineStr">
        <is>
          <t>1. Giữ Từ ngày = hôm nay
2. Chọn Đến ngày = hôm qua (trước Từ ngày)
3. Bấm 'Tiếp theo'</t>
        </is>
      </c>
      <c r="I80" s="427" t="inlineStr">
        <is>
          <t>1. Từ ngày hiển thị đúng ngày hiện tại
2. Đến ngày nhận giá trị vừa chọn
3. Bị chặn/báo lỗi 'Đến ngày phải ≥ Từ ngày', không cho qua Bước 3/3</t>
        </is>
      </c>
      <c r="J80" s="426" t="inlineStr">
        <is>
          <t>AI</t>
        </is>
      </c>
      <c r="K80" s="426" t="inlineStr">
        <is>
          <t>Pending</t>
        </is>
      </c>
      <c r="L80" s="426" t="inlineStr">
        <is>
          <t>No</t>
        </is>
      </c>
      <c r="M80" s="426" t="n"/>
      <c r="N80" s="428" t="n"/>
      <c r="O80" s="428" t="n"/>
      <c r="P80" s="428" t="n"/>
      <c r="Q80" s="428" t="n"/>
      <c r="R80" s="428" t="n"/>
      <c r="S80" s="428" t="n"/>
      <c r="T80" s="428" t="n"/>
      <c r="U80" s="428" t="n"/>
      <c r="V80" s="428" t="n"/>
      <c r="W80" s="428" t="n"/>
      <c r="X80" s="428" t="n"/>
      <c r="Y80" s="428" t="n"/>
      <c r="Z80" s="428" t="n"/>
      <c r="AA80" s="428" t="n"/>
      <c r="AB80" s="429" t="n"/>
      <c r="AC80" s="429" t="n"/>
      <c r="AD80" s="429" t="n"/>
      <c r="AE80" s="429" t="n"/>
      <c r="AF80" s="429" t="n"/>
      <c r="AG80" s="429" t="n"/>
      <c r="AH80" s="429" t="n"/>
      <c r="AI80" s="429" t="n"/>
      <c r="AJ80" s="429" t="n"/>
      <c r="AK80" s="429" t="n"/>
      <c r="AL80" s="429" t="n"/>
      <c r="AM80" s="430">
        <f>IF($A78="","",IF(OR($N78="Yes",$S78="Yes",$X78="Yes",$AC78="Yes",$AH78="Yes"),"Yes","No"))</f>
        <v/>
      </c>
      <c r="AN80" s="430">
        <f>IF($A78="","",IFERROR(IF($AI78&lt;&gt;"",$AI78,IF($AD78&lt;&gt;"",$AD78,IF($Y78&lt;&gt;"",$Y78,IF($T78&lt;&gt;"",$T78,IF($O78&lt;&gt;"",$O78,""))))),""))</f>
        <v/>
      </c>
      <c r="AO80" s="430">
        <f>IFERROR(IF($AJ78&lt;&gt;"",$AJ78,IF($AE78&lt;&gt;"",$AE78,IF($Z78&lt;&gt;"",$Z78,IF($U78&lt;&gt;"",$U78,IF($P78&lt;&gt;"",$P78,""))))),"")</f>
        <v/>
      </c>
      <c r="AP80" s="431" t="inlineStr">
        <is>
          <t>Technique: EP-invalid-DenNgay-truoc-TuNgay</t>
        </is>
      </c>
      <c r="AQ80" s="224" t="n"/>
    </row>
    <row r="81" ht="15.75" customHeight="1" s="225">
      <c r="A81" s="426">
        <f>IF(C81="","",$C$2&amp;"."&amp;COUNTA($C$8:C81)&amp;"")</f>
        <v/>
      </c>
      <c r="B81" s="426" t="inlineStr">
        <is>
          <t>REQ-ORD-012</t>
        </is>
      </c>
      <c r="C81" s="426" t="inlineStr">
        <is>
          <t>DOC-v1.0-01 (BRD v3.2 §D8.1/D8.2)</t>
        </is>
      </c>
      <c r="D81" s="426" t="inlineStr">
        <is>
          <t>Functional</t>
        </is>
      </c>
      <c r="E81" s="426" t="inlineStr">
        <is>
          <t>Medium</t>
        </is>
      </c>
      <c r="F81" s="427" t="inlineStr">
        <is>
          <t>Check khung giờ mong muốn cách nhau 29 phút</t>
        </is>
      </c>
      <c r="G81" s="427" t="inlineStr">
        <is>
          <t>Đang ở Bước 2/3, khối Thời gian</t>
        </is>
      </c>
      <c r="H81" s="427" t="inlineStr">
        <is>
          <t>1. Nhập khung giờ mong muốn: 17:00 – 17:29
2. Bấm 'Tiếp theo'</t>
        </is>
      </c>
      <c r="I81" s="427" t="inlineStr">
        <is>
          <t>1. Khung giờ hiển thị đúng giá trị vừa nhập
2. Bị chặn/báo lỗi khung giờ phải cách nhau tối thiểu 30 phút</t>
        </is>
      </c>
      <c r="J81" s="426" t="inlineStr">
        <is>
          <t>AI</t>
        </is>
      </c>
      <c r="K81" s="426" t="inlineStr">
        <is>
          <t>Pending</t>
        </is>
      </c>
      <c r="L81" s="426" t="inlineStr">
        <is>
          <t>No</t>
        </is>
      </c>
      <c r="M81" s="426" t="n"/>
      <c r="N81" s="428" t="n"/>
      <c r="O81" s="428" t="n"/>
      <c r="P81" s="428" t="n"/>
      <c r="Q81" s="428" t="n"/>
      <c r="R81" s="428" t="n"/>
      <c r="S81" s="428" t="n"/>
      <c r="T81" s="428" t="n"/>
      <c r="U81" s="428" t="n"/>
      <c r="V81" s="428" t="n"/>
      <c r="W81" s="428" t="n"/>
      <c r="X81" s="428" t="n"/>
      <c r="Y81" s="428" t="n"/>
      <c r="Z81" s="428" t="n"/>
      <c r="AA81" s="428" t="n"/>
      <c r="AB81" s="429" t="n"/>
      <c r="AC81" s="429" t="n"/>
      <c r="AD81" s="429" t="n"/>
      <c r="AE81" s="429" t="n"/>
      <c r="AF81" s="429" t="n"/>
      <c r="AG81" s="429" t="n"/>
      <c r="AH81" s="429" t="n"/>
      <c r="AI81" s="429" t="n"/>
      <c r="AJ81" s="429" t="n"/>
      <c r="AK81" s="429" t="n"/>
      <c r="AL81" s="429" t="n"/>
      <c r="AM81" s="430">
        <f>IF($A79="","",IF(OR($N79="Yes",$S79="Yes",$X79="Yes",$AC79="Yes",$AH79="Yes"),"Yes","No"))</f>
        <v/>
      </c>
      <c r="AN81" s="430">
        <f>IF($A79="","",IFERROR(IF($AI79&lt;&gt;"",$AI79,IF($AD79&lt;&gt;"",$AD79,IF($Y79&lt;&gt;"",$Y79,IF($T79&lt;&gt;"",$T79,IF($O79&lt;&gt;"",$O79,""))))),""))</f>
        <v/>
      </c>
      <c r="AO81" s="430">
        <f>IFERROR(IF($AJ79&lt;&gt;"",$AJ79,IF($AE79&lt;&gt;"",$AE79,IF($Z79&lt;&gt;"",$Z79,IF($U79&lt;&gt;"",$U79,IF($P79&lt;&gt;"",$P79,""))))),"")</f>
        <v/>
      </c>
      <c r="AP81" s="431" t="inlineStr">
        <is>
          <t>Technique: BVA-min-1 (KhungGioNEED)</t>
        </is>
      </c>
      <c r="AQ81" s="224" t="n"/>
    </row>
    <row r="82" ht="15.75" customHeight="1" s="225">
      <c r="A82" s="426">
        <f>IF(C82="","",$C$2&amp;"."&amp;COUNTA($C$8:C82)&amp;"")</f>
        <v/>
      </c>
      <c r="B82" s="426" t="inlineStr">
        <is>
          <t>REQ-ORD-012</t>
        </is>
      </c>
      <c r="C82" s="426" t="inlineStr">
        <is>
          <t>DOC-v1.0-01 (BRD v3.2 §D8.1/D8.2)</t>
        </is>
      </c>
      <c r="D82" s="426" t="inlineStr">
        <is>
          <t>Functional</t>
        </is>
      </c>
      <c r="E82" s="426" t="inlineStr">
        <is>
          <t>Medium</t>
        </is>
      </c>
      <c r="F82" s="427" t="inlineStr">
        <is>
          <t>Check khung giờ mong muốn cách nhau 30 phút (biên)</t>
        </is>
      </c>
      <c r="G82" s="427" t="inlineStr">
        <is>
          <t>Đang ở Bước 2/3, khối Thời gian</t>
        </is>
      </c>
      <c r="H82" s="427" t="inlineStr">
        <is>
          <t>1. Nhập khung giờ mong muốn: 17:00 – 17:30
2. Bấm 'Tiếp theo'</t>
        </is>
      </c>
      <c r="I82" s="427" t="inlineStr">
        <is>
          <t>1. Khung giờ hiển thị đúng giá trị vừa nhập
2. Được chấp nhận, hợp lệ</t>
        </is>
      </c>
      <c r="J82" s="426" t="inlineStr">
        <is>
          <t>AI</t>
        </is>
      </c>
      <c r="K82" s="426" t="inlineStr">
        <is>
          <t>Pending</t>
        </is>
      </c>
      <c r="L82" s="426" t="inlineStr">
        <is>
          <t>No</t>
        </is>
      </c>
      <c r="M82" s="426" t="n"/>
      <c r="N82" s="428" t="n"/>
      <c r="O82" s="428" t="n"/>
      <c r="P82" s="428" t="n"/>
      <c r="Q82" s="428" t="n"/>
      <c r="R82" s="428" t="n"/>
      <c r="S82" s="428" t="n"/>
      <c r="T82" s="428" t="n"/>
      <c r="U82" s="428" t="n"/>
      <c r="V82" s="428" t="n"/>
      <c r="W82" s="428" t="n"/>
      <c r="X82" s="428" t="n"/>
      <c r="Y82" s="428" t="n"/>
      <c r="Z82" s="428" t="n"/>
      <c r="AA82" s="428" t="n"/>
      <c r="AB82" s="429" t="n"/>
      <c r="AC82" s="429" t="n"/>
      <c r="AD82" s="429" t="n"/>
      <c r="AE82" s="429" t="n"/>
      <c r="AF82" s="429" t="n"/>
      <c r="AG82" s="429" t="n"/>
      <c r="AH82" s="429" t="n"/>
      <c r="AI82" s="429" t="n"/>
      <c r="AJ82" s="429" t="n"/>
      <c r="AK82" s="429" t="n"/>
      <c r="AL82" s="429" t="n"/>
      <c r="AM82" s="430">
        <f>IF($A80="","",IF(OR($N80="Yes",$S80="Yes",$X80="Yes",$AC80="Yes",$AH80="Yes"),"Yes","No"))</f>
        <v/>
      </c>
      <c r="AN82" s="430">
        <f>IF($A80="","",IFERROR(IF($AI80&lt;&gt;"",$AI80,IF($AD80&lt;&gt;"",$AD80,IF($Y80&lt;&gt;"",$Y80,IF($T80&lt;&gt;"",$T80,IF($O80&lt;&gt;"",$O80,""))))),""))</f>
        <v/>
      </c>
      <c r="AO82" s="430">
        <f>IFERROR(IF($AJ80&lt;&gt;"",$AJ80,IF($AE80&lt;&gt;"",$AE80,IF($Z80&lt;&gt;"",$Z80,IF($U80&lt;&gt;"",$U80,IF($P80&lt;&gt;"",$P80,""))))),"")</f>
        <v/>
      </c>
      <c r="AP82" s="431" t="inlineStr">
        <is>
          <t>Technique: BVA-min (KhungGioNEED)</t>
        </is>
      </c>
      <c r="AQ82" s="224" t="n"/>
    </row>
    <row r="83" ht="15.75" customHeight="1" s="225">
      <c r="A83" s="426">
        <f>IF(C83="","",$C$2&amp;"."&amp;COUNTA($C$8:C83)&amp;"")</f>
        <v/>
      </c>
      <c r="B83" s="426" t="inlineStr">
        <is>
          <t>REQ-ORD-012</t>
        </is>
      </c>
      <c r="C83" s="426" t="inlineStr">
        <is>
          <t>DOC-v1.0-01 (BRD v3.2 §D8.1/D8.2)</t>
        </is>
      </c>
      <c r="D83" s="426" t="inlineStr">
        <is>
          <t>Functional</t>
        </is>
      </c>
      <c r="E83" s="426" t="inlineStr">
        <is>
          <t>Medium</t>
        </is>
      </c>
      <c r="F83" s="427" t="inlineStr">
        <is>
          <t>Check khung giờ mong muốn cách nhau 31 phút</t>
        </is>
      </c>
      <c r="G83" s="427" t="inlineStr">
        <is>
          <t>Đang ở Bước 2/3, khối Thời gian</t>
        </is>
      </c>
      <c r="H83" s="427" t="inlineStr">
        <is>
          <t>1. Nhập khung giờ mong muốn: 17:00 – 17:31
2. Bấm 'Tiếp theo'</t>
        </is>
      </c>
      <c r="I83" s="427" t="inlineStr">
        <is>
          <t>1. Khung giờ hiển thị đúng giá trị vừa nhập
2. Được chấp nhận, hợp lệ</t>
        </is>
      </c>
      <c r="J83" s="426" t="inlineStr">
        <is>
          <t>AI</t>
        </is>
      </c>
      <c r="K83" s="426" t="inlineStr">
        <is>
          <t>Pending</t>
        </is>
      </c>
      <c r="L83" s="426" t="inlineStr">
        <is>
          <t>No</t>
        </is>
      </c>
      <c r="M83" s="426" t="n"/>
      <c r="N83" s="428" t="n"/>
      <c r="O83" s="428" t="n"/>
      <c r="P83" s="428" t="n"/>
      <c r="Q83" s="428" t="n"/>
      <c r="R83" s="428" t="n"/>
      <c r="S83" s="428" t="n"/>
      <c r="T83" s="428" t="n"/>
      <c r="U83" s="428" t="n"/>
      <c r="V83" s="428" t="n"/>
      <c r="W83" s="428" t="n"/>
      <c r="X83" s="428" t="n"/>
      <c r="Y83" s="428" t="n"/>
      <c r="Z83" s="428" t="n"/>
      <c r="AA83" s="428" t="n"/>
      <c r="AB83" s="429" t="n"/>
      <c r="AC83" s="429" t="n"/>
      <c r="AD83" s="429" t="n"/>
      <c r="AE83" s="429" t="n"/>
      <c r="AF83" s="429" t="n"/>
      <c r="AG83" s="429" t="n"/>
      <c r="AH83" s="429" t="n"/>
      <c r="AI83" s="429" t="n"/>
      <c r="AJ83" s="429" t="n"/>
      <c r="AK83" s="429" t="n"/>
      <c r="AL83" s="429" t="n"/>
      <c r="AM83" s="430">
        <f>IF($A81="","",IF(OR($N81="Yes",$S81="Yes",$X81="Yes",$AC81="Yes",$AH81="Yes"),"Yes","No"))</f>
        <v/>
      </c>
      <c r="AN83" s="430">
        <f>IF($A81="","",IFERROR(IF($AI81&lt;&gt;"",$AI81,IF($AD81&lt;&gt;"",$AD81,IF($Y81&lt;&gt;"",$Y81,IF($T81&lt;&gt;"",$T81,IF($O81&lt;&gt;"",$O81,""))))),""))</f>
        <v/>
      </c>
      <c r="AO83" s="430">
        <f>IFERROR(IF($AJ81&lt;&gt;"",$AJ81,IF($AE81&lt;&gt;"",$AE81,IF($Z81&lt;&gt;"",$Z81,IF($U81&lt;&gt;"",$U81,IF($P81&lt;&gt;"",$P81,""))))),"")</f>
        <v/>
      </c>
      <c r="AP83" s="431" t="inlineStr">
        <is>
          <t>Technique: BVA-min+1 (KhungGioNEED)</t>
        </is>
      </c>
      <c r="AQ83" s="224" t="n"/>
    </row>
    <row r="84" ht="15.75" customHeight="1" s="225">
      <c r="A84" s="426">
        <f>IF(C84="","",$C$2&amp;"."&amp;COUNTA($C$8:C84)&amp;"")</f>
        <v/>
      </c>
      <c r="B84" s="426" t="inlineStr">
        <is>
          <t>REQ-ORD-012</t>
        </is>
      </c>
      <c r="C84" s="426" t="inlineStr">
        <is>
          <t>DOC-v1.0-01 (BRD v3.2 §D8.1/D8.2)</t>
        </is>
      </c>
      <c r="D84" s="426" t="inlineStr">
        <is>
          <t>Functional</t>
        </is>
      </c>
      <c r="E84" s="426" t="inlineStr">
        <is>
          <t>Low</t>
        </is>
      </c>
      <c r="F84" s="427" t="inlineStr">
        <is>
          <t>Check khung giờ mong muốn Đến = Từ bị chặn</t>
        </is>
      </c>
      <c r="G84" s="427" t="inlineStr">
        <is>
          <t>Đang ở Bước 2/3, khối Thời gian</t>
        </is>
      </c>
      <c r="H84" s="427" t="inlineStr">
        <is>
          <t>1. Nhập khung giờ mong muốn: 17:00 – 17:00 (Đến = Từ)
2. Bấm 'Tiếp theo'</t>
        </is>
      </c>
      <c r="I84" s="427" t="inlineStr">
        <is>
          <t>1. Khung giờ hiển thị đúng giá trị vừa nhập
2. Bị chặn/báo lỗi 'đến phải &gt; từ'</t>
        </is>
      </c>
      <c r="J84" s="426" t="inlineStr">
        <is>
          <t>AI</t>
        </is>
      </c>
      <c r="K84" s="426" t="inlineStr">
        <is>
          <t>Pending</t>
        </is>
      </c>
      <c r="L84" s="426" t="inlineStr">
        <is>
          <t>No</t>
        </is>
      </c>
      <c r="M84" s="426" t="n"/>
      <c r="N84" s="428" t="n"/>
      <c r="O84" s="428" t="n"/>
      <c r="P84" s="428" t="n"/>
      <c r="Q84" s="428" t="n"/>
      <c r="R84" s="428" t="n"/>
      <c r="S84" s="428" t="n"/>
      <c r="T84" s="428" t="n"/>
      <c r="U84" s="428" t="n"/>
      <c r="V84" s="428" t="n"/>
      <c r="W84" s="428" t="n"/>
      <c r="X84" s="428" t="n"/>
      <c r="Y84" s="428" t="n"/>
      <c r="Z84" s="428" t="n"/>
      <c r="AA84" s="428" t="n"/>
      <c r="AB84" s="429" t="n"/>
      <c r="AC84" s="429" t="n"/>
      <c r="AD84" s="429" t="n"/>
      <c r="AE84" s="429" t="n"/>
      <c r="AF84" s="429" t="n"/>
      <c r="AG84" s="429" t="n"/>
      <c r="AH84" s="429" t="n"/>
      <c r="AI84" s="429" t="n"/>
      <c r="AJ84" s="429" t="n"/>
      <c r="AK84" s="429" t="n"/>
      <c r="AL84" s="429" t="n"/>
      <c r="AM84" s="430">
        <f>IF($A82="","",IF(OR($N82="Yes",$S82="Yes",$X82="Yes",$AC82="Yes",$AH82="Yes"),"Yes","No"))</f>
        <v/>
      </c>
      <c r="AN84" s="430">
        <f>IF($A82="","",IFERROR(IF($AI82&lt;&gt;"",$AI82,IF($AD82&lt;&gt;"",$AD82,IF($Y82&lt;&gt;"",$Y82,IF($T82&lt;&gt;"",$T82,IF($O82&lt;&gt;"",$O82,""))))),""))</f>
        <v/>
      </c>
      <c r="AO84" s="430">
        <f>IFERROR(IF($AJ82&lt;&gt;"",$AJ82,IF($AE82&lt;&gt;"",$AE82,IF($Z82&lt;&gt;"",$Z82,IF($U82&lt;&gt;"",$U82,IF($P82&lt;&gt;"",$P82,""))))),"")</f>
        <v/>
      </c>
      <c r="AP84" s="431" t="inlineStr">
        <is>
          <t>Technique: EP-invalid-Den-bang-Tu</t>
        </is>
      </c>
      <c r="AQ84" s="224" t="n"/>
    </row>
    <row r="85" ht="15.75" customHeight="1" s="225">
      <c r="A85" s="426">
        <f>IF(C85="","",$C$2&amp;"."&amp;COUNTA($C$8:C85)&amp;"")</f>
        <v/>
      </c>
      <c r="B85" s="426" t="inlineStr">
        <is>
          <t>REQ-ORD-012</t>
        </is>
      </c>
      <c r="C85" s="426" t="inlineStr">
        <is>
          <t>DOC-v1.0-01 (BRD v3.2 §D8.1/D8.2)</t>
        </is>
      </c>
      <c r="D85" s="426" t="inlineStr">
        <is>
          <t>Functional</t>
        </is>
      </c>
      <c r="E85" s="426" t="inlineStr">
        <is>
          <t>Low</t>
        </is>
      </c>
      <c r="F85" s="427" t="inlineStr">
        <is>
          <t>Check khung giờ mong muốn Đến trước Từ bị chặn</t>
        </is>
      </c>
      <c r="G85" s="427" t="inlineStr">
        <is>
          <t>Đang ở Bước 2/3, khối Thời gian</t>
        </is>
      </c>
      <c r="H85" s="427" t="inlineStr">
        <is>
          <t>1. Nhập khung giờ mong muốn: 17:30 – 17:00 (Đến &lt; Từ)
2. Bấm 'Tiếp theo'</t>
        </is>
      </c>
      <c r="I85" s="427" t="inlineStr">
        <is>
          <t>1. Khung giờ hiển thị đúng giá trị vừa nhập
2. Bị chặn/báo lỗi 'đến phải &gt; từ'</t>
        </is>
      </c>
      <c r="J85" s="426" t="inlineStr">
        <is>
          <t>AI</t>
        </is>
      </c>
      <c r="K85" s="426" t="inlineStr">
        <is>
          <t>Pending</t>
        </is>
      </c>
      <c r="L85" s="426" t="inlineStr">
        <is>
          <t>No</t>
        </is>
      </c>
      <c r="M85" s="426" t="n"/>
      <c r="N85" s="428" t="n"/>
      <c r="O85" s="428" t="n"/>
      <c r="P85" s="428" t="n"/>
      <c r="Q85" s="428" t="n"/>
      <c r="R85" s="428" t="n"/>
      <c r="S85" s="428" t="n"/>
      <c r="T85" s="428" t="n"/>
      <c r="U85" s="428" t="n"/>
      <c r="V85" s="428" t="n"/>
      <c r="W85" s="428" t="n"/>
      <c r="X85" s="428" t="n"/>
      <c r="Y85" s="428" t="n"/>
      <c r="Z85" s="428" t="n"/>
      <c r="AA85" s="428" t="n"/>
      <c r="AB85" s="429" t="n"/>
      <c r="AC85" s="429" t="n"/>
      <c r="AD85" s="429" t="n"/>
      <c r="AE85" s="429" t="n"/>
      <c r="AF85" s="429" t="n"/>
      <c r="AG85" s="429" t="n"/>
      <c r="AH85" s="429" t="n"/>
      <c r="AI85" s="429" t="n"/>
      <c r="AJ85" s="429" t="n"/>
      <c r="AK85" s="429" t="n"/>
      <c r="AL85" s="429" t="n"/>
      <c r="AM85" s="430">
        <f>IF($A83="","",IF(OR($N83="Yes",$S83="Yes",$X83="Yes",$AC83="Yes",$AH83="Yes"),"Yes","No"))</f>
        <v/>
      </c>
      <c r="AN85" s="430">
        <f>IF($A83="","",IFERROR(IF($AI83&lt;&gt;"",$AI83,IF($AD83&lt;&gt;"",$AD83,IF($Y83&lt;&gt;"",$Y83,IF($T83&lt;&gt;"",$T83,IF($O83&lt;&gt;"",$O83,""))))),""))</f>
        <v/>
      </c>
      <c r="AO85" s="430">
        <f>IFERROR(IF($AJ83&lt;&gt;"",$AJ83,IF($AE83&lt;&gt;"",$AE83,IF($Z83&lt;&gt;"",$Z83,IF($U83&lt;&gt;"",$U83,IF($P83&lt;&gt;"",$P83,""))))),"")</f>
        <v/>
      </c>
      <c r="AP85" s="431" t="inlineStr">
        <is>
          <t>Technique: EP-invalid-Den-truoc-Tu</t>
        </is>
      </c>
      <c r="AQ85" s="224" t="n"/>
    </row>
    <row r="86" ht="15.75" customHeight="1" s="225">
      <c r="A86" s="423" t="inlineStr">
        <is>
          <t>Wizard đăng tin — Bước 3/3 (Xác nhận &amp; Đăng tin)</t>
        </is>
      </c>
      <c r="B86" s="233" t="n"/>
      <c r="C86" s="233" t="n"/>
      <c r="D86" s="233" t="n"/>
      <c r="E86" s="233" t="n"/>
      <c r="F86" s="233" t="n"/>
      <c r="G86" s="233" t="n"/>
      <c r="H86" s="233" t="n"/>
      <c r="I86" s="231" t="n"/>
      <c r="J86" s="424" t="n"/>
      <c r="K86" s="424" t="n"/>
      <c r="L86" s="424" t="n"/>
      <c r="M86" s="424" t="n"/>
      <c r="N86" s="425" t="n"/>
      <c r="O86" s="425" t="n"/>
      <c r="P86" s="425" t="n"/>
      <c r="Q86" s="425" t="n"/>
      <c r="R86" s="425" t="n"/>
      <c r="S86" s="425" t="n"/>
      <c r="T86" s="425" t="n"/>
      <c r="U86" s="425" t="n"/>
      <c r="V86" s="425" t="n"/>
      <c r="W86" s="425" t="n"/>
      <c r="X86" s="425" t="n"/>
      <c r="Y86" s="425" t="n"/>
      <c r="Z86" s="425" t="n"/>
      <c r="AA86" s="425" t="n"/>
      <c r="AB86" s="421" t="n"/>
      <c r="AC86" s="421" t="n"/>
      <c r="AD86" s="421" t="n"/>
      <c r="AE86" s="421" t="n"/>
      <c r="AF86" s="421" t="n"/>
      <c r="AG86" s="421" t="n"/>
      <c r="AH86" s="421" t="n"/>
      <c r="AI86" s="421" t="n"/>
      <c r="AJ86" s="421" t="n"/>
      <c r="AK86" s="421" t="n"/>
      <c r="AL86" s="421" t="n"/>
      <c r="AM86" s="422" t="n"/>
      <c r="AN86" s="422" t="n"/>
      <c r="AO86" s="422" t="n"/>
      <c r="AP86" s="422" t="n"/>
      <c r="AQ86" s="224" t="n"/>
    </row>
    <row r="87" ht="15.75" customHeight="1" s="225">
      <c r="A87" s="426" t="n"/>
      <c r="B87" s="432" t="inlineStr">
        <is>
          <t>Block Tóm tắt &amp; điều khoản</t>
        </is>
      </c>
      <c r="C87" s="233" t="n"/>
      <c r="D87" s="233" t="n"/>
      <c r="E87" s="233" t="n"/>
      <c r="F87" s="233" t="n"/>
      <c r="G87" s="233" t="n"/>
      <c r="H87" s="233" t="n"/>
      <c r="I87" s="231" t="n"/>
      <c r="J87" s="426" t="n"/>
      <c r="K87" s="426" t="n"/>
      <c r="L87" s="426" t="n"/>
      <c r="M87" s="426" t="n"/>
      <c r="N87" s="428" t="n"/>
      <c r="O87" s="428" t="n"/>
      <c r="P87" s="428" t="n"/>
      <c r="Q87" s="428" t="n"/>
      <c r="R87" s="428" t="n"/>
      <c r="S87" s="428" t="n"/>
      <c r="T87" s="428" t="n"/>
      <c r="U87" s="428" t="n"/>
      <c r="V87" s="428" t="n"/>
      <c r="W87" s="428" t="n"/>
      <c r="X87" s="428" t="n"/>
      <c r="Y87" s="428" t="n"/>
      <c r="Z87" s="428" t="n"/>
      <c r="AA87" s="428" t="n"/>
      <c r="AB87" s="429" t="n"/>
      <c r="AC87" s="429" t="n"/>
      <c r="AD87" s="429" t="n"/>
      <c r="AE87" s="429" t="n"/>
      <c r="AF87" s="429" t="n"/>
      <c r="AG87" s="429" t="n"/>
      <c r="AH87" s="429" t="n"/>
      <c r="AI87" s="429" t="n"/>
      <c r="AJ87" s="429" t="n"/>
      <c r="AK87" s="429" t="n"/>
      <c r="AL87" s="429" t="n"/>
      <c r="AM87" s="430" t="n"/>
      <c r="AN87" s="430" t="n"/>
      <c r="AO87" s="430" t="n"/>
      <c r="AP87" s="431" t="n"/>
      <c r="AQ87" s="224" t="n"/>
    </row>
    <row r="88" ht="85" customHeight="1" s="225">
      <c r="A88" s="426">
        <f>IF(C88="","",$C$2&amp;"."&amp;COUNTA($C$8:C88)&amp;"")</f>
        <v/>
      </c>
      <c r="B88" s="426" t="inlineStr">
        <is>
          <t>REQ-ORD-001, REQ-ORD-005</t>
        </is>
      </c>
      <c r="C88" s="426" t="inlineStr">
        <is>
          <t>DOC-v1.0-01, DOC-v1.0-02</t>
        </is>
      </c>
      <c r="D88" s="426" t="inlineStr">
        <is>
          <t>UI</t>
        </is>
      </c>
      <c r="E88" s="426" t="inlineStr">
        <is>
          <t>Medium</t>
        </is>
      </c>
      <c r="F88" s="427" t="inlineStr">
        <is>
          <t>Check đầy đủ 4 thành phần tại Bước 3/3</t>
        </is>
      </c>
      <c r="G88" s="427" t="inlineStr">
        <is>
          <t>Vừa qua Bước 3/3 lần đầu từ Bước 2/3 hợp lệ</t>
        </is>
      </c>
      <c r="H88" s="427" t="inlineStr">
        <is>
          <t>1. Quan sát toàn bộ màn Bước 3/3</t>
        </is>
      </c>
      <c r="I88" s="427" t="inlineStr">
        <is>
          <t>1. Hiển thị đủ:
- Tóm tắt đơn (loại hàng+giá trị, khung giờ, người gửi/nhận, ghi chú)
- Banner cảnh báo hàng cấm
- Checkbox điều khoản
- Nút 'Đăng tin ngay'</t>
        </is>
      </c>
      <c r="J88" s="426" t="inlineStr">
        <is>
          <t>AI</t>
        </is>
      </c>
      <c r="K88" s="426" t="inlineStr">
        <is>
          <t>Pending</t>
        </is>
      </c>
      <c r="L88" s="426" t="inlineStr">
        <is>
          <t>No</t>
        </is>
      </c>
      <c r="M88" s="426" t="n"/>
      <c r="N88" s="428" t="n"/>
      <c r="O88" s="428" t="n"/>
      <c r="P88" s="428" t="n"/>
      <c r="Q88" s="428" t="n"/>
      <c r="R88" s="428" t="n"/>
      <c r="S88" s="428" t="n"/>
      <c r="T88" s="428" t="n"/>
      <c r="U88" s="428" t="n"/>
      <c r="V88" s="428" t="n"/>
      <c r="W88" s="428" t="n"/>
      <c r="X88" s="428" t="n"/>
      <c r="Y88" s="428" t="n"/>
      <c r="Z88" s="428" t="n"/>
      <c r="AA88" s="428" t="n"/>
      <c r="AB88" s="429" t="n"/>
      <c r="AC88" s="429" t="n"/>
      <c r="AD88" s="429" t="n"/>
      <c r="AE88" s="429" t="n"/>
      <c r="AF88" s="429" t="n"/>
      <c r="AG88" s="429" t="n"/>
      <c r="AH88" s="429" t="n"/>
      <c r="AI88" s="429" t="n"/>
      <c r="AJ88" s="429" t="n"/>
      <c r="AK88" s="429" t="n"/>
      <c r="AL88" s="429" t="n"/>
      <c r="AM88" s="430">
        <f>IF($A86="","",IF(OR($N86="Yes",$S86="Yes",$X86="Yes",$AC86="Yes",$AH86="Yes"),"Yes","No"))</f>
        <v/>
      </c>
      <c r="AN88" s="430">
        <f>IF($A86="","",IFERROR(IF($AI86&lt;&gt;"",$AI86,IF($AD86&lt;&gt;"",$AD86,IF($Y86&lt;&gt;"",$Y86,IF($T86&lt;&gt;"",$T86,IF($O86&lt;&gt;"",$O86,""))))),""))</f>
        <v/>
      </c>
      <c r="AO88" s="430">
        <f>IFERROR(IF($AJ86&lt;&gt;"",$AJ86,IF($AE86&lt;&gt;"",$AE86,IF($Z86&lt;&gt;"",$Z86,IF($U86&lt;&gt;"",$U86,IF($P86&lt;&gt;"",$P86,""))))),"")</f>
        <v/>
      </c>
      <c r="AP88" s="431" t="inlineStr">
        <is>
          <t>Field/column completeness check — auto-derived (xem generate.md Step 3b)</t>
        </is>
      </c>
      <c r="AQ88" s="224" t="n"/>
    </row>
    <row r="89" ht="15.75" customHeight="1" s="225">
      <c r="A89" s="426">
        <f>IF(C89="","",$C$2&amp;"."&amp;COUNTA($C$8:C89)&amp;"")</f>
        <v/>
      </c>
      <c r="B89" s="426" t="inlineStr">
        <is>
          <t>REQ-ORD-005</t>
        </is>
      </c>
      <c r="C89" s="426" t="inlineStr">
        <is>
          <t>DOC-v1.0-01</t>
        </is>
      </c>
      <c r="D89" s="426" t="inlineStr">
        <is>
          <t>UI</t>
        </is>
      </c>
      <c r="E89" s="426" t="inlineStr">
        <is>
          <t>Medium</t>
        </is>
      </c>
      <c r="F89" s="427" t="inlineStr">
        <is>
          <t>Check Checkbox điều khoản mặc định đã tick sẵn</t>
        </is>
      </c>
      <c r="G89" s="427" t="inlineStr">
        <is>
          <t>Vừa vào Bước 3/3 lần đầu, MỚI/SẠCH chưa thao tác</t>
        </is>
      </c>
      <c r="H89" s="427" t="inlineStr">
        <is>
          <t>1. Quan sát trạng thái Checkbox điều khoản</t>
        </is>
      </c>
      <c r="I89" s="427" t="inlineStr">
        <is>
          <t>1. Checkbox đang ở trạng thái đã tick sẵn (checked), chưa cần thao tác</t>
        </is>
      </c>
      <c r="J89" s="426" t="inlineStr">
        <is>
          <t>AI</t>
        </is>
      </c>
      <c r="K89" s="426" t="inlineStr">
        <is>
          <t>Pending</t>
        </is>
      </c>
      <c r="L89" s="426" t="inlineStr">
        <is>
          <t>No</t>
        </is>
      </c>
      <c r="M89" s="426" t="n"/>
      <c r="N89" s="428" t="n"/>
      <c r="O89" s="428" t="n"/>
      <c r="P89" s="428" t="n"/>
      <c r="Q89" s="428" t="n"/>
      <c r="R89" s="428" t="n"/>
      <c r="S89" s="428" t="n"/>
      <c r="T89" s="428" t="n"/>
      <c r="U89" s="428" t="n"/>
      <c r="V89" s="428" t="n"/>
      <c r="W89" s="428" t="n"/>
      <c r="X89" s="428" t="n"/>
      <c r="Y89" s="428" t="n"/>
      <c r="Z89" s="428" t="n"/>
      <c r="AA89" s="428" t="n"/>
      <c r="AB89" s="429" t="n"/>
      <c r="AC89" s="429" t="n"/>
      <c r="AD89" s="429" t="n"/>
      <c r="AE89" s="429" t="n"/>
      <c r="AF89" s="429" t="n"/>
      <c r="AG89" s="429" t="n"/>
      <c r="AH89" s="429" t="n"/>
      <c r="AI89" s="429" t="n"/>
      <c r="AJ89" s="429" t="n"/>
      <c r="AK89" s="429" t="n"/>
      <c r="AL89" s="429" t="n"/>
      <c r="AM89" s="430">
        <f>IF($A87="","",IF(OR($N87="Yes",$S87="Yes",$X87="Yes",$AC87="Yes",$AH87="Yes"),"Yes","No"))</f>
        <v/>
      </c>
      <c r="AN89" s="430">
        <f>IF($A87="","",IFERROR(IF($AI87&lt;&gt;"",$AI87,IF($AD87&lt;&gt;"",$AD87,IF($Y87&lt;&gt;"",$Y87,IF($T87&lt;&gt;"",$T87,IF($O87&lt;&gt;"",$O87,""))))),""))</f>
        <v/>
      </c>
      <c r="AO89" s="430">
        <f>IFERROR(IF($AJ87&lt;&gt;"",$AJ87,IF($AE87&lt;&gt;"",$AE87,IF($Z87&lt;&gt;"",$Z87,IF($U87&lt;&gt;"",$U87,IF($P87&lt;&gt;"",$P87,""))))),"")</f>
        <v/>
      </c>
      <c r="AP89" s="431" t="n"/>
      <c r="AQ89" s="224" t="n"/>
    </row>
    <row r="90" ht="15.75" customHeight="1" s="225">
      <c r="A90" s="426">
        <f>IF(C90="","",$C$2&amp;"."&amp;COUNTA($C$8:C90)&amp;"")</f>
        <v/>
      </c>
      <c r="B90" s="426" t="inlineStr">
        <is>
          <t>REQ-ORD-005</t>
        </is>
      </c>
      <c r="C90" s="426" t="inlineStr">
        <is>
          <t>DOC-v1.0-01, DOC-v1.0-02</t>
        </is>
      </c>
      <c r="D90" s="426" t="inlineStr">
        <is>
          <t>Functional</t>
        </is>
      </c>
      <c r="E90" s="426" t="inlineStr">
        <is>
          <t>Medium</t>
        </is>
      </c>
      <c r="F90" s="427" t="inlineStr">
        <is>
          <t>Check bỏ tick điều khoản chặn đăng tin</t>
        </is>
      </c>
      <c r="G90" s="427" t="inlineStr">
        <is>
          <t>Đang ở Bước 3/3, đã điền đủ B1+B2 hợp lệ</t>
        </is>
      </c>
      <c r="H90" s="427" t="inlineStr">
        <is>
          <t>1. Bấm bỏ tick Checkbox điều khoản
2. Bấm 'Đăng tin ngay'</t>
        </is>
      </c>
      <c r="I90" s="427" t="inlineStr">
        <is>
          <t>1. Checkbox chuyển sang trạng thái chưa tick
2. Bị chặn, KHÔNG tạo tin, không chuyển màn</t>
        </is>
      </c>
      <c r="J90" s="426" t="inlineStr">
        <is>
          <t>AI</t>
        </is>
      </c>
      <c r="K90" s="426" t="inlineStr">
        <is>
          <t>Pending</t>
        </is>
      </c>
      <c r="L90" s="426" t="inlineStr">
        <is>
          <t>No</t>
        </is>
      </c>
      <c r="M90" s="426" t="n"/>
      <c r="N90" s="428" t="n"/>
      <c r="O90" s="428" t="n"/>
      <c r="P90" s="428" t="n"/>
      <c r="Q90" s="428" t="n"/>
      <c r="R90" s="428" t="n"/>
      <c r="S90" s="428" t="n"/>
      <c r="T90" s="428" t="n"/>
      <c r="U90" s="428" t="n"/>
      <c r="V90" s="428" t="n"/>
      <c r="W90" s="428" t="n"/>
      <c r="X90" s="428" t="n"/>
      <c r="Y90" s="428" t="n"/>
      <c r="Z90" s="428" t="n"/>
      <c r="AA90" s="428" t="n"/>
      <c r="AB90" s="429" t="n"/>
      <c r="AC90" s="429" t="n"/>
      <c r="AD90" s="429" t="n"/>
      <c r="AE90" s="429" t="n"/>
      <c r="AF90" s="429" t="n"/>
      <c r="AG90" s="429" t="n"/>
      <c r="AH90" s="429" t="n"/>
      <c r="AI90" s="429" t="n"/>
      <c r="AJ90" s="429" t="n"/>
      <c r="AK90" s="429" t="n"/>
      <c r="AL90" s="429" t="n"/>
      <c r="AM90" s="430">
        <f>IF($A88="","",IF(OR($N88="Yes",$S88="Yes",$X88="Yes",$AC88="Yes",$AH88="Yes"),"Yes","No"))</f>
        <v/>
      </c>
      <c r="AN90" s="430">
        <f>IF($A88="","",IFERROR(IF($AI88&lt;&gt;"",$AI88,IF($AD88&lt;&gt;"",$AD88,IF($Y88&lt;&gt;"",$Y88,IF($T88&lt;&gt;"",$T88,IF($O88&lt;&gt;"",$O88,""))))),""))</f>
        <v/>
      </c>
      <c r="AO90" s="430">
        <f>IFERROR(IF($AJ88&lt;&gt;"",$AJ88,IF($AE88&lt;&gt;"",$AE88,IF($Z88&lt;&gt;"",$Z88,IF($U88&lt;&gt;"",$U88,IF($P88&lt;&gt;"",$P88,""))))),"")</f>
        <v/>
      </c>
      <c r="AP90" s="431" t="n"/>
      <c r="AQ90" s="224" t="n"/>
    </row>
    <row r="91" ht="15.75" customHeight="1" s="225">
      <c r="A91" s="426">
        <f>IF(C91="","",$C$2&amp;"."&amp;COUNTA($C$8:C91)&amp;"")</f>
        <v/>
      </c>
      <c r="B91" s="426" t="inlineStr">
        <is>
          <t>REQ-ORD-001, REQ-ORD-002</t>
        </is>
      </c>
      <c r="C91" s="426" t="inlineStr">
        <is>
          <t>DOC-v1.0-01, DOC-v1.0-02</t>
        </is>
      </c>
      <c r="D91" s="426" t="inlineStr">
        <is>
          <t>Functional</t>
        </is>
      </c>
      <c r="E91" s="426" t="inlineStr">
        <is>
          <t>High</t>
        </is>
      </c>
      <c r="F91" s="427" t="inlineStr">
        <is>
          <t>Check hoàn tất đăng tin NEED qua đủ 3 bước với dữ liệu hợp lệ</t>
        </is>
      </c>
      <c r="G91" s="427" t="inlineStr">
        <is>
          <t>Đã chọn 'Tôi cần gửi hàng', đang ở Bước 1/3</t>
        </is>
      </c>
      <c r="H91" s="427" t="inlineStr">
        <is>
          <t>1. Bước 1/3: chọn Loại hàng 'Tài liệu', Giá trị hàng 'Vừa'
2. Bấm 'Tiếp theo'
3. Bước 2/3: nhập đủ Người nhận hợp lệ (email, tên 'Trần Thị B', SĐT '0901234567', địa chỉ giao hàng '89 Nguyễn Thị Minh Khai, Q.3'), giữ nguyên Thời gian mặc định
4. Bấm 'Tiếp theo'
5. Bước 3/3: giữ Checkbox điều khoản đã tick, bấm 'Đăng tin ngay'</t>
        </is>
      </c>
      <c r="I91" s="427" t="inlineStr">
        <is>
          <t>1. 2 chip được chọn đúng
2. Chuyển sang Bước 2/3 không lỗi
3. Toàn bộ field nhận đúng giá trị vừa nhập, không có lỗi hiển thị
4. Chuyển sang Bước 3/3 không lỗi
5. Tin được tạo thành công, trạng thái 'Chờ ghép' (POSTED)</t>
        </is>
      </c>
      <c r="J91" s="426" t="inlineStr">
        <is>
          <t>AI</t>
        </is>
      </c>
      <c r="K91" s="426" t="inlineStr">
        <is>
          <t>Pending</t>
        </is>
      </c>
      <c r="L91" s="426" t="inlineStr">
        <is>
          <t>No</t>
        </is>
      </c>
      <c r="M91" s="426" t="n"/>
      <c r="N91" s="428" t="n"/>
      <c r="O91" s="428" t="n"/>
      <c r="P91" s="428" t="n"/>
      <c r="Q91" s="428" t="n"/>
      <c r="R91" s="428" t="n"/>
      <c r="S91" s="428" t="n"/>
      <c r="T91" s="428" t="n"/>
      <c r="U91" s="428" t="n"/>
      <c r="V91" s="428" t="n"/>
      <c r="W91" s="428" t="n"/>
      <c r="X91" s="428" t="n"/>
      <c r="Y91" s="428" t="n"/>
      <c r="Z91" s="428" t="n"/>
      <c r="AA91" s="428" t="n"/>
      <c r="AB91" s="429" t="n"/>
      <c r="AC91" s="429" t="n"/>
      <c r="AD91" s="429" t="n"/>
      <c r="AE91" s="429" t="n"/>
      <c r="AF91" s="429" t="n"/>
      <c r="AG91" s="429" t="n"/>
      <c r="AH91" s="429" t="n"/>
      <c r="AI91" s="429" t="n"/>
      <c r="AJ91" s="429" t="n"/>
      <c r="AK91" s="429" t="n"/>
      <c r="AL91" s="429" t="n"/>
      <c r="AM91" s="430">
        <f>IF($A89="","",IF(OR($N89="Yes",$S89="Yes",$X89="Yes",$AC89="Yes",$AH89="Yes"),"Yes","No"))</f>
        <v/>
      </c>
      <c r="AN91" s="430">
        <f>IF($A89="","",IFERROR(IF($AI89&lt;&gt;"",$AI89,IF($AD89&lt;&gt;"",$AD89,IF($Y89&lt;&gt;"",$Y89,IF($T89&lt;&gt;"",$T89,IF($O89&lt;&gt;"",$O89,""))))),""))</f>
        <v/>
      </c>
      <c r="AO91" s="430">
        <f>IFERROR(IF($AJ89&lt;&gt;"",$AJ89,IF($AE89&lt;&gt;"",$AE89,IF($Z89&lt;&gt;"",$Z89,IF($U89&lt;&gt;"",$U89,IF($P89&lt;&gt;"",$P89,""))))),"")</f>
        <v/>
      </c>
      <c r="AP91" s="431" t="n"/>
      <c r="AQ91" s="224" t="n"/>
    </row>
    <row r="92" ht="15.75" customHeight="1" s="225">
      <c r="A92" s="426">
        <f>IF(C92="","",$C$2&amp;"."&amp;COUNTA($C$8:C92)&amp;"")</f>
        <v/>
      </c>
      <c r="B92" s="426" t="inlineStr">
        <is>
          <t>REQ-ORD-002</t>
        </is>
      </c>
      <c r="C92" s="426" t="inlineStr">
        <is>
          <t>DOC-v1.0-01, DOC-v1.0-02</t>
        </is>
      </c>
      <c r="D92" s="426" t="inlineStr">
        <is>
          <t>Functional</t>
        </is>
      </c>
      <c r="E92" s="426" t="inlineStr">
        <is>
          <t>Medium</t>
        </is>
      </c>
      <c r="F92" s="427" t="inlineStr">
        <is>
          <t>Check bấm 'Quay lại' từ Bước 2/3 về Bước 1/3 giữ nguyên dữ liệu</t>
        </is>
      </c>
      <c r="G92" s="427" t="inlineStr">
        <is>
          <t>Đang ở Bước 2/3, đã điền Bước 1/3 (vd Loại hàng 'Đồ điện tử')</t>
        </is>
      </c>
      <c r="H92" s="427" t="inlineStr">
        <is>
          <t>1. Bấm nút 'Quay lại' tại Bước 2/3</t>
        </is>
      </c>
      <c r="I92" s="427" t="inlineStr">
        <is>
          <t>1. Chuyển về Bước 1/3, dữ liệu Loại hàng vẫn giữ nguyên 'Đồ điện tử' đã chọn trước đó</t>
        </is>
      </c>
      <c r="J92" s="426" t="inlineStr">
        <is>
          <t>AI</t>
        </is>
      </c>
      <c r="K92" s="426" t="inlineStr">
        <is>
          <t>Pending</t>
        </is>
      </c>
      <c r="L92" s="426" t="inlineStr">
        <is>
          <t>No</t>
        </is>
      </c>
      <c r="M92" s="426" t="n"/>
      <c r="N92" s="428" t="n"/>
      <c r="O92" s="428" t="n"/>
      <c r="P92" s="428" t="n"/>
      <c r="Q92" s="428" t="n"/>
      <c r="R92" s="428" t="n"/>
      <c r="S92" s="428" t="n"/>
      <c r="T92" s="428" t="n"/>
      <c r="U92" s="428" t="n"/>
      <c r="V92" s="428" t="n"/>
      <c r="W92" s="428" t="n"/>
      <c r="X92" s="428" t="n"/>
      <c r="Y92" s="428" t="n"/>
      <c r="Z92" s="428" t="n"/>
      <c r="AA92" s="428" t="n"/>
      <c r="AB92" s="429" t="n"/>
      <c r="AC92" s="429" t="n"/>
      <c r="AD92" s="429" t="n"/>
      <c r="AE92" s="429" t="n"/>
      <c r="AF92" s="429" t="n"/>
      <c r="AG92" s="429" t="n"/>
      <c r="AH92" s="429" t="n"/>
      <c r="AI92" s="429" t="n"/>
      <c r="AJ92" s="429" t="n"/>
      <c r="AK92" s="429" t="n"/>
      <c r="AL92" s="429" t="n"/>
      <c r="AM92" s="430">
        <f>IF($A90="","",IF(OR($N90="Yes",$S90="Yes",$X90="Yes",$AC90="Yes",$AH90="Yes"),"Yes","No"))</f>
        <v/>
      </c>
      <c r="AN92" s="430">
        <f>IF($A90="","",IFERROR(IF($AI90&lt;&gt;"",$AI90,IF($AD90&lt;&gt;"",$AD90,IF($Y90&lt;&gt;"",$Y90,IF($T90&lt;&gt;"",$T90,IF($O90&lt;&gt;"",$O90,""))))),""))</f>
        <v/>
      </c>
      <c r="AO92" s="430">
        <f>IFERROR(IF($AJ90&lt;&gt;"",$AJ90,IF($AE90&lt;&gt;"",$AE90,IF($Z90&lt;&gt;"",$Z90,IF($U90&lt;&gt;"",$U90,IF($P90&lt;&gt;"",$P90,""))))),"")</f>
        <v/>
      </c>
      <c r="AP92" s="431" t="inlineStr">
        <is>
          <t>Technique: ST-2-1</t>
        </is>
      </c>
      <c r="AQ92" s="224" t="n"/>
    </row>
    <row r="93" ht="15.75" customHeight="1" s="225">
      <c r="A93" s="426">
        <f>IF(C93="","",$C$2&amp;"."&amp;COUNTA($C$8:C93)&amp;"")</f>
        <v/>
      </c>
      <c r="B93" s="426" t="inlineStr">
        <is>
          <t>REQ-ORD-002</t>
        </is>
      </c>
      <c r="C93" s="426" t="inlineStr">
        <is>
          <t>DOC-v1.0-01, DOC-v1.0-02</t>
        </is>
      </c>
      <c r="D93" s="426" t="inlineStr">
        <is>
          <t>Functional</t>
        </is>
      </c>
      <c r="E93" s="426" t="inlineStr">
        <is>
          <t>Medium</t>
        </is>
      </c>
      <c r="F93" s="427" t="inlineStr">
        <is>
          <t>Check bấm 'Quay lại' từ Bước 3/3 về Bước 2/3 giữ nguyên dữ liệu</t>
        </is>
      </c>
      <c r="G93" s="427" t="inlineStr">
        <is>
          <t>Đang ở Bước 3/3, đã điền Bước 2/3 (vd Tên người nhận 'Trần Thị B')</t>
        </is>
      </c>
      <c r="H93" s="427" t="inlineStr">
        <is>
          <t>1. Bấm nút 'Quay lại' tại Bước 3/3</t>
        </is>
      </c>
      <c r="I93" s="427" t="inlineStr">
        <is>
          <t>1. Chuyển về Bước 2/3, dữ liệu Tên người nhận vẫn giữ nguyên 'Trần Thị B'</t>
        </is>
      </c>
      <c r="J93" s="426" t="inlineStr">
        <is>
          <t>AI</t>
        </is>
      </c>
      <c r="K93" s="426" t="inlineStr">
        <is>
          <t>Pending</t>
        </is>
      </c>
      <c r="L93" s="426" t="inlineStr">
        <is>
          <t>No</t>
        </is>
      </c>
      <c r="M93" s="426" t="n"/>
      <c r="N93" s="428" t="n"/>
      <c r="O93" s="428" t="n"/>
      <c r="P93" s="428" t="n"/>
      <c r="Q93" s="428" t="n"/>
      <c r="R93" s="428" t="n"/>
      <c r="S93" s="428" t="n"/>
      <c r="T93" s="428" t="n"/>
      <c r="U93" s="428" t="n"/>
      <c r="V93" s="428" t="n"/>
      <c r="W93" s="428" t="n"/>
      <c r="X93" s="428" t="n"/>
      <c r="Y93" s="428" t="n"/>
      <c r="Z93" s="428" t="n"/>
      <c r="AA93" s="428" t="n"/>
      <c r="AB93" s="429" t="n"/>
      <c r="AC93" s="429" t="n"/>
      <c r="AD93" s="429" t="n"/>
      <c r="AE93" s="429" t="n"/>
      <c r="AF93" s="429" t="n"/>
      <c r="AG93" s="429" t="n"/>
      <c r="AH93" s="429" t="n"/>
      <c r="AI93" s="429" t="n"/>
      <c r="AJ93" s="429" t="n"/>
      <c r="AK93" s="429" t="n"/>
      <c r="AL93" s="429" t="n"/>
      <c r="AM93" s="430">
        <f>IF($A91="","",IF(OR($N91="Yes",$S91="Yes",$X91="Yes",$AC91="Yes",$AH91="Yes"),"Yes","No"))</f>
        <v/>
      </c>
      <c r="AN93" s="430">
        <f>IF($A91="","",IFERROR(IF($AI91&lt;&gt;"",$AI91,IF($AD91&lt;&gt;"",$AD91,IF($Y91&lt;&gt;"",$Y91,IF($T91&lt;&gt;"",$T91,IF($O91&lt;&gt;"",$O91,""))))),""))</f>
        <v/>
      </c>
      <c r="AO93" s="430">
        <f>IFERROR(IF($AJ91&lt;&gt;"",$AJ91,IF($AE91&lt;&gt;"",$AE91,IF($Z91&lt;&gt;"",$Z91,IF($U91&lt;&gt;"",$U91,IF($P91&lt;&gt;"",$P91,""))))),"")</f>
        <v/>
      </c>
      <c r="AP93" s="431" t="inlineStr">
        <is>
          <t>Technique: ST-3-2</t>
        </is>
      </c>
      <c r="AQ93" s="224" t="n"/>
    </row>
    <row r="94" ht="15.75" customHeight="1" s="225">
      <c r="A94" s="426">
        <f>IF(C94="","",$C$2&amp;"."&amp;COUNTA($C$8:C94)&amp;"")</f>
        <v/>
      </c>
      <c r="B94" s="426" t="inlineStr">
        <is>
          <t>REQ-ORD-002</t>
        </is>
      </c>
      <c r="C94" s="426" t="inlineStr">
        <is>
          <t>DOC-v1.0-01, DOC-v1.0-02</t>
        </is>
      </c>
      <c r="D94" s="426" t="inlineStr">
        <is>
          <t>Functional</t>
        </is>
      </c>
      <c r="E94" s="426" t="inlineStr">
        <is>
          <t>Medium</t>
        </is>
      </c>
      <c r="F94" s="427" t="inlineStr">
        <is>
          <t>Check chuyển đúng Bước 1/3 sang Bước 2/3 khi dữ liệu hợp lệ</t>
        </is>
      </c>
      <c r="G94" s="427" t="inlineStr">
        <is>
          <t>Đang ở Bước 1/3, đã điền đủ Loại hàng + Giá trị hàng hợp lệ</t>
        </is>
      </c>
      <c r="H94" s="427" t="inlineStr">
        <is>
          <t>1. Bấm 'Tiếp theo'</t>
        </is>
      </c>
      <c r="I94" s="427" t="inlineStr">
        <is>
          <t>1. Chuyển đúng sang Bước 2/3 (Địa điểm &amp; Thời gian)</t>
        </is>
      </c>
      <c r="J94" s="426" t="inlineStr">
        <is>
          <t>AI</t>
        </is>
      </c>
      <c r="K94" s="426" t="inlineStr">
        <is>
          <t>Pending</t>
        </is>
      </c>
      <c r="L94" s="426" t="inlineStr">
        <is>
          <t>No</t>
        </is>
      </c>
      <c r="M94" s="426" t="n"/>
      <c r="N94" s="428" t="n"/>
      <c r="O94" s="428" t="n"/>
      <c r="P94" s="428" t="n"/>
      <c r="Q94" s="428" t="n"/>
      <c r="R94" s="428" t="n"/>
      <c r="S94" s="428" t="n"/>
      <c r="T94" s="428" t="n"/>
      <c r="U94" s="428" t="n"/>
      <c r="V94" s="428" t="n"/>
      <c r="W94" s="428" t="n"/>
      <c r="X94" s="428" t="n"/>
      <c r="Y94" s="428" t="n"/>
      <c r="Z94" s="428" t="n"/>
      <c r="AA94" s="428" t="n"/>
      <c r="AB94" s="429" t="n"/>
      <c r="AC94" s="429" t="n"/>
      <c r="AD94" s="429" t="n"/>
      <c r="AE94" s="429" t="n"/>
      <c r="AF94" s="429" t="n"/>
      <c r="AG94" s="429" t="n"/>
      <c r="AH94" s="429" t="n"/>
      <c r="AI94" s="429" t="n"/>
      <c r="AJ94" s="429" t="n"/>
      <c r="AK94" s="429" t="n"/>
      <c r="AL94" s="429" t="n"/>
      <c r="AM94" s="430">
        <f>IF($A92="","",IF(OR($N92="Yes",$S92="Yes",$X92="Yes",$AC92="Yes",$AH92="Yes"),"Yes","No"))</f>
        <v/>
      </c>
      <c r="AN94" s="430">
        <f>IF($A92="","",IFERROR(IF($AI92&lt;&gt;"",$AI92,IF($AD92&lt;&gt;"",$AD92,IF($Y92&lt;&gt;"",$Y92,IF($T92&lt;&gt;"",$T92,IF($O92&lt;&gt;"",$O92,""))))),""))</f>
        <v/>
      </c>
      <c r="AO94" s="430">
        <f>IFERROR(IF($AJ92&lt;&gt;"",$AJ92,IF($AE92&lt;&gt;"",$AE92,IF($Z92&lt;&gt;"",$Z92,IF($U92&lt;&gt;"",$U92,IF($P92&lt;&gt;"",$P92,""))))),"")</f>
        <v/>
      </c>
      <c r="AP94" s="431" t="inlineStr">
        <is>
          <t>Technique: ST-1-2</t>
        </is>
      </c>
      <c r="AQ94" s="224" t="n"/>
    </row>
    <row r="95" ht="15.75" customHeight="1" s="225">
      <c r="A95" s="426">
        <f>IF(C95="","",$C$2&amp;"."&amp;COUNTA($C$8:C95)&amp;"")</f>
        <v/>
      </c>
      <c r="B95" s="426" t="inlineStr">
        <is>
          <t>REQ-ORD-002</t>
        </is>
      </c>
      <c r="C95" s="426" t="inlineStr">
        <is>
          <t>DOC-v1.0-01, DOC-v1.0-02</t>
        </is>
      </c>
      <c r="D95" s="426" t="inlineStr">
        <is>
          <t>Functional</t>
        </is>
      </c>
      <c r="E95" s="426" t="inlineStr">
        <is>
          <t>Medium</t>
        </is>
      </c>
      <c r="F95" s="427" t="inlineStr">
        <is>
          <t>Check chuyển đúng Bước 2/3 sang Bước 3/3 khi dữ liệu hợp lệ</t>
        </is>
      </c>
      <c r="G95" s="427" t="inlineStr">
        <is>
          <t>Đang ở Bước 2/3, đã điền đủ Người nhận + Thời gian hợp lệ</t>
        </is>
      </c>
      <c r="H95" s="427" t="inlineStr">
        <is>
          <t>1. Bấm 'Tiếp theo'</t>
        </is>
      </c>
      <c r="I95" s="427" t="inlineStr">
        <is>
          <t>1. Chuyển đúng sang Bước 3/3 (Xác nhận &amp; Đăng tin)</t>
        </is>
      </c>
      <c r="J95" s="426" t="inlineStr">
        <is>
          <t>AI</t>
        </is>
      </c>
      <c r="K95" s="426" t="inlineStr">
        <is>
          <t>Pending</t>
        </is>
      </c>
      <c r="L95" s="426" t="inlineStr">
        <is>
          <t>No</t>
        </is>
      </c>
      <c r="M95" s="426" t="n"/>
      <c r="N95" s="428" t="n"/>
      <c r="O95" s="428" t="n"/>
      <c r="P95" s="428" t="n"/>
      <c r="Q95" s="428" t="n"/>
      <c r="R95" s="428" t="n"/>
      <c r="S95" s="428" t="n"/>
      <c r="T95" s="428" t="n"/>
      <c r="U95" s="428" t="n"/>
      <c r="V95" s="428" t="n"/>
      <c r="W95" s="428" t="n"/>
      <c r="X95" s="428" t="n"/>
      <c r="Y95" s="428" t="n"/>
      <c r="Z95" s="428" t="n"/>
      <c r="AA95" s="428" t="n"/>
      <c r="AB95" s="429" t="n"/>
      <c r="AC95" s="429" t="n"/>
      <c r="AD95" s="429" t="n"/>
      <c r="AE95" s="429" t="n"/>
      <c r="AF95" s="429" t="n"/>
      <c r="AG95" s="429" t="n"/>
      <c r="AH95" s="429" t="n"/>
      <c r="AI95" s="429" t="n"/>
      <c r="AJ95" s="429" t="n"/>
      <c r="AK95" s="429" t="n"/>
      <c r="AL95" s="429" t="n"/>
      <c r="AM95" s="430">
        <f>IF($A93="","",IF(OR($N93="Yes",$S93="Yes",$X93="Yes",$AC93="Yes",$AH93="Yes"),"Yes","No"))</f>
        <v/>
      </c>
      <c r="AN95" s="430">
        <f>IF($A93="","",IFERROR(IF($AI93&lt;&gt;"",$AI93,IF($AD93&lt;&gt;"",$AD93,IF($Y93&lt;&gt;"",$Y93,IF($T93&lt;&gt;"",$T93,IF($O93&lt;&gt;"",$O93,""))))),""))</f>
        <v/>
      </c>
      <c r="AO95" s="430">
        <f>IFERROR(IF($AJ93&lt;&gt;"",$AJ93,IF($AE93&lt;&gt;"",$AE93,IF($Z93&lt;&gt;"",$Z93,IF($U93&lt;&gt;"",$U93,IF($P93&lt;&gt;"",$P93,""))))),"")</f>
        <v/>
      </c>
      <c r="AP95" s="431" t="inlineStr">
        <is>
          <t>Technique: ST-2-3</t>
        </is>
      </c>
      <c r="AQ95" s="224" t="n"/>
    </row>
    <row r="96" ht="15.75" customHeight="1" s="225">
      <c r="A96" s="426">
        <f>IF(C96="","",$C$2&amp;"."&amp;COUNTA($C$8:C96)&amp;"")</f>
        <v/>
      </c>
      <c r="B96" s="426" t="inlineStr">
        <is>
          <t>REQ-ORD-013</t>
        </is>
      </c>
      <c r="C96" s="426" t="inlineStr">
        <is>
          <t>DOC-v1.0-01 (BRD v3.2 §D8.3)</t>
        </is>
      </c>
      <c r="D96" s="426" t="inlineStr">
        <is>
          <t>UI</t>
        </is>
      </c>
      <c r="E96" s="426" t="inlineStr">
        <is>
          <t>Medium</t>
        </is>
      </c>
      <c r="F96" s="427" t="inlineStr">
        <is>
          <t>Check nút 'Đăng tin ngay' bật khi mọi field hợp lệ VÀ đã tick điều khoản</t>
        </is>
      </c>
      <c r="G96" s="427" t="inlineStr">
        <is>
          <t>Đang ở Bước 3/3, đã điền đủ B1+B2 hợp lệ, Checkbox điều khoản đã tick</t>
        </is>
      </c>
      <c r="H96" s="427" t="inlineStr">
        <is>
          <t>1. Quan sát trạng thái nút 'Đăng tin ngay'</t>
        </is>
      </c>
      <c r="I96" s="427" t="inlineStr">
        <is>
          <t>1. Nút ở trạng thái enabled (bấm được)</t>
        </is>
      </c>
      <c r="J96" s="426" t="inlineStr">
        <is>
          <t>AI</t>
        </is>
      </c>
      <c r="K96" s="426" t="inlineStr">
        <is>
          <t>Pending</t>
        </is>
      </c>
      <c r="L96" s="426" t="inlineStr">
        <is>
          <t>No</t>
        </is>
      </c>
      <c r="M96" s="426" t="n"/>
      <c r="N96" s="428" t="n"/>
      <c r="O96" s="428" t="n"/>
      <c r="P96" s="428" t="n"/>
      <c r="Q96" s="428" t="n"/>
      <c r="R96" s="428" t="n"/>
      <c r="S96" s="428" t="n"/>
      <c r="T96" s="428" t="n"/>
      <c r="U96" s="428" t="n"/>
      <c r="V96" s="428" t="n"/>
      <c r="W96" s="428" t="n"/>
      <c r="X96" s="428" t="n"/>
      <c r="Y96" s="428" t="n"/>
      <c r="Z96" s="428" t="n"/>
      <c r="AA96" s="428" t="n"/>
      <c r="AB96" s="429" t="n"/>
      <c r="AC96" s="429" t="n"/>
      <c r="AD96" s="429" t="n"/>
      <c r="AE96" s="429" t="n"/>
      <c r="AF96" s="429" t="n"/>
      <c r="AG96" s="429" t="n"/>
      <c r="AH96" s="429" t="n"/>
      <c r="AI96" s="429" t="n"/>
      <c r="AJ96" s="429" t="n"/>
      <c r="AK96" s="429" t="n"/>
      <c r="AL96" s="429" t="n"/>
      <c r="AM96" s="430">
        <f>IF($A94="","",IF(OR($N94="Yes",$S94="Yes",$X94="Yes",$AC94="Yes",$AH94="Yes"),"Yes","No"))</f>
        <v/>
      </c>
      <c r="AN96" s="430">
        <f>IF($A94="","",IFERROR(IF($AI94&lt;&gt;"",$AI94,IF($AD94&lt;&gt;"",$AD94,IF($Y94&lt;&gt;"",$Y94,IF($T94&lt;&gt;"",$T94,IF($O94&lt;&gt;"",$O94,""))))),""))</f>
        <v/>
      </c>
      <c r="AO96" s="430">
        <f>IFERROR(IF($AJ94&lt;&gt;"",$AJ94,IF($AE94&lt;&gt;"",$AE94,IF($Z94&lt;&gt;"",$Z94,IF($U94&lt;&gt;"",$U94,IF($P94&lt;&gt;"",$P94,""))))),"")</f>
        <v/>
      </c>
      <c r="AP96" s="431" t="inlineStr">
        <is>
          <t>Technique: DT-rule1 (VAL-01: all-valid AND ticked)</t>
        </is>
      </c>
      <c r="AQ96" s="224" t="n"/>
    </row>
    <row r="97" ht="15.75" customHeight="1" s="225">
      <c r="A97" s="426">
        <f>IF(C97="","",$C$2&amp;"."&amp;COUNTA($C$8:C97)&amp;"")</f>
        <v/>
      </c>
      <c r="B97" s="426" t="inlineStr">
        <is>
          <t>REQ-ORD-013</t>
        </is>
      </c>
      <c r="C97" s="426" t="inlineStr">
        <is>
          <t>DOC-v1.0-01 (BRD v3.2 §D8.3)</t>
        </is>
      </c>
      <c r="D97" s="426" t="inlineStr">
        <is>
          <t>UI</t>
        </is>
      </c>
      <c r="E97" s="426" t="inlineStr">
        <is>
          <t>Medium</t>
        </is>
      </c>
      <c r="F97" s="427" t="inlineStr">
        <is>
          <t>Check nút 'Đăng tin ngay' vẫn disabled khi field hợp lệ nhưng CHƯA tick điều khoản</t>
        </is>
      </c>
      <c r="G97" s="427" t="inlineStr">
        <is>
          <t>Đang ở Bước 3/3, đã điền đủ B1+B2 hợp lệ, Checkbox điều khoản CHƯA tick (bỏ tick mặc định)</t>
        </is>
      </c>
      <c r="H97" s="427" t="inlineStr">
        <is>
          <t>1. Bỏ tick Checkbox điều khoản
2. Quan sát trạng thái nút 'Đăng tin ngay'</t>
        </is>
      </c>
      <c r="I97" s="427" t="inlineStr">
        <is>
          <t>1. Checkbox chuyển sang chưa tick
2. Nút ở trạng thái disabled (không bấm được)</t>
        </is>
      </c>
      <c r="J97" s="426" t="inlineStr">
        <is>
          <t>AI</t>
        </is>
      </c>
      <c r="K97" s="426" t="inlineStr">
        <is>
          <t>Pending</t>
        </is>
      </c>
      <c r="L97" s="426" t="inlineStr">
        <is>
          <t>No</t>
        </is>
      </c>
      <c r="M97" s="426" t="n"/>
      <c r="N97" s="428" t="n"/>
      <c r="O97" s="428" t="n"/>
      <c r="P97" s="428" t="n"/>
      <c r="Q97" s="428" t="n"/>
      <c r="R97" s="428" t="n"/>
      <c r="S97" s="428" t="n"/>
      <c r="T97" s="428" t="n"/>
      <c r="U97" s="428" t="n"/>
      <c r="V97" s="428" t="n"/>
      <c r="W97" s="428" t="n"/>
      <c r="X97" s="428" t="n"/>
      <c r="Y97" s="428" t="n"/>
      <c r="Z97" s="428" t="n"/>
      <c r="AA97" s="428" t="n"/>
      <c r="AB97" s="429" t="n"/>
      <c r="AC97" s="429" t="n"/>
      <c r="AD97" s="429" t="n"/>
      <c r="AE97" s="429" t="n"/>
      <c r="AF97" s="429" t="n"/>
      <c r="AG97" s="429" t="n"/>
      <c r="AH97" s="429" t="n"/>
      <c r="AI97" s="429" t="n"/>
      <c r="AJ97" s="429" t="n"/>
      <c r="AK97" s="429" t="n"/>
      <c r="AL97" s="429" t="n"/>
      <c r="AM97" s="430">
        <f>IF($A95="","",IF(OR($N95="Yes",$S95="Yes",$X95="Yes",$AC95="Yes",$AH95="Yes"),"Yes","No"))</f>
        <v/>
      </c>
      <c r="AN97" s="430">
        <f>IF($A95="","",IFERROR(IF($AI95&lt;&gt;"",$AI95,IF($AD95&lt;&gt;"",$AD95,IF($Y95&lt;&gt;"",$Y95,IF($T95&lt;&gt;"",$T95,IF($O95&lt;&gt;"",$O95,""))))),""))</f>
        <v/>
      </c>
      <c r="AO97" s="430">
        <f>IFERROR(IF($AJ95&lt;&gt;"",$AJ95,IF($AE95&lt;&gt;"",$AE95,IF($Z95&lt;&gt;"",$Z95,IF($U95&lt;&gt;"",$U95,IF($P95&lt;&gt;"",$P95,""))))),"")</f>
        <v/>
      </c>
      <c r="AP97" s="431" t="inlineStr">
        <is>
          <t>Technique: DT-rule2 (VAL-01: all-valid AND NOT ticked)</t>
        </is>
      </c>
      <c r="AQ97" s="224" t="n"/>
    </row>
    <row r="98" ht="15.75" customHeight="1" s="225">
      <c r="A98" s="426">
        <f>IF(C98="","",$C$2&amp;"."&amp;COUNTA($C$8:C98)&amp;"")</f>
        <v/>
      </c>
      <c r="B98" s="426" t="inlineStr">
        <is>
          <t>REQ-ORD-013</t>
        </is>
      </c>
      <c r="C98" s="426" t="inlineStr">
        <is>
          <t>DOC-v1.0-01 (BRD v3.2 §D8.3)</t>
        </is>
      </c>
      <c r="D98" s="426" t="inlineStr">
        <is>
          <t>UI</t>
        </is>
      </c>
      <c r="E98" s="426" t="inlineStr">
        <is>
          <t>Medium</t>
        </is>
      </c>
      <c r="F98" s="427" t="inlineStr">
        <is>
          <t>Check nút 'Đăng tin ngay' disabled khi còn field bắt buộc chưa hợp lệ (bất kể điều khoản)</t>
        </is>
      </c>
      <c r="G98" s="427" t="inlineStr">
        <is>
          <t>Đang ở Bước 3/3, quay lại Bước 2/3 xoá trống Tên người nhận rồi quay lại Bước 3/3</t>
        </is>
      </c>
      <c r="H98" s="427" t="inlineStr">
        <is>
          <t>1. Để Tên người nhận trống (chưa hợp lệ)
2. Quan sát trạng thái nút 'Đăng tin ngay' dù Checkbox điều khoản đã tick</t>
        </is>
      </c>
      <c r="I98" s="427" t="inlineStr">
        <is>
          <t>1. Field Tên người nhận hiển thị rỗng
2. Nút vẫn ở trạng thái disabled — collapse rule: bất kể trạng thái điều khoản, còn field lỗi thì luôn disabled</t>
        </is>
      </c>
      <c r="J98" s="426" t="inlineStr">
        <is>
          <t>AI</t>
        </is>
      </c>
      <c r="K98" s="426" t="inlineStr">
        <is>
          <t>Pending</t>
        </is>
      </c>
      <c r="L98" s="426" t="inlineStr">
        <is>
          <t>No</t>
        </is>
      </c>
      <c r="M98" s="426" t="n"/>
      <c r="N98" s="428" t="n"/>
      <c r="O98" s="428" t="n"/>
      <c r="P98" s="428" t="n"/>
      <c r="Q98" s="428" t="n"/>
      <c r="R98" s="428" t="n"/>
      <c r="S98" s="428" t="n"/>
      <c r="T98" s="428" t="n"/>
      <c r="U98" s="428" t="n"/>
      <c r="V98" s="428" t="n"/>
      <c r="W98" s="428" t="n"/>
      <c r="X98" s="428" t="n"/>
      <c r="Y98" s="428" t="n"/>
      <c r="Z98" s="428" t="n"/>
      <c r="AA98" s="428" t="n"/>
      <c r="AB98" s="429" t="n"/>
      <c r="AC98" s="429" t="n"/>
      <c r="AD98" s="429" t="n"/>
      <c r="AE98" s="429" t="n"/>
      <c r="AF98" s="429" t="n"/>
      <c r="AG98" s="429" t="n"/>
      <c r="AH98" s="429" t="n"/>
      <c r="AI98" s="429" t="n"/>
      <c r="AJ98" s="429" t="n"/>
      <c r="AK98" s="429" t="n"/>
      <c r="AL98" s="429" t="n"/>
      <c r="AM98" s="430">
        <f>IF($A96="","",IF(OR($N96="Yes",$S96="Yes",$X96="Yes",$AC96="Yes",$AH96="Yes"),"Yes","No"))</f>
        <v/>
      </c>
      <c r="AN98" s="430">
        <f>IF($A96="","",IFERROR(IF($AI96&lt;&gt;"",$AI96,IF($AD96&lt;&gt;"",$AD96,IF($Y96&lt;&gt;"",$Y96,IF($T96&lt;&gt;"",$T96,IF($O96&lt;&gt;"",$O96,""))))),""))</f>
        <v/>
      </c>
      <c r="AO98" s="430">
        <f>IFERROR(IF($AJ96&lt;&gt;"",$AJ96,IF($AE96&lt;&gt;"",$AE96,IF($Z96&lt;&gt;"",$Z96,IF($U96&lt;&gt;"",$U96,IF($P96&lt;&gt;"",$P96,""))))),"")</f>
        <v/>
      </c>
      <c r="AP98" s="431" t="inlineStr">
        <is>
          <t>Technique: DT-rule3 (VAL-01: NOT all-valid, collapsed — 2 sub-case ticked/unticked cùng action)</t>
        </is>
      </c>
      <c r="AQ98" s="224" t="n"/>
    </row>
    <row r="99" ht="15.75" customHeight="1" s="225">
      <c r="A99" s="426">
        <f>IF(C99="","",$C$2&amp;"."&amp;COUNTA($C$8:C99)&amp;"")</f>
        <v/>
      </c>
      <c r="B99" s="426" t="inlineStr">
        <is>
          <t>REQ-ORD-013</t>
        </is>
      </c>
      <c r="C99" s="426" t="inlineStr">
        <is>
          <t>DOC-v1.0-01 (BRD v3.2 §D8.3)</t>
        </is>
      </c>
      <c r="D99" s="426" t="inlineStr">
        <is>
          <t>UI</t>
        </is>
      </c>
      <c r="E99" s="426" t="inlineStr">
        <is>
          <t>Medium</t>
        </is>
      </c>
      <c r="F99" s="427" t="inlineStr">
        <is>
          <t>Check lỗi hiện inline ngay dưới ô khi rời ô nhập (on blur)</t>
        </is>
      </c>
      <c r="G99" s="427" t="inlineStr">
        <is>
          <t>Đang ở Bước 2/3, khối Người nhận</t>
        </is>
      </c>
      <c r="H99" s="427" t="inlineStr">
        <is>
          <t>1. Bấm vào field Tên người nhận rồi để trống
2. Rời khỏi ô (blur) sang field khác</t>
        </is>
      </c>
      <c r="I99" s="427" t="inlineStr">
        <is>
          <t>1. Field hiển thị rỗng
2. Lỗi hiển thị dạng text ngay dưới ô nhập Tên người nhận, KHÔNG dùng popup</t>
        </is>
      </c>
      <c r="J99" s="426" t="inlineStr">
        <is>
          <t>AI</t>
        </is>
      </c>
      <c r="K99" s="426" t="inlineStr">
        <is>
          <t>Pending</t>
        </is>
      </c>
      <c r="L99" s="426" t="inlineStr">
        <is>
          <t>No</t>
        </is>
      </c>
      <c r="M99" s="426" t="n"/>
      <c r="N99" s="428" t="n"/>
      <c r="O99" s="428" t="n"/>
      <c r="P99" s="428" t="n"/>
      <c r="Q99" s="428" t="n"/>
      <c r="R99" s="428" t="n"/>
      <c r="S99" s="428" t="n"/>
      <c r="T99" s="428" t="n"/>
      <c r="U99" s="428" t="n"/>
      <c r="V99" s="428" t="n"/>
      <c r="W99" s="428" t="n"/>
      <c r="X99" s="428" t="n"/>
      <c r="Y99" s="428" t="n"/>
      <c r="Z99" s="428" t="n"/>
      <c r="AA99" s="428" t="n"/>
      <c r="AB99" s="429" t="n"/>
      <c r="AC99" s="429" t="n"/>
      <c r="AD99" s="429" t="n"/>
      <c r="AE99" s="429" t="n"/>
      <c r="AF99" s="429" t="n"/>
      <c r="AG99" s="429" t="n"/>
      <c r="AH99" s="429" t="n"/>
      <c r="AI99" s="429" t="n"/>
      <c r="AJ99" s="429" t="n"/>
      <c r="AK99" s="429" t="n"/>
      <c r="AL99" s="429" t="n"/>
      <c r="AM99" s="430">
        <f>IF($A97="","",IF(OR($N97="Yes",$S97="Yes",$X97="Yes",$AC97="Yes",$AH97="Yes"),"Yes","No"))</f>
        <v/>
      </c>
      <c r="AN99" s="430">
        <f>IF($A97="","",IFERROR(IF($AI97&lt;&gt;"",$AI97,IF($AD97&lt;&gt;"",$AD97,IF($Y97&lt;&gt;"",$Y97,IF($T97&lt;&gt;"",$T97,IF($O97&lt;&gt;"",$O97,""))))),""))</f>
        <v/>
      </c>
      <c r="AO99" s="430">
        <f>IFERROR(IF($AJ97&lt;&gt;"",$AJ97,IF($AE97&lt;&gt;"",$AE97,IF($Z97&lt;&gt;"",$Z97,IF($U97&lt;&gt;"",$U97,IF($P97&lt;&gt;"",$P97,""))))),"")</f>
        <v/>
      </c>
      <c r="AP99" s="431" t="inlineStr">
        <is>
          <t>Technique: N/A — baseline (derive trực tiếp từ rule VAL-02, BRD v3.2 §D8.3; không thuộc rubric B1–B8) | Sửa 2026-07-30 theo finding review-tc m5 (R1-17): trước đây tag sai thành "VAL-02-…" trong khi VAL-02 là rule ID của BRD v3.2 §D8.3, không phải test design technique</t>
        </is>
      </c>
      <c r="AQ99" s="224" t="n"/>
    </row>
    <row r="100" ht="15.75" customHeight="1" s="225">
      <c r="A100" s="426">
        <f>IF(C100="","",$C$2&amp;"."&amp;COUNTA($C$8:C100)&amp;"")</f>
        <v/>
      </c>
      <c r="B100" s="426" t="inlineStr">
        <is>
          <t>REQ-ORD-013</t>
        </is>
      </c>
      <c r="C100" s="426" t="inlineStr">
        <is>
          <t>DOC-v1.0-01 (BRD v3.2 §D8.3)</t>
        </is>
      </c>
      <c r="D100" s="426" t="inlineStr">
        <is>
          <t>UI</t>
        </is>
      </c>
      <c r="E100" s="426" t="inlineStr">
        <is>
          <t>Medium</t>
        </is>
      </c>
      <c r="F100" s="427" t="inlineStr">
        <is>
          <t>Check bấm submit khi còn lỗi tự cuộn tới ô lỗi đầu tiên</t>
        </is>
      </c>
      <c r="G100" s="427" t="inlineStr">
        <is>
          <t>Đang ở Bước 3/3 (hoặc bước tương ứng), có ≥2 field lỗi chưa sửa</t>
        </is>
      </c>
      <c r="H100" s="427" t="inlineStr">
        <is>
          <t>1. Bấm nút submit ('Đăng tin ngay' hoặc 'Tiếp theo') khi còn nhiều field lỗi</t>
        </is>
      </c>
      <c r="I100" s="427" t="inlineStr">
        <is>
          <t>1. Màn tự động cuộn tới vị trí ô lỗi ĐẦU TIÊN (theo thứ tự hiển thị trên form)</t>
        </is>
      </c>
      <c r="J100" s="426" t="inlineStr">
        <is>
          <t>AI</t>
        </is>
      </c>
      <c r="K100" s="426" t="inlineStr">
        <is>
          <t>Pending</t>
        </is>
      </c>
      <c r="L100" s="426" t="inlineStr">
        <is>
          <t>No</t>
        </is>
      </c>
      <c r="M100" s="426" t="n"/>
      <c r="N100" s="428" t="n"/>
      <c r="O100" s="428" t="n"/>
      <c r="P100" s="428" t="n"/>
      <c r="Q100" s="428" t="n"/>
      <c r="R100" s="428" t="n"/>
      <c r="S100" s="428" t="n"/>
      <c r="T100" s="428" t="n"/>
      <c r="U100" s="428" t="n"/>
      <c r="V100" s="428" t="n"/>
      <c r="W100" s="428" t="n"/>
      <c r="X100" s="428" t="n"/>
      <c r="Y100" s="428" t="n"/>
      <c r="Z100" s="428" t="n"/>
      <c r="AA100" s="428" t="n"/>
      <c r="AB100" s="429" t="n"/>
      <c r="AC100" s="429" t="n"/>
      <c r="AD100" s="429" t="n"/>
      <c r="AE100" s="429" t="n"/>
      <c r="AF100" s="429" t="n"/>
      <c r="AG100" s="429" t="n"/>
      <c r="AH100" s="429" t="n"/>
      <c r="AI100" s="429" t="n"/>
      <c r="AJ100" s="429" t="n"/>
      <c r="AK100" s="429" t="n"/>
      <c r="AL100" s="429" t="n"/>
      <c r="AM100" s="430">
        <f>IF($A98="","",IF(OR($N98="Yes",$S98="Yes",$X98="Yes",$AC98="Yes",$AH98="Yes"),"Yes","No"))</f>
        <v/>
      </c>
      <c r="AN100" s="430">
        <f>IF($A98="","",IFERROR(IF($AI98&lt;&gt;"",$AI98,IF($AD98&lt;&gt;"",$AD98,IF($Y98&lt;&gt;"",$Y98,IF($T98&lt;&gt;"",$T98,IF($O98&lt;&gt;"",$O98,""))))),""))</f>
        <v/>
      </c>
      <c r="AO100" s="430">
        <f>IFERROR(IF($AJ98&lt;&gt;"",$AJ98,IF($AE98&lt;&gt;"",$AE98,IF($Z98&lt;&gt;"",$Z98,IF($U98&lt;&gt;"",$U98,IF($P98&lt;&gt;"",$P98,""))))),"")</f>
        <v/>
      </c>
      <c r="AP100" s="431" t="inlineStr">
        <is>
          <t>Technique: N/A — baseline (derive trực tiếp từ rule VAL-02, BRD v3.2 §D8.3; không thuộc rubric B1–B8) | Sửa 2026-07-30 theo finding review-tc m5 (R1-17)</t>
        </is>
      </c>
      <c r="AQ100" s="224" t="n"/>
    </row>
    <row r="101" ht="15.75" customHeight="1" s="225">
      <c r="A101" s="426">
        <f>IF(C101="","",$C$2&amp;"."&amp;COUNTA($C$8:C101)&amp;"")</f>
        <v/>
      </c>
      <c r="B101" s="426" t="inlineStr">
        <is>
          <t>REQ-ORD-013</t>
        </is>
      </c>
      <c r="C101" s="426" t="inlineStr">
        <is>
          <t>DOC-v1.0-01 (BRD v3.2 §D8.3)</t>
        </is>
      </c>
      <c r="D101" s="426" t="inlineStr">
        <is>
          <t>Functional</t>
        </is>
      </c>
      <c r="E101" s="426" t="inlineStr">
        <is>
          <t>Low</t>
        </is>
      </c>
      <c r="F101" s="427" t="inlineStr">
        <is>
          <t>Check tự động trim khoảng trắng đầu/cuối trước khi lưu</t>
        </is>
      </c>
      <c r="G101" s="427" t="inlineStr">
        <is>
          <t>Đang ở Bước 2/3, khối Người nhận</t>
        </is>
      </c>
      <c r="H101" s="427" t="inlineStr">
        <is>
          <t>1. Nhập Tên người nhận = ' Nguyễn Văn A ' (có khoảng trắng đầu và cuối)
2. Hoàn tất đăng tin</t>
        </is>
      </c>
      <c r="I101" s="427" t="inlineStr">
        <is>
          <t>1. Ô nhập hiển thị đúng giá trị vừa gõ (kèm khoảng trắng)
2. Dữ liệu lưu lại là 'Nguyễn Văn A' (đã tự động trim khoảng trắng thừa)</t>
        </is>
      </c>
      <c r="J101" s="426" t="inlineStr">
        <is>
          <t>AI</t>
        </is>
      </c>
      <c r="K101" s="426" t="inlineStr">
        <is>
          <t>Pending</t>
        </is>
      </c>
      <c r="L101" s="426" t="inlineStr">
        <is>
          <t>No</t>
        </is>
      </c>
      <c r="M101" s="426" t="n"/>
      <c r="N101" s="428" t="n"/>
      <c r="O101" s="428" t="n"/>
      <c r="P101" s="428" t="n"/>
      <c r="Q101" s="428" t="n"/>
      <c r="R101" s="428" t="n"/>
      <c r="S101" s="428" t="n"/>
      <c r="T101" s="428" t="n"/>
      <c r="U101" s="428" t="n"/>
      <c r="V101" s="428" t="n"/>
      <c r="W101" s="428" t="n"/>
      <c r="X101" s="428" t="n"/>
      <c r="Y101" s="428" t="n"/>
      <c r="Z101" s="428" t="n"/>
      <c r="AA101" s="428" t="n"/>
      <c r="AB101" s="429" t="n"/>
      <c r="AC101" s="429" t="n"/>
      <c r="AD101" s="429" t="n"/>
      <c r="AE101" s="429" t="n"/>
      <c r="AF101" s="429" t="n"/>
      <c r="AG101" s="429" t="n"/>
      <c r="AH101" s="429" t="n"/>
      <c r="AI101" s="429" t="n"/>
      <c r="AJ101" s="429" t="n"/>
      <c r="AK101" s="429" t="n"/>
      <c r="AL101" s="429" t="n"/>
      <c r="AM101" s="430">
        <f>IF($A99="","",IF(OR($N99="Yes",$S99="Yes",$X99="Yes",$AC99="Yes",$AH99="Yes"),"Yes","No"))</f>
        <v/>
      </c>
      <c r="AN101" s="430">
        <f>IF($A99="","",IFERROR(IF($AI99&lt;&gt;"",$AI99,IF($AD99&lt;&gt;"",$AD99,IF($Y99&lt;&gt;"",$Y99,IF($T99&lt;&gt;"",$T99,IF($O99&lt;&gt;"",$O99,""))))),""))</f>
        <v/>
      </c>
      <c r="AO101" s="430">
        <f>IFERROR(IF($AJ99&lt;&gt;"",$AJ99,IF($AE99&lt;&gt;"",$AE99,IF($Z99&lt;&gt;"",$Z99,IF($U99&lt;&gt;"",$U99,IF($P99&lt;&gt;"",$P99,""))))),"")</f>
        <v/>
      </c>
      <c r="AP101" s="431" t="inlineStr">
        <is>
          <t>Technique: EG-trim (VAL-03, representative — áp dụng chung wizard NEED lẫn OFFER)</t>
        </is>
      </c>
      <c r="AQ101" s="224" t="n"/>
    </row>
    <row r="102" ht="15.75" customHeight="1" s="225">
      <c r="A102" s="426">
        <f>IF(C102="","",$C$2&amp;"."&amp;COUNTA($C$8:C102)&amp;"")</f>
        <v/>
      </c>
      <c r="B102" s="426" t="inlineStr">
        <is>
          <t>REQ-ORD-013</t>
        </is>
      </c>
      <c r="C102" s="426" t="inlineStr">
        <is>
          <t>DOC-v1.0-01 (BRD v3.2 §D8.3)</t>
        </is>
      </c>
      <c r="D102" s="426" t="inlineStr">
        <is>
          <t>Functional</t>
        </is>
      </c>
      <c r="E102" s="426" t="inlineStr">
        <is>
          <t>Low</t>
        </is>
      </c>
      <c r="F102" s="427" t="inlineStr">
        <is>
          <t>Check tự động chuẩn hoá SĐT trước khi lưu</t>
        </is>
      </c>
      <c r="G102" s="427" t="inlineStr">
        <is>
          <t>Đang ở Bước 2/3, khối Người nhận</t>
        </is>
      </c>
      <c r="H102" s="427" t="inlineStr">
        <is>
          <t>1. Nhập SĐT người nhận = '090.123 4567' (có khoảng trắng và dấu chấm)
2. Hoàn tất đăng tin</t>
        </is>
      </c>
      <c r="I102" s="427" t="inlineStr">
        <is>
          <t>1. Ô nhập hiển thị đúng giá trị vừa gõ
2. Dữ liệu lưu lại là '0901234567' (đã chuẩn hoá, bỏ khoảng trắng/dấu chấm)</t>
        </is>
      </c>
      <c r="J102" s="426" t="inlineStr">
        <is>
          <t>AI</t>
        </is>
      </c>
      <c r="K102" s="426" t="inlineStr">
        <is>
          <t>Pending</t>
        </is>
      </c>
      <c r="L102" s="426" t="inlineStr">
        <is>
          <t>No</t>
        </is>
      </c>
      <c r="M102" s="426" t="n"/>
      <c r="N102" s="428" t="n"/>
      <c r="O102" s="428" t="n"/>
      <c r="P102" s="428" t="n"/>
      <c r="Q102" s="428" t="n"/>
      <c r="R102" s="428" t="n"/>
      <c r="S102" s="428" t="n"/>
      <c r="T102" s="428" t="n"/>
      <c r="U102" s="428" t="n"/>
      <c r="V102" s="428" t="n"/>
      <c r="W102" s="428" t="n"/>
      <c r="X102" s="428" t="n"/>
      <c r="Y102" s="428" t="n"/>
      <c r="Z102" s="428" t="n"/>
      <c r="AA102" s="428" t="n"/>
      <c r="AB102" s="429" t="n"/>
      <c r="AC102" s="429" t="n"/>
      <c r="AD102" s="429" t="n"/>
      <c r="AE102" s="429" t="n"/>
      <c r="AF102" s="429" t="n"/>
      <c r="AG102" s="429" t="n"/>
      <c r="AH102" s="429" t="n"/>
      <c r="AI102" s="429" t="n"/>
      <c r="AJ102" s="429" t="n"/>
      <c r="AK102" s="429" t="n"/>
      <c r="AL102" s="429" t="n"/>
      <c r="AM102" s="430">
        <f>IF($A100="","",IF(OR($N100="Yes",$S100="Yes",$X100="Yes",$AC100="Yes",$AH100="Yes"),"Yes","No"))</f>
        <v/>
      </c>
      <c r="AN102" s="430">
        <f>IF($A100="","",IFERROR(IF($AI100&lt;&gt;"",$AI100,IF($AD100&lt;&gt;"",$AD100,IF($Y100&lt;&gt;"",$Y100,IF($T100&lt;&gt;"",$T100,IF($O100&lt;&gt;"",$O100,""))))),""))</f>
        <v/>
      </c>
      <c r="AO102" s="430">
        <f>IFERROR(IF($AJ100&lt;&gt;"",$AJ100,IF($AE100&lt;&gt;"",$AE100,IF($Z100&lt;&gt;"",$Z100,IF($U100&lt;&gt;"",$U100,IF($P100&lt;&gt;"",$P100,""))))),"")</f>
        <v/>
      </c>
      <c r="AP102" s="431" t="inlineStr">
        <is>
          <t>Technique: EG-normalize (VAL-03, representative — áp dụng chung wizard NEED lẫn OFFER)</t>
        </is>
      </c>
      <c r="AQ102" s="224" t="n"/>
    </row>
    <row r="103" ht="15.75" customHeight="1" s="225">
      <c r="A103" s="423" t="inlineStr">
        <is>
          <t>Đăng tin thành công</t>
        </is>
      </c>
      <c r="B103" s="233" t="n"/>
      <c r="C103" s="233" t="n"/>
      <c r="D103" s="233" t="n"/>
      <c r="E103" s="233" t="n"/>
      <c r="F103" s="233" t="n"/>
      <c r="G103" s="233" t="n"/>
      <c r="H103" s="233" t="n"/>
      <c r="I103" s="231" t="n"/>
      <c r="J103" s="424" t="n"/>
      <c r="K103" s="424" t="n"/>
      <c r="L103" s="424" t="n"/>
      <c r="M103" s="424" t="n"/>
      <c r="N103" s="425" t="n"/>
      <c r="O103" s="425" t="n"/>
      <c r="P103" s="425" t="n"/>
      <c r="Q103" s="425" t="n"/>
      <c r="R103" s="425" t="n"/>
      <c r="S103" s="425" t="n"/>
      <c r="T103" s="425" t="n"/>
      <c r="U103" s="425" t="n"/>
      <c r="V103" s="425" t="n"/>
      <c r="W103" s="425" t="n"/>
      <c r="X103" s="425" t="n"/>
      <c r="Y103" s="425" t="n"/>
      <c r="Z103" s="425" t="n"/>
      <c r="AA103" s="425" t="n"/>
      <c r="AB103" s="421" t="n"/>
      <c r="AC103" s="421" t="n"/>
      <c r="AD103" s="421" t="n"/>
      <c r="AE103" s="421" t="n"/>
      <c r="AF103" s="421" t="n"/>
      <c r="AG103" s="421" t="n"/>
      <c r="AH103" s="421" t="n"/>
      <c r="AI103" s="421" t="n"/>
      <c r="AJ103" s="421" t="n"/>
      <c r="AK103" s="421" t="n"/>
      <c r="AL103" s="421" t="n"/>
      <c r="AM103" s="422" t="n"/>
      <c r="AN103" s="422" t="n"/>
      <c r="AO103" s="422" t="n"/>
      <c r="AP103" s="422" t="n"/>
      <c r="AQ103" s="224" t="n"/>
    </row>
    <row r="104" ht="15.75" customHeight="1" s="225">
      <c r="A104" s="426" t="n"/>
      <c r="B104" s="432" t="inlineStr">
        <is>
          <t>Block Popup kết quả (title + nội dung + 2 nút)</t>
        </is>
      </c>
      <c r="C104" s="233" t="n"/>
      <c r="D104" s="233" t="n"/>
      <c r="E104" s="233" t="n"/>
      <c r="F104" s="233" t="n"/>
      <c r="G104" s="233" t="n"/>
      <c r="H104" s="233" t="n"/>
      <c r="I104" s="231" t="n"/>
      <c r="J104" s="426" t="n"/>
      <c r="K104" s="426" t="n"/>
      <c r="L104" s="426" t="n"/>
      <c r="M104" s="426" t="n"/>
      <c r="N104" s="428" t="n"/>
      <c r="O104" s="428" t="n"/>
      <c r="P104" s="428" t="n"/>
      <c r="Q104" s="428" t="n"/>
      <c r="R104" s="428" t="n"/>
      <c r="S104" s="428" t="n"/>
      <c r="T104" s="428" t="n"/>
      <c r="U104" s="428" t="n"/>
      <c r="V104" s="428" t="n"/>
      <c r="W104" s="428" t="n"/>
      <c r="X104" s="428" t="n"/>
      <c r="Y104" s="428" t="n"/>
      <c r="Z104" s="428" t="n"/>
      <c r="AA104" s="428" t="n"/>
      <c r="AB104" s="429" t="n"/>
      <c r="AC104" s="429" t="n"/>
      <c r="AD104" s="429" t="n"/>
      <c r="AE104" s="429" t="n"/>
      <c r="AF104" s="429" t="n"/>
      <c r="AG104" s="429" t="n"/>
      <c r="AH104" s="429" t="n"/>
      <c r="AI104" s="429" t="n"/>
      <c r="AJ104" s="429" t="n"/>
      <c r="AK104" s="429" t="n"/>
      <c r="AL104" s="429" t="n"/>
      <c r="AM104" s="430" t="n"/>
      <c r="AN104" s="430" t="n"/>
      <c r="AO104" s="430" t="n"/>
      <c r="AP104" s="431" t="n"/>
      <c r="AQ104" s="224" t="n"/>
    </row>
    <row r="105" ht="115" customHeight="1" s="225">
      <c r="A105" s="426">
        <f>IF(C105="","",$C$2&amp;"."&amp;COUNTA($C$8:C105)&amp;"")</f>
        <v/>
      </c>
      <c r="B105" s="426" t="inlineStr">
        <is>
          <t>REQ-ORD-001</t>
        </is>
      </c>
      <c r="C105" s="426" t="inlineStr">
        <is>
          <t>DOC-v1.0-02, DOC-v1.0-04</t>
        </is>
      </c>
      <c r="D105" s="426" t="inlineStr">
        <is>
          <t>UI</t>
        </is>
      </c>
      <c r="E105" s="426" t="inlineStr">
        <is>
          <t>Medium</t>
        </is>
      </c>
      <c r="F105" s="427" t="inlineStr">
        <is>
          <t>Check đầy đủ thành phần popup 'Đăng tin thành công'</t>
        </is>
      </c>
      <c r="G105" s="427" t="inlineStr">
        <is>
          <t>Vừa bấm 'Đăng tin ngay' thành công</t>
        </is>
      </c>
      <c r="H105" s="427" t="inlineStr">
        <is>
          <t>1. Quan sát popup kết quả</t>
        </is>
      </c>
      <c r="I105" s="427" t="inlineStr">
        <is>
          <t>1. Hiển thị đủ:
- icon check tròn xanh lá
- title 'Đăng tin thành công!'
- nội dung 'Tin của bạn đã được đăng lên bảng tin. Chúng tôi sẽ thông báo ngay khi có người quan tâm.'
- nút 'Theo dõi đơn' (cam, primary)
- nút 'Về trang chủ' (viền, secondary)
Lưu ý: KHÔNG assert dòng 'Mã tin' (C-ORD-05, chưa BA xác nhận biến thể chính thức)</t>
        </is>
      </c>
      <c r="J105" s="426" t="inlineStr">
        <is>
          <t>AI</t>
        </is>
      </c>
      <c r="K105" s="426" t="inlineStr">
        <is>
          <t>Pending</t>
        </is>
      </c>
      <c r="L105" s="426" t="inlineStr">
        <is>
          <t>No</t>
        </is>
      </c>
      <c r="M105" s="426" t="n"/>
      <c r="N105" s="428" t="n"/>
      <c r="O105" s="428" t="n"/>
      <c r="P105" s="428" t="n"/>
      <c r="Q105" s="428" t="n"/>
      <c r="R105" s="428" t="n"/>
      <c r="S105" s="428" t="n"/>
      <c r="T105" s="428" t="n"/>
      <c r="U105" s="428" t="n"/>
      <c r="V105" s="428" t="n"/>
      <c r="W105" s="428" t="n"/>
      <c r="X105" s="428" t="n"/>
      <c r="Y105" s="428" t="n"/>
      <c r="Z105" s="428" t="n"/>
      <c r="AA105" s="428" t="n"/>
      <c r="AB105" s="429" t="n"/>
      <c r="AC105" s="429" t="n"/>
      <c r="AD105" s="429" t="n"/>
      <c r="AE105" s="429" t="n"/>
      <c r="AF105" s="429" t="n"/>
      <c r="AG105" s="429" t="n"/>
      <c r="AH105" s="429" t="n"/>
      <c r="AI105" s="429" t="n"/>
      <c r="AJ105" s="429" t="n"/>
      <c r="AK105" s="429" t="n"/>
      <c r="AL105" s="429" t="n"/>
      <c r="AM105" s="430">
        <f>IF($A103="","",IF(OR($N103="Yes",$S103="Yes",$X103="Yes",$AC103="Yes",$AH103="Yes"),"Yes","No"))</f>
        <v/>
      </c>
      <c r="AN105" s="430">
        <f>IF($A103="","",IFERROR(IF($AI103&lt;&gt;"",$AI103,IF($AD103&lt;&gt;"",$AD103,IF($Y103&lt;&gt;"",$Y103,IF($T103&lt;&gt;"",$T103,IF($O103&lt;&gt;"",$O103,""))))),""))</f>
        <v/>
      </c>
      <c r="AO105" s="430">
        <f>IFERROR(IF($AJ103&lt;&gt;"",$AJ103,IF($AE103&lt;&gt;"",$AE103,IF($Z103&lt;&gt;"",$Z103,IF($U103&lt;&gt;"",$U103,IF($P103&lt;&gt;"",$P103,""))))),"")</f>
        <v/>
      </c>
      <c r="AP105" s="431" t="inlineStr">
        <is>
          <t>Field/column completeness check — auto-derived (xem generate.md Step 3b)</t>
        </is>
      </c>
      <c r="AQ105" s="224" t="n"/>
    </row>
    <row r="106" ht="15.75" customHeight="1" s="225">
      <c r="A106" s="426">
        <f>IF(C106="","",$C$2&amp;"."&amp;COUNTA($C$8:C106)&amp;"")</f>
        <v/>
      </c>
      <c r="B106" s="426" t="inlineStr">
        <is>
          <t>REQ-ORD-001</t>
        </is>
      </c>
      <c r="C106" s="426" t="inlineStr">
        <is>
          <t>DOC-v1.0-02</t>
        </is>
      </c>
      <c r="D106" s="426" t="inlineStr">
        <is>
          <t>Functional</t>
        </is>
      </c>
      <c r="E106" s="426" t="inlineStr">
        <is>
          <t>Medium</t>
        </is>
      </c>
      <c r="F106" s="427" t="inlineStr">
        <is>
          <t>Check tin xuất hiện ngay tại 'Đơn của tôi' sau khi đăng thành công</t>
        </is>
      </c>
      <c r="G106" s="427" t="inlineStr">
        <is>
          <t>Vừa đăng tin NEED thành công</t>
        </is>
      </c>
      <c r="H106" s="427" t="inlineStr">
        <is>
          <t>1. Từ popup kết quả bấm 'Về trang chủ'
2. Quan sát block 'Đơn của tôi'</t>
        </is>
      </c>
      <c r="I106" s="427" t="inlineStr">
        <is>
          <t>1. Chuyển về Trang chủ
2. Tin vừa đăng xuất hiện ngay tại 'Đơn của tôi' trên Trang chủ, trạng thái 'Chờ ghép'</t>
        </is>
      </c>
      <c r="J106" s="426" t="inlineStr">
        <is>
          <t>AI</t>
        </is>
      </c>
      <c r="K106" s="426" t="inlineStr">
        <is>
          <t>Pending</t>
        </is>
      </c>
      <c r="L106" s="426" t="inlineStr">
        <is>
          <t>No</t>
        </is>
      </c>
      <c r="M106" s="426" t="n"/>
      <c r="N106" s="428" t="n"/>
      <c r="O106" s="428" t="n"/>
      <c r="P106" s="428" t="n"/>
      <c r="Q106" s="428" t="n"/>
      <c r="R106" s="428" t="n"/>
      <c r="S106" s="428" t="n"/>
      <c r="T106" s="428" t="n"/>
      <c r="U106" s="428" t="n"/>
      <c r="V106" s="428" t="n"/>
      <c r="W106" s="428" t="n"/>
      <c r="X106" s="428" t="n"/>
      <c r="Y106" s="428" t="n"/>
      <c r="Z106" s="428" t="n"/>
      <c r="AA106" s="428" t="n"/>
      <c r="AB106" s="429" t="n"/>
      <c r="AC106" s="429" t="n"/>
      <c r="AD106" s="429" t="n"/>
      <c r="AE106" s="429" t="n"/>
      <c r="AF106" s="429" t="n"/>
      <c r="AG106" s="429" t="n"/>
      <c r="AH106" s="429" t="n"/>
      <c r="AI106" s="429" t="n"/>
      <c r="AJ106" s="429" t="n"/>
      <c r="AK106" s="429" t="n"/>
      <c r="AL106" s="429" t="n"/>
      <c r="AM106" s="430">
        <f>IF($A104="","",IF(OR($N104="Yes",$S104="Yes",$X104="Yes",$AC104="Yes",$AH104="Yes"),"Yes","No"))</f>
        <v/>
      </c>
      <c r="AN106" s="430">
        <f>IF($A104="","",IFERROR(IF($AI104&lt;&gt;"",$AI104,IF($AD104&lt;&gt;"",$AD104,IF($Y104&lt;&gt;"",$Y104,IF($T104&lt;&gt;"",$T104,IF($O104&lt;&gt;"",$O104,""))))),""))</f>
        <v/>
      </c>
      <c r="AO106" s="430">
        <f>IFERROR(IF($AJ104&lt;&gt;"",$AJ104,IF($AE104&lt;&gt;"",$AE104,IF($Z104&lt;&gt;"",$Z104,IF($U104&lt;&gt;"",$U104,IF($P104&lt;&gt;"",$P104,""))))),"")</f>
        <v/>
      </c>
      <c r="AP106" s="431" t="n"/>
      <c r="AQ106" s="224" t="n"/>
    </row>
    <row r="107" ht="15.75" customHeight="1" s="225">
      <c r="A107" s="426">
        <f>IF(C107="","",$C$2&amp;"."&amp;COUNTA($C$8:C107)&amp;"")</f>
        <v/>
      </c>
      <c r="B107" s="426" t="inlineStr">
        <is>
          <t>REQ-ORD-001</t>
        </is>
      </c>
      <c r="C107" s="426" t="inlineStr">
        <is>
          <t>DOC-v1.0-02</t>
        </is>
      </c>
      <c r="D107" s="426" t="inlineStr">
        <is>
          <t>Functional</t>
        </is>
      </c>
      <c r="E107" s="426" t="inlineStr">
        <is>
          <t>Medium</t>
        </is>
      </c>
      <c r="F107" s="427" t="inlineStr">
        <is>
          <t>Check bấm nút 'Theo dõi đơn' điều hướng đúng màn Theo dõi đơn</t>
        </is>
      </c>
      <c r="G107" s="427" t="inlineStr">
        <is>
          <t>Đang ở popup 'Đăng tin thành công'</t>
        </is>
      </c>
      <c r="H107" s="427" t="inlineStr">
        <is>
          <t>1. Bấm nút 'Theo dõi đơn'</t>
        </is>
      </c>
      <c r="I107" s="427" t="inlineStr">
        <is>
          <t>1. Chuyển sang màn Theo dõi đơn của tin vừa tạo</t>
        </is>
      </c>
      <c r="J107" s="426" t="inlineStr">
        <is>
          <t>AI</t>
        </is>
      </c>
      <c r="K107" s="426" t="inlineStr">
        <is>
          <t>Pending</t>
        </is>
      </c>
      <c r="L107" s="426" t="inlineStr">
        <is>
          <t>No</t>
        </is>
      </c>
      <c r="M107" s="426" t="n"/>
      <c r="N107" s="428" t="n"/>
      <c r="O107" s="428" t="n"/>
      <c r="P107" s="428" t="n"/>
      <c r="Q107" s="428" t="n"/>
      <c r="R107" s="428" t="n"/>
      <c r="S107" s="428" t="n"/>
      <c r="T107" s="428" t="n"/>
      <c r="U107" s="428" t="n"/>
      <c r="V107" s="428" t="n"/>
      <c r="W107" s="428" t="n"/>
      <c r="X107" s="428" t="n"/>
      <c r="Y107" s="428" t="n"/>
      <c r="Z107" s="428" t="n"/>
      <c r="AA107" s="428" t="n"/>
      <c r="AB107" s="429" t="n"/>
      <c r="AC107" s="429" t="n"/>
      <c r="AD107" s="429" t="n"/>
      <c r="AE107" s="429" t="n"/>
      <c r="AF107" s="429" t="n"/>
      <c r="AG107" s="429" t="n"/>
      <c r="AH107" s="429" t="n"/>
      <c r="AI107" s="429" t="n"/>
      <c r="AJ107" s="429" t="n"/>
      <c r="AK107" s="429" t="n"/>
      <c r="AL107" s="429" t="n"/>
      <c r="AM107" s="430">
        <f>IF($A105="","",IF(OR($N105="Yes",$S105="Yes",$X105="Yes",$AC105="Yes",$AH105="Yes"),"Yes","No"))</f>
        <v/>
      </c>
      <c r="AN107" s="430">
        <f>IF($A105="","",IFERROR(IF($AI105&lt;&gt;"",$AI105,IF($AD105&lt;&gt;"",$AD105,IF($Y105&lt;&gt;"",$Y105,IF($T105&lt;&gt;"",$T105,IF($O105&lt;&gt;"",$O105,""))))),""))</f>
        <v/>
      </c>
      <c r="AO107" s="430">
        <f>IFERROR(IF($AJ105&lt;&gt;"",$AJ105,IF($AE105&lt;&gt;"",$AE105,IF($Z105&lt;&gt;"",$Z105,IF($U105&lt;&gt;"",$U105,IF($P105&lt;&gt;"",$P105,""))))),"")</f>
        <v/>
      </c>
      <c r="AP107" s="431" t="inlineStr">
        <is>
          <t>Technique: EP-btn-TheoDoiDon</t>
        </is>
      </c>
      <c r="AQ107" s="224" t="n"/>
    </row>
    <row r="108" ht="15.75" customHeight="1" s="225">
      <c r="A108" s="426">
        <f>IF(C108="","",$C$2&amp;"."&amp;COUNTA($C$8:C108)&amp;"")</f>
        <v/>
      </c>
      <c r="B108" s="426" t="inlineStr">
        <is>
          <t>REQ-ORD-001</t>
        </is>
      </c>
      <c r="C108" s="426" t="inlineStr">
        <is>
          <t>DOC-v1.0-02</t>
        </is>
      </c>
      <c r="D108" s="426" t="inlineStr">
        <is>
          <t>Functional</t>
        </is>
      </c>
      <c r="E108" s="426" t="inlineStr">
        <is>
          <t>Medium</t>
        </is>
      </c>
      <c r="F108" s="427" t="inlineStr">
        <is>
          <t>Check bấm nút 'Về trang chủ' điều hướng đúng Trang chủ</t>
        </is>
      </c>
      <c r="G108" s="427" t="inlineStr">
        <is>
          <t>Đang ở popup 'Đăng tin thành công'</t>
        </is>
      </c>
      <c r="H108" s="427" t="inlineStr">
        <is>
          <t>1. Bấm nút 'Về trang chủ'</t>
        </is>
      </c>
      <c r="I108" s="427" t="inlineStr">
        <is>
          <t>1. Chuyển về màn Trang chủ</t>
        </is>
      </c>
      <c r="J108" s="426" t="inlineStr">
        <is>
          <t>AI</t>
        </is>
      </c>
      <c r="K108" s="426" t="inlineStr">
        <is>
          <t>Pending</t>
        </is>
      </c>
      <c r="L108" s="426" t="inlineStr">
        <is>
          <t>No</t>
        </is>
      </c>
      <c r="M108" s="426" t="n"/>
      <c r="N108" s="428" t="n"/>
      <c r="O108" s="428" t="n"/>
      <c r="P108" s="428" t="n"/>
      <c r="Q108" s="428" t="n"/>
      <c r="R108" s="428" t="n"/>
      <c r="S108" s="428" t="n"/>
      <c r="T108" s="428" t="n"/>
      <c r="U108" s="428" t="n"/>
      <c r="V108" s="428" t="n"/>
      <c r="W108" s="428" t="n"/>
      <c r="X108" s="428" t="n"/>
      <c r="Y108" s="428" t="n"/>
      <c r="Z108" s="428" t="n"/>
      <c r="AA108" s="428" t="n"/>
      <c r="AB108" s="429" t="n"/>
      <c r="AC108" s="429" t="n"/>
      <c r="AD108" s="429" t="n"/>
      <c r="AE108" s="429" t="n"/>
      <c r="AF108" s="429" t="n"/>
      <c r="AG108" s="429" t="n"/>
      <c r="AH108" s="429" t="n"/>
      <c r="AI108" s="429" t="n"/>
      <c r="AJ108" s="429" t="n"/>
      <c r="AK108" s="429" t="n"/>
      <c r="AL108" s="429" t="n"/>
      <c r="AM108" s="430">
        <f>IF($A106="","",IF(OR($N106="Yes",$S106="Yes",$X106="Yes",$AC106="Yes",$AH106="Yes"),"Yes","No"))</f>
        <v/>
      </c>
      <c r="AN108" s="430">
        <f>IF($A106="","",IFERROR(IF($AI106&lt;&gt;"",$AI106,IF($AD106&lt;&gt;"",$AD106,IF($Y106&lt;&gt;"",$Y106,IF($T106&lt;&gt;"",$T106,IF($O106&lt;&gt;"",$O106,""))))),""))</f>
        <v/>
      </c>
      <c r="AO108" s="430">
        <f>IFERROR(IF($AJ106&lt;&gt;"",$AJ106,IF($AE106&lt;&gt;"",$AE106,IF($Z106&lt;&gt;"",$Z106,IF($U106&lt;&gt;"",$U106,IF($P106&lt;&gt;"",$P106,""))))),"")</f>
        <v/>
      </c>
      <c r="AP108" s="431" t="inlineStr">
        <is>
          <t>Technique: EP-btn-VeTrangChu</t>
        </is>
      </c>
      <c r="AQ108" s="224" t="n"/>
    </row>
    <row r="109" ht="15.75" customHeight="1" s="225">
      <c r="A109" s="423" t="inlineStr">
        <is>
          <t>Theo dõi đơn (Sender) — Timeline trạng thái</t>
        </is>
      </c>
      <c r="B109" s="233" t="n"/>
      <c r="C109" s="233" t="n"/>
      <c r="D109" s="233" t="n"/>
      <c r="E109" s="233" t="n"/>
      <c r="F109" s="233" t="n"/>
      <c r="G109" s="233" t="n"/>
      <c r="H109" s="233" t="n"/>
      <c r="I109" s="231" t="n"/>
      <c r="J109" s="424" t="n"/>
      <c r="K109" s="424" t="n"/>
      <c r="L109" s="424" t="n"/>
      <c r="M109" s="424" t="n"/>
      <c r="N109" s="425" t="n"/>
      <c r="O109" s="425" t="n"/>
      <c r="P109" s="425" t="n"/>
      <c r="Q109" s="425" t="n"/>
      <c r="R109" s="425" t="n"/>
      <c r="S109" s="425" t="n"/>
      <c r="T109" s="425" t="n"/>
      <c r="U109" s="425" t="n"/>
      <c r="V109" s="425" t="n"/>
      <c r="W109" s="425" t="n"/>
      <c r="X109" s="425" t="n"/>
      <c r="Y109" s="425" t="n"/>
      <c r="Z109" s="425" t="n"/>
      <c r="AA109" s="425" t="n"/>
      <c r="AB109" s="421" t="n"/>
      <c r="AC109" s="421" t="n"/>
      <c r="AD109" s="421" t="n"/>
      <c r="AE109" s="421" t="n"/>
      <c r="AF109" s="421" t="n"/>
      <c r="AG109" s="421" t="n"/>
      <c r="AH109" s="421" t="n"/>
      <c r="AI109" s="421" t="n"/>
      <c r="AJ109" s="421" t="n"/>
      <c r="AK109" s="421" t="n"/>
      <c r="AL109" s="421" t="n"/>
      <c r="AM109" s="422" t="n"/>
      <c r="AN109" s="422" t="n"/>
      <c r="AO109" s="422" t="n"/>
      <c r="AP109" s="422" t="n"/>
      <c r="AQ109" s="224" t="n"/>
    </row>
    <row r="110" ht="15.75" customHeight="1" s="225">
      <c r="A110" s="426" t="n"/>
      <c r="B110" s="432" t="inlineStr">
        <is>
          <t>Block Trạng thái &amp; lộ trình — Lịch sử</t>
        </is>
      </c>
      <c r="C110" s="233" t="n"/>
      <c r="D110" s="233" t="n"/>
      <c r="E110" s="233" t="n"/>
      <c r="F110" s="233" t="n"/>
      <c r="G110" s="233" t="n"/>
      <c r="H110" s="233" t="n"/>
      <c r="I110" s="231" t="n"/>
      <c r="J110" s="426" t="n"/>
      <c r="K110" s="426" t="n"/>
      <c r="L110" s="426" t="n"/>
      <c r="M110" s="426" t="n"/>
      <c r="N110" s="428" t="n"/>
      <c r="O110" s="428" t="n"/>
      <c r="P110" s="428" t="n"/>
      <c r="Q110" s="428" t="n"/>
      <c r="R110" s="428" t="n"/>
      <c r="S110" s="428" t="n"/>
      <c r="T110" s="428" t="n"/>
      <c r="U110" s="428" t="n"/>
      <c r="V110" s="428" t="n"/>
      <c r="W110" s="428" t="n"/>
      <c r="X110" s="428" t="n"/>
      <c r="Y110" s="428" t="n"/>
      <c r="Z110" s="428" t="n"/>
      <c r="AA110" s="428" t="n"/>
      <c r="AB110" s="429" t="n"/>
      <c r="AC110" s="429" t="n"/>
      <c r="AD110" s="429" t="n"/>
      <c r="AE110" s="429" t="n"/>
      <c r="AF110" s="429" t="n"/>
      <c r="AG110" s="429" t="n"/>
      <c r="AH110" s="429" t="n"/>
      <c r="AI110" s="429" t="n"/>
      <c r="AJ110" s="429" t="n"/>
      <c r="AK110" s="429" t="n"/>
      <c r="AL110" s="429" t="n"/>
      <c r="AM110" s="430" t="n"/>
      <c r="AN110" s="430" t="n"/>
      <c r="AO110" s="430" t="n"/>
      <c r="AP110" s="431" t="n"/>
      <c r="AQ110" s="224" t="n"/>
    </row>
    <row r="111" ht="15.75" customHeight="1" s="225">
      <c r="A111" s="426">
        <f>IF(C111="","",$C$2&amp;"."&amp;COUNTA($C$8:C111)&amp;"")</f>
        <v/>
      </c>
      <c r="B111" s="426" t="inlineStr">
        <is>
          <t>REQ-ORD-003</t>
        </is>
      </c>
      <c r="C111" s="426" t="inlineStr">
        <is>
          <t>DOC-v1.0-01, DOC-v1.0-02</t>
        </is>
      </c>
      <c r="D111" s="426" t="inlineStr">
        <is>
          <t>Functional</t>
        </is>
      </c>
      <c r="E111" s="426" t="inlineStr">
        <is>
          <t>High</t>
        </is>
      </c>
      <c r="F111" s="427" t="inlineStr">
        <is>
          <t>Check timeline hiển thị đầy đủ mốc kèm timestamp khi tin đã qua ≥2 trạng thái</t>
        </is>
      </c>
      <c r="G111" s="427" t="inlineStr">
        <is>
          <t>Tin đã qua ≥2 trạng thái (vd 'Chờ ghép' (POSTED) → 'Đã ghép' (MATCHED))</t>
        </is>
      </c>
      <c r="H111" s="427" t="inlineStr">
        <is>
          <t>1. Mở màn Theo dõi đơn của tin
2. Xem mục 'Lịch sử'</t>
        </is>
      </c>
      <c r="I111" s="427" t="inlineStr">
        <is>
          <t>1. Màn Theo dõi đơn hiển thị, có mục 'Lịch sử'
2. Hiển thị đủ 2 mốc đã qua ('Chờ ghép', 'Đã ghép'), mỗi mốc kèm timestamp (ngày/giờ) đúng với thời điểm chuyển trạng thái thật</t>
        </is>
      </c>
      <c r="J111" s="426" t="inlineStr">
        <is>
          <t>AI</t>
        </is>
      </c>
      <c r="K111" s="426" t="inlineStr">
        <is>
          <t>Pending</t>
        </is>
      </c>
      <c r="L111" s="426" t="inlineStr">
        <is>
          <t>No</t>
        </is>
      </c>
      <c r="M111" s="426" t="n"/>
      <c r="N111" s="428" t="n"/>
      <c r="O111" s="428" t="n"/>
      <c r="P111" s="428" t="n"/>
      <c r="Q111" s="428" t="n"/>
      <c r="R111" s="428" t="n"/>
      <c r="S111" s="428" t="n"/>
      <c r="T111" s="428" t="n"/>
      <c r="U111" s="428" t="n"/>
      <c r="V111" s="428" t="n"/>
      <c r="W111" s="428" t="n"/>
      <c r="X111" s="428" t="n"/>
      <c r="Y111" s="428" t="n"/>
      <c r="Z111" s="428" t="n"/>
      <c r="AA111" s="428" t="n"/>
      <c r="AB111" s="429" t="n"/>
      <c r="AC111" s="429" t="n"/>
      <c r="AD111" s="429" t="n"/>
      <c r="AE111" s="429" t="n"/>
      <c r="AF111" s="429" t="n"/>
      <c r="AG111" s="429" t="n"/>
      <c r="AH111" s="429" t="n"/>
      <c r="AI111" s="429" t="n"/>
      <c r="AJ111" s="429" t="n"/>
      <c r="AK111" s="429" t="n"/>
      <c r="AL111" s="429" t="n"/>
      <c r="AM111" s="430">
        <f>IF($A109="","",IF(OR($N109="Yes",$S109="Yes",$X109="Yes",$AC109="Yes",$AH109="Yes"),"Yes","No"))</f>
        <v/>
      </c>
      <c r="AN111" s="430">
        <f>IF($A109="","",IFERROR(IF($AI109&lt;&gt;"",$AI109,IF($AD109&lt;&gt;"",$AD109,IF($Y109&lt;&gt;"",$Y109,IF($T109&lt;&gt;"",$T109,IF($O109&lt;&gt;"",$O109,""))))),""))</f>
        <v/>
      </c>
      <c r="AO111" s="430">
        <f>IFERROR(IF($AJ109&lt;&gt;"",$AJ109,IF($AE109&lt;&gt;"",$AE109,IF($Z109&lt;&gt;"",$Z109,IF($U109&lt;&gt;"",$U109,IF($P109&lt;&gt;"",$P109,""))))),"")</f>
        <v/>
      </c>
      <c r="AP111" s="431" t="n"/>
      <c r="AQ111" s="224" t="n"/>
    </row>
    <row r="112" ht="15.75" customHeight="1" s="225">
      <c r="A112" s="426">
        <f>IF(C112="","",$C$2&amp;"."&amp;COUNTA($C$8:C112)&amp;"")</f>
        <v/>
      </c>
      <c r="B112" s="426" t="inlineStr">
        <is>
          <t>REQ-ORD-003</t>
        </is>
      </c>
      <c r="C112" s="426" t="inlineStr">
        <is>
          <t>DOC-v1.0-01, DOC-v1.0-02</t>
        </is>
      </c>
      <c r="D112" s="426" t="inlineStr">
        <is>
          <t>UI</t>
        </is>
      </c>
      <c r="E112" s="426" t="inlineStr">
        <is>
          <t>Medium</t>
        </is>
      </c>
      <c r="F112" s="427" t="inlineStr">
        <is>
          <t>Check mỗi mốc trong Lịch sử hiển thị đủ 2 thành phần: tên trạng thái + timestamp</t>
        </is>
      </c>
      <c r="G112" s="427" t="inlineStr">
        <is>
          <t>Tin đã qua ≥2 trạng thái, đang xem mục 'Lịch sử' tại Theo dõi đơn</t>
        </is>
      </c>
      <c r="H112" s="427" t="inlineStr">
        <is>
          <t>1. Quan sát từng dòng mốc trong Lịch sử</t>
        </is>
      </c>
      <c r="I112" s="427" t="inlineStr">
        <is>
          <t>1. Mỗi dòng mốc hiển thị đủ 2 thành phần: tên trạng thái (vd 'Chờ ghép', 'Đã ghép') và timestamp (ngày + giờ:phút) — không có dòng nào thiếu 1 trong 2 thành phần</t>
        </is>
      </c>
      <c r="J112" s="426" t="inlineStr">
        <is>
          <t>AI</t>
        </is>
      </c>
      <c r="K112" s="426" t="inlineStr">
        <is>
          <t>Pending</t>
        </is>
      </c>
      <c r="L112" s="426" t="inlineStr">
        <is>
          <t>No</t>
        </is>
      </c>
      <c r="M112" s="426" t="n"/>
      <c r="N112" s="428" t="n"/>
      <c r="O112" s="428" t="n"/>
      <c r="P112" s="428" t="n"/>
      <c r="Q112" s="428" t="n"/>
      <c r="R112" s="428" t="n"/>
      <c r="S112" s="428" t="n"/>
      <c r="T112" s="428" t="n"/>
      <c r="U112" s="428" t="n"/>
      <c r="V112" s="428" t="n"/>
      <c r="W112" s="428" t="n"/>
      <c r="X112" s="428" t="n"/>
      <c r="Y112" s="428" t="n"/>
      <c r="Z112" s="428" t="n"/>
      <c r="AA112" s="428" t="n"/>
      <c r="AB112" s="429" t="n"/>
      <c r="AC112" s="429" t="n"/>
      <c r="AD112" s="429" t="n"/>
      <c r="AE112" s="429" t="n"/>
      <c r="AF112" s="429" t="n"/>
      <c r="AG112" s="429" t="n"/>
      <c r="AH112" s="429" t="n"/>
      <c r="AI112" s="429" t="n"/>
      <c r="AJ112" s="429" t="n"/>
      <c r="AK112" s="429" t="n"/>
      <c r="AL112" s="429" t="n"/>
      <c r="AM112" s="430">
        <f>IF($A110="","",IF(OR($N110="Yes",$S110="Yes",$X110="Yes",$AC110="Yes",$AH110="Yes"),"Yes","No"))</f>
        <v/>
      </c>
      <c r="AN112" s="430">
        <f>IF($A110="","",IFERROR(IF($AI110&lt;&gt;"",$AI110,IF($AD110&lt;&gt;"",$AD110,IF($Y110&lt;&gt;"",$Y110,IF($T110&lt;&gt;"",$T110,IF($O110&lt;&gt;"",$O110,""))))),""))</f>
        <v/>
      </c>
      <c r="AO112" s="430">
        <f>IFERROR(IF($AJ110&lt;&gt;"",$AJ110,IF($AE110&lt;&gt;"",$AE110,IF($Z110&lt;&gt;"",$Z110,IF($U110&lt;&gt;"",$U110,IF($P110&lt;&gt;"",$P110,""))))),"")</f>
        <v/>
      </c>
      <c r="AP112" s="431" t="inlineStr">
        <is>
          <t>Field/column completeness check — auto-derived (xem generate.md Step 3b)</t>
        </is>
      </c>
      <c r="AQ112" s="224" t="n"/>
    </row>
    <row r="113" ht="15.75" customHeight="1" s="225">
      <c r="A113" s="426">
        <f>IF(C113="","",$C$2&amp;"."&amp;COUNTA($C$8:C113)&amp;"")</f>
        <v/>
      </c>
      <c r="B113" s="426" t="inlineStr">
        <is>
          <t>REQ-ORD-003</t>
        </is>
      </c>
      <c r="C113" s="426" t="inlineStr">
        <is>
          <t>DOC-v1.0-01, DOC-v1.0-02</t>
        </is>
      </c>
      <c r="D113" s="426" t="inlineStr">
        <is>
          <t>Functional</t>
        </is>
      </c>
      <c r="E113" s="426" t="inlineStr">
        <is>
          <t>Medium</t>
        </is>
      </c>
      <c r="F113" s="427" t="inlineStr">
        <is>
          <t>Check các mốc trong Lịch sử hiển thị đúng thứ tự thời gian</t>
        </is>
      </c>
      <c r="G113" s="427" t="inlineStr">
        <is>
          <t>Tin đã qua ≥3 trạng thái (vd 'Chờ ghép' → 'Đã ghép' → 'Đang giao')</t>
        </is>
      </c>
      <c r="H113" s="427" t="inlineStr">
        <is>
          <t>1. Mở mục 'Lịch sử' tại Theo dõi đơn</t>
        </is>
      </c>
      <c r="I113" s="427" t="inlineStr">
        <is>
          <t>1. Các mốc hiển thị đúng thứ tự thời gian xảy ra (mốc cũ nhất → mốc mới nhất theo đúng chiều quy định của màn), KHÔNG đảo lộn thứ tự</t>
        </is>
      </c>
      <c r="J113" s="426" t="inlineStr">
        <is>
          <t>AI</t>
        </is>
      </c>
      <c r="K113" s="426" t="inlineStr">
        <is>
          <t>Pending</t>
        </is>
      </c>
      <c r="L113" s="426" t="inlineStr">
        <is>
          <t>No</t>
        </is>
      </c>
      <c r="M113" s="426" t="n"/>
      <c r="N113" s="428" t="n"/>
      <c r="O113" s="428" t="n"/>
      <c r="P113" s="428" t="n"/>
      <c r="Q113" s="428" t="n"/>
      <c r="R113" s="428" t="n"/>
      <c r="S113" s="428" t="n"/>
      <c r="T113" s="428" t="n"/>
      <c r="U113" s="428" t="n"/>
      <c r="V113" s="428" t="n"/>
      <c r="W113" s="428" t="n"/>
      <c r="X113" s="428" t="n"/>
      <c r="Y113" s="428" t="n"/>
      <c r="Z113" s="428" t="n"/>
      <c r="AA113" s="428" t="n"/>
      <c r="AB113" s="429" t="n"/>
      <c r="AC113" s="429" t="n"/>
      <c r="AD113" s="429" t="n"/>
      <c r="AE113" s="429" t="n"/>
      <c r="AF113" s="429" t="n"/>
      <c r="AG113" s="429" t="n"/>
      <c r="AH113" s="429" t="n"/>
      <c r="AI113" s="429" t="n"/>
      <c r="AJ113" s="429" t="n"/>
      <c r="AK113" s="429" t="n"/>
      <c r="AL113" s="429" t="n"/>
      <c r="AM113" s="430">
        <f>IF($A111="","",IF(OR($N111="Yes",$S111="Yes",$X111="Yes",$AC111="Yes",$AH111="Yes"),"Yes","No"))</f>
        <v/>
      </c>
      <c r="AN113" s="430">
        <f>IF($A111="","",IFERROR(IF($AI111&lt;&gt;"",$AI111,IF($AD111&lt;&gt;"",$AD111,IF($Y111&lt;&gt;"",$Y111,IF($T111&lt;&gt;"",$T111,IF($O111&lt;&gt;"",$O111,""))))),""))</f>
        <v/>
      </c>
      <c r="AO113" s="430">
        <f>IFERROR(IF($AJ111&lt;&gt;"",$AJ111,IF($AE111&lt;&gt;"",$AE111,IF($Z111&lt;&gt;"",$Z111,IF($U111&lt;&gt;"",$U111,IF($P111&lt;&gt;"",$P111,""))))),"")</f>
        <v/>
      </c>
      <c r="AP113" s="431" t="n"/>
      <c r="AQ113" s="224" t="n"/>
    </row>
    <row r="114" ht="15.75" customHeight="1" s="225">
      <c r="A114" s="423" t="inlineStr">
        <is>
          <t>Đăng tin OFFER (Tôi nhận giao hàng)</t>
        </is>
      </c>
      <c r="B114" s="233" t="n"/>
      <c r="C114" s="233" t="n"/>
      <c r="D114" s="233" t="n"/>
      <c r="E114" s="233" t="n"/>
      <c r="F114" s="233" t="n"/>
      <c r="G114" s="233" t="n"/>
      <c r="H114" s="233" t="n"/>
      <c r="I114" s="231" t="n"/>
      <c r="J114" s="424" t="n"/>
      <c r="K114" s="424" t="n"/>
      <c r="L114" s="424" t="n"/>
      <c r="M114" s="424" t="n"/>
      <c r="N114" s="425" t="n"/>
      <c r="O114" s="425" t="n"/>
      <c r="P114" s="425" t="n"/>
      <c r="Q114" s="425" t="n"/>
      <c r="R114" s="425" t="n"/>
      <c r="S114" s="425" t="n"/>
      <c r="T114" s="425" t="n"/>
      <c r="U114" s="425" t="n"/>
      <c r="V114" s="425" t="n"/>
      <c r="W114" s="425" t="n"/>
      <c r="X114" s="425" t="n"/>
      <c r="Y114" s="425" t="n"/>
      <c r="Z114" s="425" t="n"/>
      <c r="AA114" s="425" t="n"/>
      <c r="AB114" s="421" t="n"/>
      <c r="AC114" s="421" t="n"/>
      <c r="AD114" s="421" t="n"/>
      <c r="AE114" s="421" t="n"/>
      <c r="AF114" s="421" t="n"/>
      <c r="AG114" s="421" t="n"/>
      <c r="AH114" s="421" t="n"/>
      <c r="AI114" s="421" t="n"/>
      <c r="AJ114" s="421" t="n"/>
      <c r="AK114" s="421" t="n"/>
      <c r="AL114" s="421" t="n"/>
      <c r="AM114" s="422" t="n"/>
      <c r="AN114" s="422" t="n"/>
      <c r="AO114" s="422" t="n"/>
      <c r="AP114" s="422" t="n"/>
      <c r="AQ114" s="224" t="n"/>
    </row>
    <row r="115" ht="15.75" customHeight="1" s="225">
      <c r="A115" s="426" t="n"/>
      <c r="B115" s="432" t="inlineStr">
        <is>
          <t>Block Form đăng ký tuyến</t>
        </is>
      </c>
      <c r="C115" s="233" t="n"/>
      <c r="D115" s="233" t="n"/>
      <c r="E115" s="233" t="n"/>
      <c r="F115" s="233" t="n"/>
      <c r="G115" s="233" t="n"/>
      <c r="H115" s="233" t="n"/>
      <c r="I115" s="231" t="n"/>
      <c r="J115" s="426" t="n"/>
      <c r="K115" s="426" t="n"/>
      <c r="L115" s="426" t="n"/>
      <c r="M115" s="426" t="n"/>
      <c r="N115" s="428" t="n"/>
      <c r="O115" s="428" t="n"/>
      <c r="P115" s="428" t="n"/>
      <c r="Q115" s="428" t="n"/>
      <c r="R115" s="428" t="n"/>
      <c r="S115" s="428" t="n"/>
      <c r="T115" s="428" t="n"/>
      <c r="U115" s="428" t="n"/>
      <c r="V115" s="428" t="n"/>
      <c r="W115" s="428" t="n"/>
      <c r="X115" s="428" t="n"/>
      <c r="Y115" s="428" t="n"/>
      <c r="Z115" s="428" t="n"/>
      <c r="AA115" s="428" t="n"/>
      <c r="AB115" s="429" t="n"/>
      <c r="AC115" s="429" t="n"/>
      <c r="AD115" s="429" t="n"/>
      <c r="AE115" s="429" t="n"/>
      <c r="AF115" s="429" t="n"/>
      <c r="AG115" s="429" t="n"/>
      <c r="AH115" s="429" t="n"/>
      <c r="AI115" s="429" t="n"/>
      <c r="AJ115" s="429" t="n"/>
      <c r="AK115" s="429" t="n"/>
      <c r="AL115" s="429" t="n"/>
      <c r="AM115" s="430" t="n"/>
      <c r="AN115" s="430" t="n"/>
      <c r="AO115" s="430" t="n"/>
      <c r="AP115" s="431" t="n"/>
      <c r="AQ115" s="224" t="n"/>
    </row>
    <row r="116" ht="130" customHeight="1" s="225">
      <c r="A116" s="426">
        <f>IF(C116="","",$C$2&amp;"."&amp;COUNTA($C$8:C116)&amp;"")</f>
        <v/>
      </c>
      <c r="B116" s="426" t="inlineStr">
        <is>
          <t>REQ-ORD-001, REQ-ORD-002</t>
        </is>
      </c>
      <c r="C116" s="426" t="inlineStr">
        <is>
          <t>DOC-v1.0-01</t>
        </is>
      </c>
      <c r="D116" s="426" t="inlineStr">
        <is>
          <t>UI</t>
        </is>
      </c>
      <c r="E116" s="426" t="inlineStr">
        <is>
          <t>Medium</t>
        </is>
      </c>
      <c r="F116" s="427" t="inlineStr">
        <is>
          <t>Check đầy đủ 7 field trên Form OFFER</t>
        </is>
      </c>
      <c r="G116" s="427" t="inlineStr">
        <is>
          <t>Đã chọn 'Tôi nhận giao hàng', form MỚI/SẠCH</t>
        </is>
      </c>
      <c r="H116" s="427" t="inlineStr">
        <is>
          <t>1. Quan sát toàn bộ Form đăng ký tuyến</t>
        </is>
      </c>
      <c r="I116" s="427" t="inlineStr">
        <is>
          <t>1. Hiển thị đủ 7 field:
- Tên người giao (đọc, auto-fill)
- SĐT người giao (đọc, auto-fill)
- Điểm xuất phát (auto-fill, sửa được)
- Điểm đến
- Từ ngày/Đến ngày (mặc định hôm nay)
- Thời gian di chuyển (mặc định 17:30–18:30)
- Checkbox điều khoản</t>
        </is>
      </c>
      <c r="J116" s="426" t="inlineStr">
        <is>
          <t>AI</t>
        </is>
      </c>
      <c r="K116" s="426" t="inlineStr">
        <is>
          <t>Pending</t>
        </is>
      </c>
      <c r="L116" s="426" t="inlineStr">
        <is>
          <t>No</t>
        </is>
      </c>
      <c r="M116" s="426" t="n"/>
      <c r="N116" s="428" t="n"/>
      <c r="O116" s="428" t="n"/>
      <c r="P116" s="428" t="n"/>
      <c r="Q116" s="428" t="n"/>
      <c r="R116" s="428" t="n"/>
      <c r="S116" s="428" t="n"/>
      <c r="T116" s="428" t="n"/>
      <c r="U116" s="428" t="n"/>
      <c r="V116" s="428" t="n"/>
      <c r="W116" s="428" t="n"/>
      <c r="X116" s="428" t="n"/>
      <c r="Y116" s="428" t="n"/>
      <c r="Z116" s="428" t="n"/>
      <c r="AA116" s="428" t="n"/>
      <c r="AB116" s="429" t="n"/>
      <c r="AC116" s="429" t="n"/>
      <c r="AD116" s="429" t="n"/>
      <c r="AE116" s="429" t="n"/>
      <c r="AF116" s="429" t="n"/>
      <c r="AG116" s="429" t="n"/>
      <c r="AH116" s="429" t="n"/>
      <c r="AI116" s="429" t="n"/>
      <c r="AJ116" s="429" t="n"/>
      <c r="AK116" s="429" t="n"/>
      <c r="AL116" s="429" t="n"/>
      <c r="AM116" s="430">
        <f>IF($A114="","",IF(OR($N114="Yes",$S114="Yes",$X114="Yes",$AC114="Yes",$AH114="Yes"),"Yes","No"))</f>
        <v/>
      </c>
      <c r="AN116" s="430">
        <f>IF($A114="","",IFERROR(IF($AI114&lt;&gt;"",$AI114,IF($AD114&lt;&gt;"",$AD114,IF($Y114&lt;&gt;"",$Y114,IF($T114&lt;&gt;"",$T114,IF($O114&lt;&gt;"",$O114,""))))),""))</f>
        <v/>
      </c>
      <c r="AO116" s="430">
        <f>IFERROR(IF($AJ114&lt;&gt;"",$AJ114,IF($AE114&lt;&gt;"",$AE114,IF($Z114&lt;&gt;"",$Z114,IF($U114&lt;&gt;"",$U114,IF($P114&lt;&gt;"",$P114,""))))),"")</f>
        <v/>
      </c>
      <c r="AP116" s="431" t="inlineStr">
        <is>
          <t>Field/column completeness check — auto-derived (xem generate.md Step 3b)</t>
        </is>
      </c>
      <c r="AQ116" s="224" t="n"/>
    </row>
    <row r="117" ht="15.75" customHeight="1" s="225">
      <c r="A117" s="426">
        <f>IF(C117="","",$C$2&amp;"."&amp;COUNTA($C$8:C117)&amp;"")</f>
        <v/>
      </c>
      <c r="B117" s="426" t="inlineStr">
        <is>
          <t>REQ-ORD-001, REQ-ORD-002</t>
        </is>
      </c>
      <c r="C117" s="426" t="inlineStr">
        <is>
          <t>DOC-v1.0-01, DOC-v1.0-02</t>
        </is>
      </c>
      <c r="D117" s="426" t="inlineStr">
        <is>
          <t>Functional</t>
        </is>
      </c>
      <c r="E117" s="426" t="inlineStr">
        <is>
          <t>Medium</t>
        </is>
      </c>
      <c r="F117" s="427" t="inlineStr">
        <is>
          <t>Check hoàn tất đăng ký tuyến OFFER với dữ liệu hợp lệ</t>
        </is>
      </c>
      <c r="G117" s="427" t="inlineStr">
        <is>
          <t>Đã chọn 'Tôi nhận giao hàng', đang ở Form OFFER</t>
        </is>
      </c>
      <c r="H117" s="427" t="inlineStr">
        <is>
          <t>1. Điểm xuất phát: giữ mặc định 'Tòa nhà Lô B3, KCX Tân Thuận, Q.7'
2. Điểm đến: nhập '89 Nguyễn Thị Minh Khai, Q.3'
3. Giữ Thời gian di chuyển mặc định 17:30–18:30
4. Tick Checkbox điều khoản
5. Bấm gửi</t>
        </is>
      </c>
      <c r="I117" s="427" t="inlineStr">
        <is>
          <t>1. Field Điểm xuất phát hiển thị đúng giá trị mặc định 'Tòa nhà Lô B3, KCX Tân Thuận, Q.7'
2. Field Điểm đến nhận đúng giá trị vừa nhập '89 Nguyễn Thị Minh Khai, Q.3'
3. Field Thời gian di chuyển hiển thị đúng giá trị mặc định 17:30–18:30 (BRD v3.2 §D8.2)
4. Checkbox điều khoản chuyển sang trạng thái đã tick
5. Tuyến được ghi nhận thành công, KHÔNG công khai lên bảng tin, chờ hệ thống tự động khớp với tin NEED phù hợp</t>
        </is>
      </c>
      <c r="J117" s="426" t="inlineStr">
        <is>
          <t>AI</t>
        </is>
      </c>
      <c r="K117" s="426" t="inlineStr">
        <is>
          <t>Pending</t>
        </is>
      </c>
      <c r="L117" s="426" t="inlineStr">
        <is>
          <t>No</t>
        </is>
      </c>
      <c r="M117" s="426" t="n"/>
      <c r="N117" s="428" t="n"/>
      <c r="O117" s="428" t="n"/>
      <c r="P117" s="428" t="n"/>
      <c r="Q117" s="428" t="n"/>
      <c r="R117" s="428" t="n"/>
      <c r="S117" s="428" t="n"/>
      <c r="T117" s="428" t="n"/>
      <c r="U117" s="428" t="n"/>
      <c r="V117" s="428" t="n"/>
      <c r="W117" s="428" t="n"/>
      <c r="X117" s="428" t="n"/>
      <c r="Y117" s="428" t="n"/>
      <c r="Z117" s="428" t="n"/>
      <c r="AA117" s="428" t="n"/>
      <c r="AB117" s="429" t="n"/>
      <c r="AC117" s="429" t="n"/>
      <c r="AD117" s="429" t="n"/>
      <c r="AE117" s="429" t="n"/>
      <c r="AF117" s="429" t="n"/>
      <c r="AG117" s="429" t="n"/>
      <c r="AH117" s="429" t="n"/>
      <c r="AI117" s="429" t="n"/>
      <c r="AJ117" s="429" t="n"/>
      <c r="AK117" s="429" t="n"/>
      <c r="AL117" s="429" t="n"/>
      <c r="AM117" s="430">
        <f>IF($A115="","",IF(OR($N115="Yes",$S115="Yes",$X115="Yes",$AC115="Yes",$AH115="Yes"),"Yes","No"))</f>
        <v/>
      </c>
      <c r="AN117" s="430">
        <f>IF($A115="","",IFERROR(IF($AI115&lt;&gt;"",$AI115,IF($AD115&lt;&gt;"",$AD115,IF($Y115&lt;&gt;"",$Y115,IF($T115&lt;&gt;"",$T115,IF($O115&lt;&gt;"",$O115,""))))),""))</f>
        <v/>
      </c>
      <c r="AO117" s="430">
        <f>IFERROR(IF($AJ115&lt;&gt;"",$AJ115,IF($AE115&lt;&gt;"",$AE115,IF($Z115&lt;&gt;"",$Z115,IF($U115&lt;&gt;"",$U115,IF($P115&lt;&gt;"",$P115,""))))),"")</f>
        <v/>
      </c>
      <c r="AP117" s="431" t="inlineStr">
        <is>
          <t>Sửa 2026-07-30 theo finding review-tc m6 (R3-12): Expected bước 1 và 3 trước đây ghi "Field hiển thị đúng giá trị mặc định" mà không nêu giá trị → nay ghi thẳng giá trị, khớp BRD v3.2 §D8.2 + test_data_catalog.md</t>
        </is>
      </c>
      <c r="AQ117" s="224" t="n"/>
    </row>
    <row r="118" ht="15.75" customHeight="1" s="225">
      <c r="A118" s="426">
        <f>IF(C118="","",$C$2&amp;"."&amp;COUNTA($C$8:C118)&amp;"")</f>
        <v/>
      </c>
      <c r="B118" s="426" t="inlineStr">
        <is>
          <t>REQ-ORD-012</t>
        </is>
      </c>
      <c r="C118" s="426" t="inlineStr">
        <is>
          <t>DOC-v1.0-01 (BRD v3.2 §D8.1/D8.2)</t>
        </is>
      </c>
      <c r="D118" s="426" t="inlineStr">
        <is>
          <t>Functional</t>
        </is>
      </c>
      <c r="E118" s="426" t="inlineStr">
        <is>
          <t>Low</t>
        </is>
      </c>
      <c r="F118" s="427" t="inlineStr">
        <is>
          <t>Check Điểm xuất phát (OFFER) tại biên max-1 (199 ký tự hợp lệ)</t>
        </is>
      </c>
      <c r="G118" s="427" t="inlineStr">
        <is>
          <t>Đang ở Form OFFER</t>
        </is>
      </c>
      <c r="H118" s="427" t="inlineStr">
        <is>
          <t>1. Nhập vào Điểm xuất phát: 199 ký tự hợp lệ
2. Bấm gửi</t>
        </is>
      </c>
      <c r="I118" s="427" t="inlineStr">
        <is>
          <t>1. Ô nhập nhận đúng giá trị vừa nhập
2. Được chấp nhận, hợp lệ</t>
        </is>
      </c>
      <c r="J118" s="426" t="inlineStr">
        <is>
          <t>AI</t>
        </is>
      </c>
      <c r="K118" s="426" t="inlineStr">
        <is>
          <t>Pending</t>
        </is>
      </c>
      <c r="L118" s="426" t="inlineStr">
        <is>
          <t>No</t>
        </is>
      </c>
      <c r="M118" s="426" t="n"/>
      <c r="N118" s="428" t="n"/>
      <c r="O118" s="428" t="n"/>
      <c r="P118" s="428" t="n"/>
      <c r="Q118" s="428" t="n"/>
      <c r="R118" s="428" t="n"/>
      <c r="S118" s="428" t="n"/>
      <c r="T118" s="428" t="n"/>
      <c r="U118" s="428" t="n"/>
      <c r="V118" s="428" t="n"/>
      <c r="W118" s="428" t="n"/>
      <c r="X118" s="428" t="n"/>
      <c r="Y118" s="428" t="n"/>
      <c r="Z118" s="428" t="n"/>
      <c r="AA118" s="428" t="n"/>
      <c r="AB118" s="429" t="n"/>
      <c r="AC118" s="429" t="n"/>
      <c r="AD118" s="429" t="n"/>
      <c r="AE118" s="429" t="n"/>
      <c r="AF118" s="429" t="n"/>
      <c r="AG118" s="429" t="n"/>
      <c r="AH118" s="429" t="n"/>
      <c r="AI118" s="429" t="n"/>
      <c r="AJ118" s="429" t="n"/>
      <c r="AK118" s="429" t="n"/>
      <c r="AL118" s="429" t="n"/>
      <c r="AM118" s="430">
        <f>IF($A116="","",IF(OR($N116="Yes",$S116="Yes",$X116="Yes",$AC116="Yes",$AH116="Yes"),"Yes","No"))</f>
        <v/>
      </c>
      <c r="AN118" s="430">
        <f>IF($A116="","",IFERROR(IF($AI116&lt;&gt;"",$AI116,IF($AD116&lt;&gt;"",$AD116,IF($Y116&lt;&gt;"",$Y116,IF($T116&lt;&gt;"",$T116,IF($O116&lt;&gt;"",$O116,""))))),""))</f>
        <v/>
      </c>
      <c r="AO118" s="430">
        <f>IFERROR(IF($AJ116&lt;&gt;"",$AJ116,IF($AE116&lt;&gt;"",$AE116,IF($Z116&lt;&gt;"",$Z116,IF($U116&lt;&gt;"",$U116,IF($P116&lt;&gt;"",$P116,""))))),"")</f>
        <v/>
      </c>
      <c r="AP118" s="431" t="inlineStr">
        <is>
          <t>Technique: BVA-max-1 (DiemXuatPhat-OFFER)</t>
        </is>
      </c>
      <c r="AQ118" s="224" t="n"/>
    </row>
    <row r="119" ht="15.75" customHeight="1" s="225">
      <c r="A119" s="426">
        <f>IF(C119="","",$C$2&amp;"."&amp;COUNTA($C$8:C119)&amp;"")</f>
        <v/>
      </c>
      <c r="B119" s="426" t="inlineStr">
        <is>
          <t>REQ-ORD-012</t>
        </is>
      </c>
      <c r="C119" s="426" t="inlineStr">
        <is>
          <t>DOC-v1.0-01 (BRD v3.2 §D8.1/D8.2)</t>
        </is>
      </c>
      <c r="D119" s="426" t="inlineStr">
        <is>
          <t>Functional</t>
        </is>
      </c>
      <c r="E119" s="426" t="inlineStr">
        <is>
          <t>Low</t>
        </is>
      </c>
      <c r="F119" s="427" t="inlineStr">
        <is>
          <t>Check Điểm xuất phát (OFFER) tại biên max (đúng 200 ký tự hợp lệ)</t>
        </is>
      </c>
      <c r="G119" s="427" t="inlineStr">
        <is>
          <t>Đang ở Form OFFER</t>
        </is>
      </c>
      <c r="H119" s="427" t="inlineStr">
        <is>
          <t>1. Nhập vào Điểm xuất phát: đúng 200 ký tự hợp lệ
2. Bấm gửi</t>
        </is>
      </c>
      <c r="I119" s="427" t="inlineStr">
        <is>
          <t>1. Ô nhập nhận đúng giá trị vừa nhập
2. Được chấp nhận, hợp lệ</t>
        </is>
      </c>
      <c r="J119" s="426" t="inlineStr">
        <is>
          <t>AI</t>
        </is>
      </c>
      <c r="K119" s="426" t="inlineStr">
        <is>
          <t>Pending</t>
        </is>
      </c>
      <c r="L119" s="426" t="inlineStr">
        <is>
          <t>No</t>
        </is>
      </c>
      <c r="M119" s="426" t="n"/>
      <c r="N119" s="428" t="n"/>
      <c r="O119" s="428" t="n"/>
      <c r="P119" s="428" t="n"/>
      <c r="Q119" s="428" t="n"/>
      <c r="R119" s="428" t="n"/>
      <c r="S119" s="428" t="n"/>
      <c r="T119" s="428" t="n"/>
      <c r="U119" s="428" t="n"/>
      <c r="V119" s="428" t="n"/>
      <c r="W119" s="428" t="n"/>
      <c r="X119" s="428" t="n"/>
      <c r="Y119" s="428" t="n"/>
      <c r="Z119" s="428" t="n"/>
      <c r="AA119" s="428" t="n"/>
      <c r="AB119" s="429" t="n"/>
      <c r="AC119" s="429" t="n"/>
      <c r="AD119" s="429" t="n"/>
      <c r="AE119" s="429" t="n"/>
      <c r="AF119" s="429" t="n"/>
      <c r="AG119" s="429" t="n"/>
      <c r="AH119" s="429" t="n"/>
      <c r="AI119" s="429" t="n"/>
      <c r="AJ119" s="429" t="n"/>
      <c r="AK119" s="429" t="n"/>
      <c r="AL119" s="429" t="n"/>
      <c r="AM119" s="430">
        <f>IF($A117="","",IF(OR($N117="Yes",$S117="Yes",$X117="Yes",$AC117="Yes",$AH117="Yes"),"Yes","No"))</f>
        <v/>
      </c>
      <c r="AN119" s="430">
        <f>IF($A117="","",IFERROR(IF($AI117&lt;&gt;"",$AI117,IF($AD117&lt;&gt;"",$AD117,IF($Y117&lt;&gt;"",$Y117,IF($T117&lt;&gt;"",$T117,IF($O117&lt;&gt;"",$O117,""))))),""))</f>
        <v/>
      </c>
      <c r="AO119" s="430">
        <f>IFERROR(IF($AJ117&lt;&gt;"",$AJ117,IF($AE117&lt;&gt;"",$AE117,IF($Z117&lt;&gt;"",$Z117,IF($U117&lt;&gt;"",$U117,IF($P117&lt;&gt;"",$P117,""))))),"")</f>
        <v/>
      </c>
      <c r="AP119" s="431" t="inlineStr">
        <is>
          <t>Technique: BVA-max (DiemXuatPhat-OFFER)</t>
        </is>
      </c>
      <c r="AQ119" s="224" t="n"/>
    </row>
    <row r="120" ht="15.75" customHeight="1" s="225">
      <c r="A120" s="426">
        <f>IF(C120="","",$C$2&amp;"."&amp;COUNTA($C$8:C120)&amp;"")</f>
        <v/>
      </c>
      <c r="B120" s="426" t="inlineStr">
        <is>
          <t>REQ-ORD-012</t>
        </is>
      </c>
      <c r="C120" s="426" t="inlineStr">
        <is>
          <t>DOC-v1.0-01 (BRD v3.2 §D8.1/D8.2)</t>
        </is>
      </c>
      <c r="D120" s="426" t="inlineStr">
        <is>
          <t>Functional</t>
        </is>
      </c>
      <c r="E120" s="426" t="inlineStr">
        <is>
          <t>Low</t>
        </is>
      </c>
      <c r="F120" s="427" t="inlineStr">
        <is>
          <t>Check Điểm xuất phát (OFFER) tại biên max+1 (201 ký tự)</t>
        </is>
      </c>
      <c r="G120" s="427" t="inlineStr">
        <is>
          <t>Đang ở Form OFFER</t>
        </is>
      </c>
      <c r="H120" s="427" t="inlineStr">
        <is>
          <t>1. Nhập vào Điểm xuất phát: 201 ký tự
2. Bấm gửi</t>
        </is>
      </c>
      <c r="I120" s="427" t="inlineStr">
        <is>
          <t>1. Ô nhập nhận đúng giá trị vừa nhập
2. Bị chặn/báo lỗi vượt quá 200 ký tự</t>
        </is>
      </c>
      <c r="J120" s="426" t="inlineStr">
        <is>
          <t>AI</t>
        </is>
      </c>
      <c r="K120" s="426" t="inlineStr">
        <is>
          <t>Pending</t>
        </is>
      </c>
      <c r="L120" s="426" t="inlineStr">
        <is>
          <t>No</t>
        </is>
      </c>
      <c r="M120" s="426" t="n"/>
      <c r="N120" s="428" t="n"/>
      <c r="O120" s="428" t="n"/>
      <c r="P120" s="428" t="n"/>
      <c r="Q120" s="428" t="n"/>
      <c r="R120" s="428" t="n"/>
      <c r="S120" s="428" t="n"/>
      <c r="T120" s="428" t="n"/>
      <c r="U120" s="428" t="n"/>
      <c r="V120" s="428" t="n"/>
      <c r="W120" s="428" t="n"/>
      <c r="X120" s="428" t="n"/>
      <c r="Y120" s="428" t="n"/>
      <c r="Z120" s="428" t="n"/>
      <c r="AA120" s="428" t="n"/>
      <c r="AB120" s="429" t="n"/>
      <c r="AC120" s="429" t="n"/>
      <c r="AD120" s="429" t="n"/>
      <c r="AE120" s="429" t="n"/>
      <c r="AF120" s="429" t="n"/>
      <c r="AG120" s="429" t="n"/>
      <c r="AH120" s="429" t="n"/>
      <c r="AI120" s="429" t="n"/>
      <c r="AJ120" s="429" t="n"/>
      <c r="AK120" s="429" t="n"/>
      <c r="AL120" s="429" t="n"/>
      <c r="AM120" s="430">
        <f>IF($A118="","",IF(OR($N118="Yes",$S118="Yes",$X118="Yes",$AC118="Yes",$AH118="Yes"),"Yes","No"))</f>
        <v/>
      </c>
      <c r="AN120" s="430">
        <f>IF($A118="","",IFERROR(IF($AI118&lt;&gt;"",$AI118,IF($AD118&lt;&gt;"",$AD118,IF($Y118&lt;&gt;"",$Y118,IF($T118&lt;&gt;"",$T118,IF($O118&lt;&gt;"",$O118,""))))),""))</f>
        <v/>
      </c>
      <c r="AO120" s="430">
        <f>IFERROR(IF($AJ118&lt;&gt;"",$AJ118,IF($AE118&lt;&gt;"",$AE118,IF($Z118&lt;&gt;"",$Z118,IF($U118&lt;&gt;"",$U118,IF($P118&lt;&gt;"",$P118,""))))),"")</f>
        <v/>
      </c>
      <c r="AP120" s="431" t="inlineStr">
        <is>
          <t>Technique: BVA-max+1 (DiemXuatPhat-OFFER)</t>
        </is>
      </c>
      <c r="AQ120" s="224" t="n"/>
    </row>
    <row r="121" ht="15.75" customHeight="1" s="225">
      <c r="A121" s="426">
        <f>IF(C121="","",$C$2&amp;"."&amp;COUNTA($C$8:C121)&amp;"")</f>
        <v/>
      </c>
      <c r="B121" s="426" t="inlineStr">
        <is>
          <t>REQ-ORD-012</t>
        </is>
      </c>
      <c r="C121" s="426" t="inlineStr">
        <is>
          <t>DOC-v1.0-01 (BRD v3.2 §D8.1/D8.2)</t>
        </is>
      </c>
      <c r="D121" s="426" t="inlineStr">
        <is>
          <t>Functional</t>
        </is>
      </c>
      <c r="E121" s="426" t="inlineStr">
        <is>
          <t>Medium</t>
        </is>
      </c>
      <c r="F121" s="427" t="inlineStr">
        <is>
          <t>Check Điểm đến trùng Điểm xuất phát bị chặn</t>
        </is>
      </c>
      <c r="G121" s="427" t="inlineStr">
        <is>
          <t>Đang ở Form OFFER, Điểm xuất phát = 'Tòa nhà Lô B3, KCX Tân Thuận, Q.7'</t>
        </is>
      </c>
      <c r="H121" s="427" t="inlineStr">
        <is>
          <t>1. Nhập Điểm đến = 'Tòa nhà Lô B3, KCX Tân Thuận, Q.7' (giống hệt Điểm xuất phát)
2. Bấm gửi</t>
        </is>
      </c>
      <c r="I121" s="427" t="inlineStr">
        <is>
          <t>1. Ô nhập nhận đúng giá trị vừa nhập
2. Bị chặn/báo lỗi 'Điểm đến phải khác điểm xuất phát'</t>
        </is>
      </c>
      <c r="J121" s="426" t="inlineStr">
        <is>
          <t>AI</t>
        </is>
      </c>
      <c r="K121" s="426" t="inlineStr">
        <is>
          <t>Pending</t>
        </is>
      </c>
      <c r="L121" s="426" t="inlineStr">
        <is>
          <t>No</t>
        </is>
      </c>
      <c r="M121" s="426" t="n"/>
      <c r="N121" s="428" t="n"/>
      <c r="O121" s="428" t="n"/>
      <c r="P121" s="428" t="n"/>
      <c r="Q121" s="428" t="n"/>
      <c r="R121" s="428" t="n"/>
      <c r="S121" s="428" t="n"/>
      <c r="T121" s="428" t="n"/>
      <c r="U121" s="428" t="n"/>
      <c r="V121" s="428" t="n"/>
      <c r="W121" s="428" t="n"/>
      <c r="X121" s="428" t="n"/>
      <c r="Y121" s="428" t="n"/>
      <c r="Z121" s="428" t="n"/>
      <c r="AA121" s="428" t="n"/>
      <c r="AB121" s="429" t="n"/>
      <c r="AC121" s="429" t="n"/>
      <c r="AD121" s="429" t="n"/>
      <c r="AE121" s="429" t="n"/>
      <c r="AF121" s="429" t="n"/>
      <c r="AG121" s="429" t="n"/>
      <c r="AH121" s="429" t="n"/>
      <c r="AI121" s="429" t="n"/>
      <c r="AJ121" s="429" t="n"/>
      <c r="AK121" s="429" t="n"/>
      <c r="AL121" s="429" t="n"/>
      <c r="AM121" s="430">
        <f>IF($A119="","",IF(OR($N119="Yes",$S119="Yes",$X119="Yes",$AC119="Yes",$AH119="Yes"),"Yes","No"))</f>
        <v/>
      </c>
      <c r="AN121" s="430">
        <f>IF($A119="","",IFERROR(IF($AI119&lt;&gt;"",$AI119,IF($AD119&lt;&gt;"",$AD119,IF($Y119&lt;&gt;"",$Y119,IF($T119&lt;&gt;"",$T119,IF($O119&lt;&gt;"",$O119,""))))),""))</f>
        <v/>
      </c>
      <c r="AO121" s="430">
        <f>IFERROR(IF($AJ119&lt;&gt;"",$AJ119,IF($AE119&lt;&gt;"",$AE119,IF($Z119&lt;&gt;"",$Z119,IF($U119&lt;&gt;"",$U119,IF($P119&lt;&gt;"",$P119,""))))),"")</f>
        <v/>
      </c>
      <c r="AP121" s="431" t="inlineStr">
        <is>
          <t>Technique: EP-invalid-duplicate-point (rule mới BRD v3.2 §D8.2)</t>
        </is>
      </c>
      <c r="AQ121" s="224" t="n"/>
    </row>
    <row r="122" ht="15.75" customHeight="1" s="225">
      <c r="A122" s="426">
        <f>IF(C122="","",$C$2&amp;"."&amp;COUNTA($C$8:C122)&amp;"")</f>
        <v/>
      </c>
      <c r="B122" s="426" t="inlineStr">
        <is>
          <t>REQ-ORD-012</t>
        </is>
      </c>
      <c r="C122" s="426" t="inlineStr">
        <is>
          <t>DOC-v1.0-01 (BRD v3.2 §D8.1/D8.2)</t>
        </is>
      </c>
      <c r="D122" s="426" t="inlineStr">
        <is>
          <t>Functional</t>
        </is>
      </c>
      <c r="E122" s="426" t="inlineStr">
        <is>
          <t>Medium</t>
        </is>
      </c>
      <c r="F122" s="427" t="inlineStr">
        <is>
          <t>Check để trống Điểm xuất phát khi submit bị chặn</t>
        </is>
      </c>
      <c r="G122" s="427" t="inlineStr">
        <is>
          <t>Đang ở Form OFFER, đã xoá trống Điểm xuất phát (mặc định có sẵn)</t>
        </is>
      </c>
      <c r="H122" s="427" t="inlineStr">
        <is>
          <t>1. Xoá trống Điểm xuất phát
2. Bấm gửi</t>
        </is>
      </c>
      <c r="I122" s="427" t="inlineStr">
        <is>
          <t>1. Field hiển thị rỗng
2. Bị chặn/báo lỗi, không cho submit</t>
        </is>
      </c>
      <c r="J122" s="426" t="inlineStr">
        <is>
          <t>AI</t>
        </is>
      </c>
      <c r="K122" s="426" t="inlineStr">
        <is>
          <t>Pending</t>
        </is>
      </c>
      <c r="L122" s="426" t="inlineStr">
        <is>
          <t>No</t>
        </is>
      </c>
      <c r="M122" s="426" t="n"/>
      <c r="N122" s="428" t="n"/>
      <c r="O122" s="428" t="n"/>
      <c r="P122" s="428" t="n"/>
      <c r="Q122" s="428" t="n"/>
      <c r="R122" s="428" t="n"/>
      <c r="S122" s="428" t="n"/>
      <c r="T122" s="428" t="n"/>
      <c r="U122" s="428" t="n"/>
      <c r="V122" s="428" t="n"/>
      <c r="W122" s="428" t="n"/>
      <c r="X122" s="428" t="n"/>
      <c r="Y122" s="428" t="n"/>
      <c r="Z122" s="428" t="n"/>
      <c r="AA122" s="428" t="n"/>
      <c r="AB122" s="429" t="n"/>
      <c r="AC122" s="429" t="n"/>
      <c r="AD122" s="429" t="n"/>
      <c r="AE122" s="429" t="n"/>
      <c r="AF122" s="429" t="n"/>
      <c r="AG122" s="429" t="n"/>
      <c r="AH122" s="429" t="n"/>
      <c r="AI122" s="429" t="n"/>
      <c r="AJ122" s="429" t="n"/>
      <c r="AK122" s="429" t="n"/>
      <c r="AL122" s="429" t="n"/>
      <c r="AM122" s="430">
        <f>IF($A120="","",IF(OR($N120="Yes",$S120="Yes",$X120="Yes",$AC120="Yes",$AH120="Yes"),"Yes","No"))</f>
        <v/>
      </c>
      <c r="AN122" s="430">
        <f>IF($A120="","",IFERROR(IF($AI120&lt;&gt;"",$AI120,IF($AD120&lt;&gt;"",$AD120,IF($Y120&lt;&gt;"",$Y120,IF($T120&lt;&gt;"",$T120,IF($O120&lt;&gt;"",$O120,""))))),""))</f>
        <v/>
      </c>
      <c r="AO122" s="430">
        <f>IFERROR(IF($AJ120&lt;&gt;"",$AJ120,IF($AE120&lt;&gt;"",$AE120,IF($Z120&lt;&gt;"",$Z120,IF($U120&lt;&gt;"",$U120,IF($P120&lt;&gt;"",$P120,""))))),"")</f>
        <v/>
      </c>
      <c r="AP122" s="431" t="inlineStr">
        <is>
          <t>Technique: EP-invalid-empty (DiemXuatPhat-OFFER)</t>
        </is>
      </c>
      <c r="AQ122" s="224" t="n"/>
    </row>
    <row r="123" ht="15.75" customHeight="1" s="225">
      <c r="A123" s="426">
        <f>IF(C123="","",$C$2&amp;"."&amp;COUNTA($C$8:C123)&amp;"")</f>
        <v/>
      </c>
      <c r="B123" s="426" t="inlineStr">
        <is>
          <t>REQ-ORD-012</t>
        </is>
      </c>
      <c r="C123" s="426" t="inlineStr">
        <is>
          <t>DOC-v1.0-01 (BRD v3.2 §D8.1/D8.2)</t>
        </is>
      </c>
      <c r="D123" s="426" t="inlineStr">
        <is>
          <t>Functional</t>
        </is>
      </c>
      <c r="E123" s="426" t="inlineStr">
        <is>
          <t>Medium</t>
        </is>
      </c>
      <c r="F123" s="427" t="inlineStr">
        <is>
          <t>Check Thời gian di chuyển cách nhau 29 phút bị chặn</t>
        </is>
      </c>
      <c r="G123" s="427" t="inlineStr">
        <is>
          <t>Đang ở Form OFFER</t>
        </is>
      </c>
      <c r="H123" s="427" t="inlineStr">
        <is>
          <t>1. Nhập Thời gian di chuyển: 17:30 – 17:59
2. Bấm gửi</t>
        </is>
      </c>
      <c r="I123" s="427" t="inlineStr">
        <is>
          <t>1. Field hiển thị đúng giá trị vừa nhập
2. Bị chặn/báo lỗi khoảng cách phải tối thiểu 30 phút</t>
        </is>
      </c>
      <c r="J123" s="426" t="inlineStr">
        <is>
          <t>AI</t>
        </is>
      </c>
      <c r="K123" s="426" t="inlineStr">
        <is>
          <t>Pending</t>
        </is>
      </c>
      <c r="L123" s="426" t="inlineStr">
        <is>
          <t>No</t>
        </is>
      </c>
      <c r="M123" s="426" t="n"/>
      <c r="N123" s="428" t="n"/>
      <c r="O123" s="428" t="n"/>
      <c r="P123" s="428" t="n"/>
      <c r="Q123" s="428" t="n"/>
      <c r="R123" s="428" t="n"/>
      <c r="S123" s="428" t="n"/>
      <c r="T123" s="428" t="n"/>
      <c r="U123" s="428" t="n"/>
      <c r="V123" s="428" t="n"/>
      <c r="W123" s="428" t="n"/>
      <c r="X123" s="428" t="n"/>
      <c r="Y123" s="428" t="n"/>
      <c r="Z123" s="428" t="n"/>
      <c r="AA123" s="428" t="n"/>
      <c r="AB123" s="429" t="n"/>
      <c r="AC123" s="429" t="n"/>
      <c r="AD123" s="429" t="n"/>
      <c r="AE123" s="429" t="n"/>
      <c r="AF123" s="429" t="n"/>
      <c r="AG123" s="429" t="n"/>
      <c r="AH123" s="429" t="n"/>
      <c r="AI123" s="429" t="n"/>
      <c r="AJ123" s="429" t="n"/>
      <c r="AK123" s="429" t="n"/>
      <c r="AL123" s="429" t="n"/>
      <c r="AM123" s="430">
        <f>IF($A121="","",IF(OR($N121="Yes",$S121="Yes",$X121="Yes",$AC121="Yes",$AH121="Yes"),"Yes","No"))</f>
        <v/>
      </c>
      <c r="AN123" s="430">
        <f>IF($A121="","",IFERROR(IF($AI121&lt;&gt;"",$AI121,IF($AD121&lt;&gt;"",$AD121,IF($Y121&lt;&gt;"",$Y121,IF($T121&lt;&gt;"",$T121,IF($O121&lt;&gt;"",$O121,""))))),""))</f>
        <v/>
      </c>
      <c r="AO123" s="430">
        <f>IFERROR(IF($AJ121&lt;&gt;"",$AJ121,IF($AE121&lt;&gt;"",$AE121,IF($Z121&lt;&gt;"",$Z121,IF($U121&lt;&gt;"",$U121,IF($P121&lt;&gt;"",$P121,""))))),"")</f>
        <v/>
      </c>
      <c r="AP123" s="431" t="inlineStr">
        <is>
          <t>Technique: BVA-min-1 (ThoiGianDiChuyen-OFFER)</t>
        </is>
      </c>
      <c r="AQ123" s="224" t="n"/>
    </row>
    <row r="124" ht="15.75" customHeight="1" s="225">
      <c r="A124" s="426">
        <f>IF(C124="","",$C$2&amp;"."&amp;COUNTA($C$8:C124)&amp;"")</f>
        <v/>
      </c>
      <c r="B124" s="426" t="inlineStr">
        <is>
          <t>REQ-ORD-012</t>
        </is>
      </c>
      <c r="C124" s="426" t="inlineStr">
        <is>
          <t>DOC-v1.0-01 (BRD v3.2 §D8.1/D8.2)</t>
        </is>
      </c>
      <c r="D124" s="426" t="inlineStr">
        <is>
          <t>Functional</t>
        </is>
      </c>
      <c r="E124" s="426" t="inlineStr">
        <is>
          <t>Medium</t>
        </is>
      </c>
      <c r="F124" s="427" t="inlineStr">
        <is>
          <t>Check Thời gian di chuyển đúng biên 30 phút hợp lệ</t>
        </is>
      </c>
      <c r="G124" s="427" t="inlineStr">
        <is>
          <t>Đang ở Form OFFER</t>
        </is>
      </c>
      <c r="H124" s="427" t="inlineStr">
        <is>
          <t>1. Nhập Thời gian di chuyển: 17:30 – 18:00
2. Bấm gửi</t>
        </is>
      </c>
      <c r="I124" s="427" t="inlineStr">
        <is>
          <t>1. Field hiển thị đúng giá trị vừa nhập
2. Được chấp nhận, hợp lệ</t>
        </is>
      </c>
      <c r="J124" s="426" t="inlineStr">
        <is>
          <t>AI</t>
        </is>
      </c>
      <c r="K124" s="426" t="inlineStr">
        <is>
          <t>Pending</t>
        </is>
      </c>
      <c r="L124" s="426" t="inlineStr">
        <is>
          <t>No</t>
        </is>
      </c>
      <c r="M124" s="426" t="n"/>
      <c r="N124" s="428" t="n"/>
      <c r="O124" s="428" t="n"/>
      <c r="P124" s="428" t="n"/>
      <c r="Q124" s="428" t="n"/>
      <c r="R124" s="428" t="n"/>
      <c r="S124" s="428" t="n"/>
      <c r="T124" s="428" t="n"/>
      <c r="U124" s="428" t="n"/>
      <c r="V124" s="428" t="n"/>
      <c r="W124" s="428" t="n"/>
      <c r="X124" s="428" t="n"/>
      <c r="Y124" s="428" t="n"/>
      <c r="Z124" s="428" t="n"/>
      <c r="AA124" s="428" t="n"/>
      <c r="AB124" s="429" t="n"/>
      <c r="AC124" s="429" t="n"/>
      <c r="AD124" s="429" t="n"/>
      <c r="AE124" s="429" t="n"/>
      <c r="AF124" s="429" t="n"/>
      <c r="AG124" s="429" t="n"/>
      <c r="AH124" s="429" t="n"/>
      <c r="AI124" s="429" t="n"/>
      <c r="AJ124" s="429" t="n"/>
      <c r="AK124" s="429" t="n"/>
      <c r="AL124" s="429" t="n"/>
      <c r="AM124" s="430">
        <f>IF($A122="","",IF(OR($N122="Yes",$S122="Yes",$X122="Yes",$AC122="Yes",$AH122="Yes"),"Yes","No"))</f>
        <v/>
      </c>
      <c r="AN124" s="430">
        <f>IF($A122="","",IFERROR(IF($AI122&lt;&gt;"",$AI122,IF($AD122&lt;&gt;"",$AD122,IF($Y122&lt;&gt;"",$Y122,IF($T122&lt;&gt;"",$T122,IF($O122&lt;&gt;"",$O122,""))))),""))</f>
        <v/>
      </c>
      <c r="AO124" s="430">
        <f>IFERROR(IF($AJ122&lt;&gt;"",$AJ122,IF($AE122&lt;&gt;"",$AE122,IF($Z122&lt;&gt;"",$Z122,IF($U122&lt;&gt;"",$U122,IF($P122&lt;&gt;"",$P122,""))))),"")</f>
        <v/>
      </c>
      <c r="AP124" s="431" t="inlineStr">
        <is>
          <t>Technique: BVA-min (ThoiGianDiChuyen-OFFER)</t>
        </is>
      </c>
      <c r="AQ124" s="224" t="n"/>
    </row>
    <row r="125" ht="15.75" customHeight="1" s="225">
      <c r="A125" s="426">
        <f>IF(C125="","",$C$2&amp;"."&amp;COUNTA($C$8:C125)&amp;"")</f>
        <v/>
      </c>
      <c r="B125" s="426" t="inlineStr">
        <is>
          <t>REQ-ORD-013</t>
        </is>
      </c>
      <c r="C125" s="426" t="inlineStr">
        <is>
          <t>DOC-v1.0-01 (BRD v3.2 §D8.3)</t>
        </is>
      </c>
      <c r="D125" s="426" t="inlineStr">
        <is>
          <t>UI</t>
        </is>
      </c>
      <c r="E125" s="426" t="inlineStr">
        <is>
          <t>Medium</t>
        </is>
      </c>
      <c r="F125" s="427" t="inlineStr">
        <is>
          <t>Check nút gửi (OFFER) disabled tới khi hợp lệ + tick điều khoản</t>
        </is>
      </c>
      <c r="G125" s="427" t="inlineStr">
        <is>
          <t>Đang ở Form OFFER, còn field lỗi hoặc chưa tick điều khoản</t>
        </is>
      </c>
      <c r="H125" s="427" t="inlineStr">
        <is>
          <t>1. Để Điểm đến trống, Checkbox điều khoản đã tick
2. Điền đủ + hợp lệ toàn bộ field, giữ tick điều khoản</t>
        </is>
      </c>
      <c r="I125" s="427" t="inlineStr">
        <is>
          <t>1. Nút gửi disabled (do còn field lỗi)
2. Nút gửi chuyển sang enabled</t>
        </is>
      </c>
      <c r="J125" s="426" t="inlineStr">
        <is>
          <t>AI</t>
        </is>
      </c>
      <c r="K125" s="426" t="inlineStr">
        <is>
          <t>Pending</t>
        </is>
      </c>
      <c r="L125" s="426" t="inlineStr">
        <is>
          <t>No</t>
        </is>
      </c>
      <c r="M125" s="426" t="n"/>
      <c r="N125" s="428" t="n"/>
      <c r="O125" s="428" t="n"/>
      <c r="P125" s="428" t="n"/>
      <c r="Q125" s="428" t="n"/>
      <c r="R125" s="428" t="n"/>
      <c r="S125" s="428" t="n"/>
      <c r="T125" s="428" t="n"/>
      <c r="U125" s="428" t="n"/>
      <c r="V125" s="428" t="n"/>
      <c r="W125" s="428" t="n"/>
      <c r="X125" s="428" t="n"/>
      <c r="Y125" s="428" t="n"/>
      <c r="Z125" s="428" t="n"/>
      <c r="AA125" s="428" t="n"/>
      <c r="AB125" s="429" t="n"/>
      <c r="AC125" s="429" t="n"/>
      <c r="AD125" s="429" t="n"/>
      <c r="AE125" s="429" t="n"/>
      <c r="AF125" s="429" t="n"/>
      <c r="AG125" s="429" t="n"/>
      <c r="AH125" s="429" t="n"/>
      <c r="AI125" s="429" t="n"/>
      <c r="AJ125" s="429" t="n"/>
      <c r="AK125" s="429" t="n"/>
      <c r="AL125" s="429" t="n"/>
      <c r="AM125" s="430">
        <f>IF($A123="","",IF(OR($N123="Yes",$S123="Yes",$X123="Yes",$AC123="Yes",$AH123="Yes"),"Yes","No"))</f>
        <v/>
      </c>
      <c r="AN125" s="430">
        <f>IF($A123="","",IFERROR(IF($AI123&lt;&gt;"",$AI123,IF($AD123&lt;&gt;"",$AD123,IF($Y123&lt;&gt;"",$Y123,IF($T123&lt;&gt;"",$T123,IF($O123&lt;&gt;"",$O123,""))))),""))</f>
        <v/>
      </c>
      <c r="AO125" s="430">
        <f>IFERROR(IF($AJ123&lt;&gt;"",$AJ123,IF($AE123&lt;&gt;"",$AE123,IF($Z123&lt;&gt;"",$Z123,IF($U123&lt;&gt;"",$U123,IF($P123&lt;&gt;"",$P123,""))))),"")</f>
        <v/>
      </c>
      <c r="AP125" s="431" t="inlineStr">
        <is>
          <t>Technique: DT-rule1/rule3 (spot-check OFFER, dùng chung cơ chế VAL-01 đã test đầy đủ ở wizard NEED)</t>
        </is>
      </c>
      <c r="AQ125" s="224" t="n"/>
    </row>
    <row r="126" ht="15.75" customHeight="1" s="225">
      <c r="A126" s="423" t="inlineStr">
        <is>
          <t>Chỉnh sửa tin</t>
        </is>
      </c>
      <c r="B126" s="233" t="n"/>
      <c r="C126" s="233" t="n"/>
      <c r="D126" s="233" t="n"/>
      <c r="E126" s="233" t="n"/>
      <c r="F126" s="233" t="n"/>
      <c r="G126" s="233" t="n"/>
      <c r="H126" s="233" t="n"/>
      <c r="I126" s="231" t="n"/>
      <c r="J126" s="424" t="n"/>
      <c r="K126" s="424" t="n"/>
      <c r="L126" s="424" t="n"/>
      <c r="M126" s="424" t="n"/>
      <c r="N126" s="425" t="n"/>
      <c r="O126" s="425" t="n"/>
      <c r="P126" s="425" t="n"/>
      <c r="Q126" s="425" t="n"/>
      <c r="R126" s="425" t="n"/>
      <c r="S126" s="425" t="n"/>
      <c r="T126" s="425" t="n"/>
      <c r="U126" s="425" t="n"/>
      <c r="V126" s="425" t="n"/>
      <c r="W126" s="425" t="n"/>
      <c r="X126" s="425" t="n"/>
      <c r="Y126" s="425" t="n"/>
      <c r="Z126" s="425" t="n"/>
      <c r="AA126" s="425" t="n"/>
      <c r="AB126" s="421" t="n"/>
      <c r="AC126" s="421" t="n"/>
      <c r="AD126" s="421" t="n"/>
      <c r="AE126" s="421" t="n"/>
      <c r="AF126" s="421" t="n"/>
      <c r="AG126" s="421" t="n"/>
      <c r="AH126" s="421" t="n"/>
      <c r="AI126" s="421" t="n"/>
      <c r="AJ126" s="421" t="n"/>
      <c r="AK126" s="421" t="n"/>
      <c r="AL126" s="421" t="n"/>
      <c r="AM126" s="422" t="n"/>
      <c r="AN126" s="422" t="n"/>
      <c r="AO126" s="422" t="n"/>
      <c r="AP126" s="422" t="n"/>
      <c r="AQ126" s="224" t="n"/>
    </row>
    <row r="127" ht="15.75" customHeight="1" s="225">
      <c r="A127" s="426" t="n"/>
      <c r="B127" s="432" t="inlineStr">
        <is>
          <t>Block Form điền sẵn</t>
        </is>
      </c>
      <c r="C127" s="233" t="n"/>
      <c r="D127" s="233" t="n"/>
      <c r="E127" s="233" t="n"/>
      <c r="F127" s="233" t="n"/>
      <c r="G127" s="233" t="n"/>
      <c r="H127" s="233" t="n"/>
      <c r="I127" s="231" t="n"/>
      <c r="J127" s="426" t="n"/>
      <c r="K127" s="426" t="n"/>
      <c r="L127" s="426" t="n"/>
      <c r="M127" s="426" t="n"/>
      <c r="N127" s="428" t="n"/>
      <c r="O127" s="428" t="n"/>
      <c r="P127" s="428" t="n"/>
      <c r="Q127" s="428" t="n"/>
      <c r="R127" s="428" t="n"/>
      <c r="S127" s="428" t="n"/>
      <c r="T127" s="428" t="n"/>
      <c r="U127" s="428" t="n"/>
      <c r="V127" s="428" t="n"/>
      <c r="W127" s="428" t="n"/>
      <c r="X127" s="428" t="n"/>
      <c r="Y127" s="428" t="n"/>
      <c r="Z127" s="428" t="n"/>
      <c r="AA127" s="428" t="n"/>
      <c r="AB127" s="429" t="n"/>
      <c r="AC127" s="429" t="n"/>
      <c r="AD127" s="429" t="n"/>
      <c r="AE127" s="429" t="n"/>
      <c r="AF127" s="429" t="n"/>
      <c r="AG127" s="429" t="n"/>
      <c r="AH127" s="429" t="n"/>
      <c r="AI127" s="429" t="n"/>
      <c r="AJ127" s="429" t="n"/>
      <c r="AK127" s="429" t="n"/>
      <c r="AL127" s="429" t="n"/>
      <c r="AM127" s="430" t="n"/>
      <c r="AN127" s="430" t="n"/>
      <c r="AO127" s="430" t="n"/>
      <c r="AP127" s="431" t="n"/>
      <c r="AQ127" s="224" t="n"/>
    </row>
    <row r="128" ht="145" customHeight="1" s="225">
      <c r="A128" s="426">
        <f>IF(C128="","",$C$2&amp;"."&amp;COUNTA($C$8:C128)&amp;"")</f>
        <v/>
      </c>
      <c r="B128" s="426" t="inlineStr">
        <is>
          <t>REQ-ORD-006</t>
        </is>
      </c>
      <c r="C128" s="426" t="inlineStr">
        <is>
          <t>DOC-v1.0-01, DOC-v1.0-02</t>
        </is>
      </c>
      <c r="D128" s="426" t="inlineStr">
        <is>
          <t>UI</t>
        </is>
      </c>
      <c r="E128" s="426" t="inlineStr">
        <is>
          <t>Medium</t>
        </is>
      </c>
      <c r="F128" s="427" t="inlineStr">
        <is>
          <t>Check form Chỉnh sửa nạp sẵn đầy đủ dữ liệu tin cũ</t>
        </is>
      </c>
      <c r="G128" s="427" t="inlineStr">
        <is>
          <t>Có tin trạng thái 'Chờ ghép', bấm nút 'Chỉnh sửa'</t>
        </is>
      </c>
      <c r="H128" s="427" t="inlineStr">
        <is>
          <t>1. Bấm 'Chỉnh sửa' trên tin đang 'Chờ ghép'
2. Quan sát toàn bộ form</t>
        </is>
      </c>
      <c r="I128" s="427" t="inlineStr">
        <is>
          <t>1. Form Chỉnh sửa mở ra
2. Form hiển thị ĐẦY ĐỦ dữ liệu đã điền sẵn đúng với tin gốc:
- Loại hàng
- Ghi chú
- Giá trị hàng
- Ảnh
- Thông tin Người gửi
- Thông tin Người nhận
- Thời gian</t>
        </is>
      </c>
      <c r="J128" s="426" t="inlineStr">
        <is>
          <t>AI</t>
        </is>
      </c>
      <c r="K128" s="426" t="inlineStr">
        <is>
          <t>Pending</t>
        </is>
      </c>
      <c r="L128" s="426" t="inlineStr">
        <is>
          <t>No</t>
        </is>
      </c>
      <c r="M128" s="426" t="n"/>
      <c r="N128" s="428" t="n"/>
      <c r="O128" s="428" t="n"/>
      <c r="P128" s="428" t="n"/>
      <c r="Q128" s="428" t="n"/>
      <c r="R128" s="428" t="n"/>
      <c r="S128" s="428" t="n"/>
      <c r="T128" s="428" t="n"/>
      <c r="U128" s="428" t="n"/>
      <c r="V128" s="428" t="n"/>
      <c r="W128" s="428" t="n"/>
      <c r="X128" s="428" t="n"/>
      <c r="Y128" s="428" t="n"/>
      <c r="Z128" s="428" t="n"/>
      <c r="AA128" s="428" t="n"/>
      <c r="AB128" s="429" t="n"/>
      <c r="AC128" s="429" t="n"/>
      <c r="AD128" s="429" t="n"/>
      <c r="AE128" s="429" t="n"/>
      <c r="AF128" s="429" t="n"/>
      <c r="AG128" s="429" t="n"/>
      <c r="AH128" s="429" t="n"/>
      <c r="AI128" s="429" t="n"/>
      <c r="AJ128" s="429" t="n"/>
      <c r="AK128" s="429" t="n"/>
      <c r="AL128" s="429" t="n"/>
      <c r="AM128" s="430">
        <f>IF($A126="","",IF(OR($N126="Yes",$S126="Yes",$X126="Yes",$AC126="Yes",$AH126="Yes"),"Yes","No"))</f>
        <v/>
      </c>
      <c r="AN128" s="430">
        <f>IF($A126="","",IFERROR(IF($AI126&lt;&gt;"",$AI126,IF($AD126&lt;&gt;"",$AD126,IF($Y126&lt;&gt;"",$Y126,IF($T126&lt;&gt;"",$T126,IF($O126&lt;&gt;"",$O126,""))))),""))</f>
        <v/>
      </c>
      <c r="AO128" s="430">
        <f>IFERROR(IF($AJ126&lt;&gt;"",$AJ126,IF($AE126&lt;&gt;"",$AE126,IF($Z126&lt;&gt;"",$Z126,IF($U126&lt;&gt;"",$U126,IF($P126&lt;&gt;"",$P126,""))))),"")</f>
        <v/>
      </c>
      <c r="AP128" s="431" t="inlineStr">
        <is>
          <t>Field/column completeness check — auto-derived (xem generate.md Step 3b)</t>
        </is>
      </c>
      <c r="AQ128" s="224" t="n"/>
    </row>
    <row r="129" ht="15.75" customHeight="1" s="225">
      <c r="A129" s="426">
        <f>IF(C129="","",$C$2&amp;"."&amp;COUNTA($C$8:C129)&amp;"")</f>
        <v/>
      </c>
      <c r="B129" s="426" t="inlineStr">
        <is>
          <t>REQ-ORD-006</t>
        </is>
      </c>
      <c r="C129" s="426" t="inlineStr">
        <is>
          <t>DOC-v1.0-01, DOC-v1.0-02</t>
        </is>
      </c>
      <c r="D129" s="426" t="inlineStr">
        <is>
          <t>UI</t>
        </is>
      </c>
      <c r="E129" s="426" t="inlineStr">
        <is>
          <t>Medium</t>
        </is>
      </c>
      <c r="F129" s="427" t="inlineStr">
        <is>
          <t>Check đủ 2 nút 'Cập nhật'/'Huỷ chỉnh sửa' hiển thị tại form Chỉnh sửa tin</t>
        </is>
      </c>
      <c r="G129" s="427" t="inlineStr">
        <is>
          <t>Có tin trạng thái 'Chờ ghép', đang ở form Chỉnh sửa (đã điền sẵn)</t>
        </is>
      </c>
      <c r="H129" s="427" t="inlineStr">
        <is>
          <t>1. Quan sát khu vực nút hành động của form Chỉnh sửa</t>
        </is>
      </c>
      <c r="I129" s="427" t="inlineStr">
        <is>
          <t>1. Hiển thị đủ 2 nút theo đúng nhãn: 'Cập nhật' và 'Huỷ chỉnh sửa'</t>
        </is>
      </c>
      <c r="J129" s="426" t="inlineStr">
        <is>
          <t>AI</t>
        </is>
      </c>
      <c r="K129" s="426" t="inlineStr">
        <is>
          <t>Pending</t>
        </is>
      </c>
      <c r="L129" s="426" t="inlineStr">
        <is>
          <t>No</t>
        </is>
      </c>
      <c r="M129" s="426" t="n"/>
      <c r="N129" s="428" t="n"/>
      <c r="O129" s="428" t="n"/>
      <c r="P129" s="428" t="n"/>
      <c r="Q129" s="428" t="n"/>
      <c r="R129" s="428" t="n"/>
      <c r="S129" s="428" t="n"/>
      <c r="T129" s="428" t="n"/>
      <c r="U129" s="428" t="n"/>
      <c r="V129" s="428" t="n"/>
      <c r="W129" s="428" t="n"/>
      <c r="X129" s="428" t="n"/>
      <c r="Y129" s="428" t="n"/>
      <c r="Z129" s="428" t="n"/>
      <c r="AA129" s="428" t="n"/>
      <c r="AB129" s="429" t="n"/>
      <c r="AC129" s="429" t="n"/>
      <c r="AD129" s="429" t="n"/>
      <c r="AE129" s="429" t="n"/>
      <c r="AF129" s="429" t="n"/>
      <c r="AG129" s="429" t="n"/>
      <c r="AH129" s="429" t="n"/>
      <c r="AI129" s="429" t="n"/>
      <c r="AJ129" s="429" t="n"/>
      <c r="AK129" s="429" t="n"/>
      <c r="AL129" s="429" t="n"/>
      <c r="AM129" s="430">
        <f>IF($A127="","",IF(OR($N127="Yes",$S127="Yes",$X127="Yes",$AC127="Yes",$AH127="Yes"),"Yes","No"))</f>
        <v/>
      </c>
      <c r="AN129" s="430">
        <f>IF($A127="","",IFERROR(IF($AI127&lt;&gt;"",$AI127,IF($AD127&lt;&gt;"",$AD127,IF($Y127&lt;&gt;"",$Y127,IF($T127&lt;&gt;"",$T127,IF($O127&lt;&gt;"",$O127,""))))),""))</f>
        <v/>
      </c>
      <c r="AO129" s="430">
        <f>IFERROR(IF($AJ127&lt;&gt;"",$AJ127,IF($AE127&lt;&gt;"",$AE127,IF($Z127&lt;&gt;"",$Z127,IF($U127&lt;&gt;"",$U127,IF($P127&lt;&gt;"",$P127,""))))),"")</f>
        <v/>
      </c>
      <c r="AP129" s="431" t="inlineStr">
        <is>
          <t>Field/column completeness check — auto-derived (xem generate.md Step 3b)</t>
        </is>
      </c>
      <c r="AQ129" s="224" t="n"/>
    </row>
    <row r="130" ht="15.75" customHeight="1" s="225">
      <c r="A130" s="426">
        <f>IF(C130="","",$C$2&amp;"."&amp;COUNTA($C$8:C130)&amp;"")</f>
        <v/>
      </c>
      <c r="B130" s="426" t="inlineStr">
        <is>
          <t>REQ-ORD-006</t>
        </is>
      </c>
      <c r="C130" s="426" t="inlineStr">
        <is>
          <t>DOC-v1.0-01, DOC-v1.0-02</t>
        </is>
      </c>
      <c r="D130" s="426" t="inlineStr">
        <is>
          <t>Functional</t>
        </is>
      </c>
      <c r="E130" s="426" t="inlineStr">
        <is>
          <t>Medium</t>
        </is>
      </c>
      <c r="F130" s="427" t="inlineStr">
        <is>
          <t>Check sửa tin khi đang 'Chờ ghép' lưu thành công</t>
        </is>
      </c>
      <c r="G130" s="427" t="inlineStr">
        <is>
          <t>Có tin trạng thái 'Chờ ghép', đang ở form Chỉnh sửa (đã điền sẵn)</t>
        </is>
      </c>
      <c r="H130" s="427" t="inlineStr">
        <is>
          <t>1. Sửa Ghi chú sang nội dung mới
2. Bấm 'Cập nhật'</t>
        </is>
      </c>
      <c r="I130" s="427" t="inlineStr">
        <is>
          <t>1. Field Ghi chú nhận đúng giá trị mới
2. Lưu thành công, tin hiển thị đúng Ghi chú mới</t>
        </is>
      </c>
      <c r="J130" s="426" t="inlineStr">
        <is>
          <t>AI</t>
        </is>
      </c>
      <c r="K130" s="426" t="inlineStr">
        <is>
          <t>Pending</t>
        </is>
      </c>
      <c r="L130" s="426" t="inlineStr">
        <is>
          <t>No</t>
        </is>
      </c>
      <c r="M130" s="426" t="n"/>
      <c r="N130" s="428" t="n"/>
      <c r="O130" s="428" t="n"/>
      <c r="P130" s="428" t="n"/>
      <c r="Q130" s="428" t="n"/>
      <c r="R130" s="428" t="n"/>
      <c r="S130" s="428" t="n"/>
      <c r="T130" s="428" t="n"/>
      <c r="U130" s="428" t="n"/>
      <c r="V130" s="428" t="n"/>
      <c r="W130" s="428" t="n"/>
      <c r="X130" s="428" t="n"/>
      <c r="Y130" s="428" t="n"/>
      <c r="Z130" s="428" t="n"/>
      <c r="AA130" s="428" t="n"/>
      <c r="AB130" s="429" t="n"/>
      <c r="AC130" s="429" t="n"/>
      <c r="AD130" s="429" t="n"/>
      <c r="AE130" s="429" t="n"/>
      <c r="AF130" s="429" t="n"/>
      <c r="AG130" s="429" t="n"/>
      <c r="AH130" s="429" t="n"/>
      <c r="AI130" s="429" t="n"/>
      <c r="AJ130" s="429" t="n"/>
      <c r="AK130" s="429" t="n"/>
      <c r="AL130" s="429" t="n"/>
      <c r="AM130" s="430">
        <f>IF($A128="","",IF(OR($N128="Yes",$S128="Yes",$X128="Yes",$AC128="Yes",$AH128="Yes"),"Yes","No"))</f>
        <v/>
      </c>
      <c r="AN130" s="430">
        <f>IF($A128="","",IFERROR(IF($AI128&lt;&gt;"",$AI128,IF($AD128&lt;&gt;"",$AD128,IF($Y128&lt;&gt;"",$Y128,IF($T128&lt;&gt;"",$T128,IF($O128&lt;&gt;"",$O128,""))))),""))</f>
        <v/>
      </c>
      <c r="AO130" s="430">
        <f>IFERROR(IF($AJ128&lt;&gt;"",$AJ128,IF($AE128&lt;&gt;"",$AE128,IF($Z128&lt;&gt;"",$Z128,IF($U128&lt;&gt;"",$U128,IF($P128&lt;&gt;"",$P128,""))))),"")</f>
        <v/>
      </c>
      <c r="AP130" s="431" t="n"/>
      <c r="AQ130" s="224" t="n"/>
    </row>
    <row r="131" ht="15.75" customHeight="1" s="225">
      <c r="A131" s="426">
        <f>IF(C131="","",$C$2&amp;"."&amp;COUNTA($C$8:C131)&amp;"")</f>
        <v/>
      </c>
      <c r="B131" s="426" t="inlineStr">
        <is>
          <t>REQ-ORD-006</t>
        </is>
      </c>
      <c r="C131" s="426" t="inlineStr">
        <is>
          <t>DOC-v1.0-01, DOC-v1.0-02</t>
        </is>
      </c>
      <c r="D131" s="426" t="inlineStr">
        <is>
          <t>Functional</t>
        </is>
      </c>
      <c r="E131" s="426" t="inlineStr">
        <is>
          <t>Medium</t>
        </is>
      </c>
      <c r="F131" s="427" t="inlineStr">
        <is>
          <t>Check bấm 'Huỷ chỉnh sửa' bỏ thay đổi, giữ nguyên dữ liệu cũ</t>
        </is>
      </c>
      <c r="G131" s="427" t="inlineStr">
        <is>
          <t>Đang ở form Chỉnh sửa, vừa sửa 1 vài field (chưa bấm Cập nhật)</t>
        </is>
      </c>
      <c r="H131" s="427" t="inlineStr">
        <is>
          <t>1. Sửa Ghi chú sang nội dung khác
2. Bấm 'Huỷ chỉnh sửa'</t>
        </is>
      </c>
      <c r="I131" s="427" t="inlineStr">
        <is>
          <t>1. Field Ghi chú nhận đúng giá trị mới tạm thời
2. Thay đổi bị bỏ, tin vẫn giữ nguyên dữ liệu cũ trước khi sửa</t>
        </is>
      </c>
      <c r="J131" s="426" t="inlineStr">
        <is>
          <t>AI</t>
        </is>
      </c>
      <c r="K131" s="426" t="inlineStr">
        <is>
          <t>Pending</t>
        </is>
      </c>
      <c r="L131" s="426" t="inlineStr">
        <is>
          <t>No</t>
        </is>
      </c>
      <c r="M131" s="426" t="n"/>
      <c r="N131" s="428" t="n"/>
      <c r="O131" s="428" t="n"/>
      <c r="P131" s="428" t="n"/>
      <c r="Q131" s="428" t="n"/>
      <c r="R131" s="428" t="n"/>
      <c r="S131" s="428" t="n"/>
      <c r="T131" s="428" t="n"/>
      <c r="U131" s="428" t="n"/>
      <c r="V131" s="428" t="n"/>
      <c r="W131" s="428" t="n"/>
      <c r="X131" s="428" t="n"/>
      <c r="Y131" s="428" t="n"/>
      <c r="Z131" s="428" t="n"/>
      <c r="AA131" s="428" t="n"/>
      <c r="AB131" s="429" t="n"/>
      <c r="AC131" s="429" t="n"/>
      <c r="AD131" s="429" t="n"/>
      <c r="AE131" s="429" t="n"/>
      <c r="AF131" s="429" t="n"/>
      <c r="AG131" s="429" t="n"/>
      <c r="AH131" s="429" t="n"/>
      <c r="AI131" s="429" t="n"/>
      <c r="AJ131" s="429" t="n"/>
      <c r="AK131" s="429" t="n"/>
      <c r="AL131" s="429" t="n"/>
      <c r="AM131" s="430">
        <f>IF($A129="","",IF(OR($N129="Yes",$S129="Yes",$X129="Yes",$AC129="Yes",$AH129="Yes"),"Yes","No"))</f>
        <v/>
      </c>
      <c r="AN131" s="430">
        <f>IF($A129="","",IFERROR(IF($AI129&lt;&gt;"",$AI129,IF($AD129&lt;&gt;"",$AD129,IF($Y129&lt;&gt;"",$Y129,IF($T129&lt;&gt;"",$T129,IF($O129&lt;&gt;"",$O129,""))))),""))</f>
        <v/>
      </c>
      <c r="AO131" s="430">
        <f>IFERROR(IF($AJ129&lt;&gt;"",$AJ129,IF($AE129&lt;&gt;"",$AE129,IF($Z129&lt;&gt;"",$Z129,IF($U129&lt;&gt;"",$U129,IF($P129&lt;&gt;"",$P129,""))))),"")</f>
        <v/>
      </c>
      <c r="AP131" s="431" t="inlineStr">
        <is>
          <t>Technique: EP-btn-HuyChinhSua</t>
        </is>
      </c>
      <c r="AQ131" s="224" t="n"/>
    </row>
    <row r="132" ht="15.75" customHeight="1" s="225">
      <c r="A132" s="426">
        <f>IF(C132="","",$C$2&amp;"."&amp;COUNTA($C$8:C132)&amp;"")</f>
        <v/>
      </c>
      <c r="B132" s="426" t="inlineStr">
        <is>
          <t>REQ-ORD-006</t>
        </is>
      </c>
      <c r="C132" s="426" t="inlineStr">
        <is>
          <t>DOC-v1.0-01, DOC-v1.0-02</t>
        </is>
      </c>
      <c r="D132" s="426" t="inlineStr">
        <is>
          <t>Functional</t>
        </is>
      </c>
      <c r="E132" s="426" t="inlineStr">
        <is>
          <t>High</t>
        </is>
      </c>
      <c r="F132" s="427" t="inlineStr">
        <is>
          <t>Check khoá chỉnh sửa khi tin đã 'Đã ghép' (MATCHED)</t>
        </is>
      </c>
      <c r="G132" s="427" t="inlineStr">
        <is>
          <t>Có tin trạng thái 'Đã ghép'</t>
        </is>
      </c>
      <c r="H132" s="427" t="inlineStr">
        <is>
          <t>1. Mở màn Theo dõi đơn / Chi tiết tin của tin đã 'Đã ghép'
2. Tìm nút 'Chỉnh sửa'</t>
        </is>
      </c>
      <c r="I132" s="427" t="inlineStr">
        <is>
          <t>1. Màn hiển thị đúng tin đang mở: tên tin + badge trạng thái 'Đã ghép'
2. KHÔNG còn nút 'Chỉnh sửa' hiển thị (khoá hoàn toàn)</t>
        </is>
      </c>
      <c r="J132" s="426" t="inlineStr">
        <is>
          <t>AI</t>
        </is>
      </c>
      <c r="K132" s="426" t="inlineStr">
        <is>
          <t>Pending</t>
        </is>
      </c>
      <c r="L132" s="426" t="inlineStr">
        <is>
          <t>No</t>
        </is>
      </c>
      <c r="M132" s="426" t="n"/>
      <c r="N132" s="428" t="n"/>
      <c r="O132" s="428" t="n"/>
      <c r="P132" s="428" t="n"/>
      <c r="Q132" s="428" t="n"/>
      <c r="R132" s="428" t="n"/>
      <c r="S132" s="428" t="n"/>
      <c r="T132" s="428" t="n"/>
      <c r="U132" s="428" t="n"/>
      <c r="V132" s="428" t="n"/>
      <c r="W132" s="428" t="n"/>
      <c r="X132" s="428" t="n"/>
      <c r="Y132" s="428" t="n"/>
      <c r="Z132" s="428" t="n"/>
      <c r="AA132" s="428" t="n"/>
      <c r="AB132" s="429" t="n"/>
      <c r="AC132" s="429" t="n"/>
      <c r="AD132" s="429" t="n"/>
      <c r="AE132" s="429" t="n"/>
      <c r="AF132" s="429" t="n"/>
      <c r="AG132" s="429" t="n"/>
      <c r="AH132" s="429" t="n"/>
      <c r="AI132" s="429" t="n"/>
      <c r="AJ132" s="429" t="n"/>
      <c r="AK132" s="429" t="n"/>
      <c r="AL132" s="429" t="n"/>
      <c r="AM132" s="430">
        <f>IF($A130="","",IF(OR($N130="Yes",$S130="Yes",$X130="Yes",$AC130="Yes",$AH130="Yes"),"Yes","No"))</f>
        <v/>
      </c>
      <c r="AN132" s="430">
        <f>IF($A130="","",IFERROR(IF($AI130&lt;&gt;"",$AI130,IF($AD130&lt;&gt;"",$AD130,IF($Y130&lt;&gt;"",$Y130,IF($T130&lt;&gt;"",$T130,IF($O130&lt;&gt;"",$O130,""))))),""))</f>
        <v/>
      </c>
      <c r="AO132" s="430">
        <f>IFERROR(IF($AJ130&lt;&gt;"",$AJ130,IF($AE130&lt;&gt;"",$AE130,IF($Z130&lt;&gt;"",$Z130,IF($U130&lt;&gt;"",$U130,IF($P130&lt;&gt;"",$P130,""))))),"")</f>
        <v/>
      </c>
      <c r="AP132" s="431" t="inlineStr">
        <is>
          <t>Technique: ST-invalid-edit-MATCHED | Sửa 2026-07-30 theo finding review-tc m7 (R3-12): Expected bước 1 trước đây là "Màn hiển thị đúng thông tin tin" (mơ hồ) → nay nêu rõ tên tin + badge 'Đã ghép'</t>
        </is>
      </c>
      <c r="AQ132" s="224" t="n"/>
    </row>
    <row r="133" ht="15.75" customHeight="1" s="225">
      <c r="A133" s="426">
        <f>IF(C133="","",$C$2&amp;"."&amp;COUNTA($C$8:C133)&amp;"")</f>
        <v/>
      </c>
      <c r="B133" s="426" t="inlineStr">
        <is>
          <t>REQ-ORD-006</t>
        </is>
      </c>
      <c r="C133" s="426" t="inlineStr">
        <is>
          <t>DOC-v1.0-01, DOC-v1.0-02</t>
        </is>
      </c>
      <c r="D133" s="426" t="inlineStr">
        <is>
          <t>Functional</t>
        </is>
      </c>
      <c r="E133" s="426" t="inlineStr">
        <is>
          <t>Medium</t>
        </is>
      </c>
      <c r="F133" s="427" t="inlineStr">
        <is>
          <t>Check khoá chỉnh sửa khi tin đang 'Đang giao' (IN_TRANSIT)</t>
        </is>
      </c>
      <c r="G133" s="427" t="inlineStr">
        <is>
          <t>Có tin trạng thái 'Đang giao'</t>
        </is>
      </c>
      <c r="H133" s="427" t="inlineStr">
        <is>
          <t>1. Mở màn Theo dõi đơn của tin đang 'Đang giao'
2. Tìm nút 'Chỉnh sửa'</t>
        </is>
      </c>
      <c r="I133" s="427" t="inlineStr">
        <is>
          <t>1. Màn hiển thị đúng thông tin tin
2. KHÔNG còn nút 'Chỉnh sửa' hiển thị</t>
        </is>
      </c>
      <c r="J133" s="426" t="inlineStr">
        <is>
          <t>AI</t>
        </is>
      </c>
      <c r="K133" s="426" t="inlineStr">
        <is>
          <t>Pending</t>
        </is>
      </c>
      <c r="L133" s="426" t="inlineStr">
        <is>
          <t>No</t>
        </is>
      </c>
      <c r="M133" s="426" t="n"/>
      <c r="N133" s="428" t="n"/>
      <c r="O133" s="428" t="n"/>
      <c r="P133" s="428" t="n"/>
      <c r="Q133" s="428" t="n"/>
      <c r="R133" s="428" t="n"/>
      <c r="S133" s="428" t="n"/>
      <c r="T133" s="428" t="n"/>
      <c r="U133" s="428" t="n"/>
      <c r="V133" s="428" t="n"/>
      <c r="W133" s="428" t="n"/>
      <c r="X133" s="428" t="n"/>
      <c r="Y133" s="428" t="n"/>
      <c r="Z133" s="428" t="n"/>
      <c r="AA133" s="428" t="n"/>
      <c r="AB133" s="429" t="n"/>
      <c r="AC133" s="429" t="n"/>
      <c r="AD133" s="429" t="n"/>
      <c r="AE133" s="429" t="n"/>
      <c r="AF133" s="429" t="n"/>
      <c r="AG133" s="429" t="n"/>
      <c r="AH133" s="429" t="n"/>
      <c r="AI133" s="429" t="n"/>
      <c r="AJ133" s="429" t="n"/>
      <c r="AK133" s="429" t="n"/>
      <c r="AL133" s="429" t="n"/>
      <c r="AM133" s="430">
        <f>IF($A131="","",IF(OR($N131="Yes",$S131="Yes",$X131="Yes",$AC131="Yes",$AH131="Yes"),"Yes","No"))</f>
        <v/>
      </c>
      <c r="AN133" s="430">
        <f>IF($A131="","",IFERROR(IF($AI131&lt;&gt;"",$AI131,IF($AD131&lt;&gt;"",$AD131,IF($Y131&lt;&gt;"",$Y131,IF($T131&lt;&gt;"",$T131,IF($O131&lt;&gt;"",$O131,""))))),""))</f>
        <v/>
      </c>
      <c r="AO133" s="430">
        <f>IFERROR(IF($AJ131&lt;&gt;"",$AJ131,IF($AE131&lt;&gt;"",$AE131,IF($Z131&lt;&gt;"",$Z131,IF($U131&lt;&gt;"",$U131,IF($P131&lt;&gt;"",$P131,""))))),"")</f>
        <v/>
      </c>
      <c r="AP133" s="431" t="inlineStr">
        <is>
          <t>Technique: ST-invalid-edit-IN_TRANSIT</t>
        </is>
      </c>
      <c r="AQ133" s="224" t="n"/>
    </row>
    <row r="134" ht="15.75" customHeight="1" s="225">
      <c r="A134" s="426">
        <f>IF(C134="","",$C$2&amp;"."&amp;COUNTA($C$8:C134)&amp;"")</f>
        <v/>
      </c>
      <c r="B134" s="426" t="inlineStr">
        <is>
          <t>REQ-ORD-006</t>
        </is>
      </c>
      <c r="C134" s="426" t="inlineStr">
        <is>
          <t>DOC-v1.0-01, DOC-v1.0-02</t>
        </is>
      </c>
      <c r="D134" s="426" t="inlineStr">
        <is>
          <t>Functional</t>
        </is>
      </c>
      <c r="E134" s="426" t="inlineStr">
        <is>
          <t>Low</t>
        </is>
      </c>
      <c r="F134" s="427" t="inlineStr">
        <is>
          <t>Check khoá chỉnh sửa khi tin đã 'Hoàn thành' (COMPLETED)</t>
        </is>
      </c>
      <c r="G134" s="427" t="inlineStr">
        <is>
          <t>Có tin trạng thái 'Hoàn thành'</t>
        </is>
      </c>
      <c r="H134" s="427" t="inlineStr">
        <is>
          <t>1. Mở màn liên quan tới tin đã 'Hoàn thành'
2. Tìm nút 'Chỉnh sửa'</t>
        </is>
      </c>
      <c r="I134" s="427" t="inlineStr">
        <is>
          <t>1. Màn hiển thị đúng thông tin tin
2. KHÔNG còn nút 'Chỉnh sửa' hiển thị</t>
        </is>
      </c>
      <c r="J134" s="426" t="inlineStr">
        <is>
          <t>AI</t>
        </is>
      </c>
      <c r="K134" s="426" t="inlineStr">
        <is>
          <t>Pending</t>
        </is>
      </c>
      <c r="L134" s="426" t="inlineStr">
        <is>
          <t>No</t>
        </is>
      </c>
      <c r="M134" s="426" t="n"/>
      <c r="N134" s="428" t="n"/>
      <c r="O134" s="428" t="n"/>
      <c r="P134" s="428" t="n"/>
      <c r="Q134" s="428" t="n"/>
      <c r="R134" s="428" t="n"/>
      <c r="S134" s="428" t="n"/>
      <c r="T134" s="428" t="n"/>
      <c r="U134" s="428" t="n"/>
      <c r="V134" s="428" t="n"/>
      <c r="W134" s="428" t="n"/>
      <c r="X134" s="428" t="n"/>
      <c r="Y134" s="428" t="n"/>
      <c r="Z134" s="428" t="n"/>
      <c r="AA134" s="428" t="n"/>
      <c r="AB134" s="429" t="n"/>
      <c r="AC134" s="429" t="n"/>
      <c r="AD134" s="429" t="n"/>
      <c r="AE134" s="429" t="n"/>
      <c r="AF134" s="429" t="n"/>
      <c r="AG134" s="429" t="n"/>
      <c r="AH134" s="429" t="n"/>
      <c r="AI134" s="429" t="n"/>
      <c r="AJ134" s="429" t="n"/>
      <c r="AK134" s="429" t="n"/>
      <c r="AL134" s="429" t="n"/>
      <c r="AM134" s="430">
        <f>IF($A132="","",IF(OR($N132="Yes",$S132="Yes",$X132="Yes",$AC132="Yes",$AH132="Yes"),"Yes","No"))</f>
        <v/>
      </c>
      <c r="AN134" s="430">
        <f>IF($A132="","",IFERROR(IF($AI132&lt;&gt;"",$AI132,IF($AD132&lt;&gt;"",$AD132,IF($Y132&lt;&gt;"",$Y132,IF($T132&lt;&gt;"",$T132,IF($O132&lt;&gt;"",$O132,""))))),""))</f>
        <v/>
      </c>
      <c r="AO134" s="430">
        <f>IFERROR(IF($AJ132&lt;&gt;"",$AJ132,IF($AE132&lt;&gt;"",$AE132,IF($Z132&lt;&gt;"",$Z132,IF($U132&lt;&gt;"",$U132,IF($P132&lt;&gt;"",$P132,""))))),"")</f>
        <v/>
      </c>
      <c r="AP134" s="431" t="inlineStr">
        <is>
          <t>Technique: ST-invalid-edit-COMPLETED</t>
        </is>
      </c>
      <c r="AQ134" s="224" t="n"/>
    </row>
    <row r="135" ht="15.75" customHeight="1" s="225">
      <c r="A135" s="426">
        <f>IF(C135="","",$C$2&amp;"."&amp;COUNTA($C$8:C135)&amp;"")</f>
        <v/>
      </c>
      <c r="B135" s="426" t="inlineStr">
        <is>
          <t>REQ-ORD-006</t>
        </is>
      </c>
      <c r="C135" s="426" t="inlineStr">
        <is>
          <t>DOC-v1.0-01, DOC-v1.0-02</t>
        </is>
      </c>
      <c r="D135" s="426" t="inlineStr">
        <is>
          <t>Functional</t>
        </is>
      </c>
      <c r="E135" s="426" t="inlineStr">
        <is>
          <t>Low</t>
        </is>
      </c>
      <c r="F135" s="427" t="inlineStr">
        <is>
          <t>Check khoá chỉnh sửa khi tin đã 'Hết hạn' (EXPIRED)</t>
        </is>
      </c>
      <c r="G135" s="427" t="inlineStr">
        <is>
          <t>Có tin trạng thái 'Hết hạn'</t>
        </is>
      </c>
      <c r="H135" s="427" t="inlineStr">
        <is>
          <t>1. Mở màn liên quan tới tin đã 'Hết hạn'
2. Tìm nút 'Chỉnh sửa'</t>
        </is>
      </c>
      <c r="I135" s="427" t="inlineStr">
        <is>
          <t>1. Màn hiển thị đúng thông tin tin
2. KHÔNG còn nút 'Chỉnh sửa' hiển thị</t>
        </is>
      </c>
      <c r="J135" s="426" t="inlineStr">
        <is>
          <t>AI</t>
        </is>
      </c>
      <c r="K135" s="426" t="inlineStr">
        <is>
          <t>Pending</t>
        </is>
      </c>
      <c r="L135" s="426" t="inlineStr">
        <is>
          <t>No</t>
        </is>
      </c>
      <c r="M135" s="426" t="n"/>
      <c r="N135" s="428" t="n"/>
      <c r="O135" s="428" t="n"/>
      <c r="P135" s="428" t="n"/>
      <c r="Q135" s="428" t="n"/>
      <c r="R135" s="428" t="n"/>
      <c r="S135" s="428" t="n"/>
      <c r="T135" s="428" t="n"/>
      <c r="U135" s="428" t="n"/>
      <c r="V135" s="428" t="n"/>
      <c r="W135" s="428" t="n"/>
      <c r="X135" s="428" t="n"/>
      <c r="Y135" s="428" t="n"/>
      <c r="Z135" s="428" t="n"/>
      <c r="AA135" s="428" t="n"/>
      <c r="AB135" s="429" t="n"/>
      <c r="AC135" s="429" t="n"/>
      <c r="AD135" s="429" t="n"/>
      <c r="AE135" s="429" t="n"/>
      <c r="AF135" s="429" t="n"/>
      <c r="AG135" s="429" t="n"/>
      <c r="AH135" s="429" t="n"/>
      <c r="AI135" s="429" t="n"/>
      <c r="AJ135" s="429" t="n"/>
      <c r="AK135" s="429" t="n"/>
      <c r="AL135" s="429" t="n"/>
      <c r="AM135" s="430">
        <f>IF($A133="","",IF(OR($N133="Yes",$S133="Yes",$X133="Yes",$AC133="Yes",$AH133="Yes"),"Yes","No"))</f>
        <v/>
      </c>
      <c r="AN135" s="430">
        <f>IF($A133="","",IFERROR(IF($AI133&lt;&gt;"",$AI133,IF($AD133&lt;&gt;"",$AD133,IF($Y133&lt;&gt;"",$Y133,IF($T133&lt;&gt;"",$T133,IF($O133&lt;&gt;"",$O133,""))))),""))</f>
        <v/>
      </c>
      <c r="AO135" s="430">
        <f>IFERROR(IF($AJ133&lt;&gt;"",$AJ133,IF($AE133&lt;&gt;"",$AE133,IF($Z133&lt;&gt;"",$Z133,IF($U133&lt;&gt;"",$U133,IF($P133&lt;&gt;"",$P133,""))))),"")</f>
        <v/>
      </c>
      <c r="AP135" s="431" t="inlineStr">
        <is>
          <t>Technique: ST-invalid-edit-EXPIRED</t>
        </is>
      </c>
      <c r="AQ135" s="224" t="n"/>
    </row>
    <row r="136" s="225">
      <c r="A136" s="426">
        <f>IF(C136="","",$C$2&amp;"."&amp;COUNTA($C$8:C136)&amp;"")</f>
        <v/>
      </c>
      <c r="B136" s="426" t="inlineStr">
        <is>
          <t>REQ-ORD-006, REQ-CNL-001</t>
        </is>
      </c>
      <c r="C136" s="426" t="inlineStr">
        <is>
          <t>Quan sát thực tế app STG (QA GiangDC2, chat 2026-07-30)</t>
        </is>
      </c>
      <c r="D136" s="426" t="inlineStr">
        <is>
          <t>Functional</t>
        </is>
      </c>
      <c r="E136" s="426" t="inlineStr">
        <is>
          <t>Low</t>
        </is>
      </c>
      <c r="F136" s="427" t="inlineStr">
        <is>
          <t>Check khoá chỉnh sửa khi tin đã 'Đã huỷ' (CANCELLED)</t>
        </is>
      </c>
      <c r="G136" s="427" t="inlineStr">
        <is>
          <t>Có tin trạng thái 'Đã huỷ' (huỷ qua popup 'Huỷ đơn', bất kỳ vai trò nào)</t>
        </is>
      </c>
      <c r="H136" s="427" t="inlineStr">
        <is>
          <t>1. Mở màn liên quan tới tin đã 'Đã huỷ' (vd Theo dõi đơn từ Hoạt động)
2. Tìm nút 'Chỉnh sửa'</t>
        </is>
      </c>
      <c r="I136" s="427" t="inlineStr">
        <is>
          <t>1. Màn hiển thị đúng thông tin tin (đã huỷ)
2. KHÔNG còn nút 'Chỉnh sửa' hiển thị</t>
        </is>
      </c>
      <c r="J136" s="426" t="inlineStr">
        <is>
          <t>AI</t>
        </is>
      </c>
      <c r="K136" s="426" t="inlineStr">
        <is>
          <t>Pending</t>
        </is>
      </c>
      <c r="L136" s="426" t="inlineStr">
        <is>
          <t>No</t>
        </is>
      </c>
      <c r="M136" s="426" t="n"/>
      <c r="N136" s="428" t="n"/>
      <c r="O136" s="428" t="n"/>
      <c r="P136" s="428" t="n"/>
      <c r="Q136" s="428" t="n"/>
      <c r="R136" s="428" t="n"/>
      <c r="S136" s="428" t="n"/>
      <c r="T136" s="428" t="n"/>
      <c r="U136" s="428" t="n"/>
      <c r="V136" s="428" t="n"/>
      <c r="W136" s="428" t="n"/>
      <c r="X136" s="428" t="n"/>
      <c r="Y136" s="428" t="n"/>
      <c r="Z136" s="428" t="n"/>
      <c r="AA136" s="428" t="n"/>
      <c r="AB136" s="429" t="n"/>
      <c r="AC136" s="429" t="n"/>
      <c r="AD136" s="429" t="n"/>
      <c r="AE136" s="429" t="n"/>
      <c r="AF136" s="429" t="n"/>
      <c r="AG136" s="429" t="n"/>
      <c r="AH136" s="429" t="n"/>
      <c r="AI136" s="429" t="n"/>
      <c r="AJ136" s="429" t="n"/>
      <c r="AK136" s="429" t="n"/>
      <c r="AL136" s="429" t="n"/>
      <c r="AM136" s="430" t="n"/>
      <c r="AN136" s="430" t="n"/>
      <c r="AO136" s="430" t="n"/>
      <c r="AP136" s="431" t="inlineStr">
        <is>
          <t>Technique: ST-invalid-edit-CANCELLED | Bổ sung 2026-07-30 theo yêu cầu user — đóng gap enumeration khoá chỉnh sửa (trước đó chỉ có MATCHED/IN_TRANSIT/COMPLETED/EXPIRED, thiếu CANCELLED). Giả định hợp lý: tin đã huỷ không thể chỉnh sửa — cần vibe-test xác nhận vì chưa có bằng chứng UI trực tiếp.</t>
        </is>
      </c>
      <c r="AQ136" s="224" t="n"/>
    </row>
    <row r="137" s="225">
      <c r="AQ137" s="224" t="n"/>
    </row>
    <row r="138" s="225">
      <c r="AQ138" s="224" t="n"/>
    </row>
    <row r="139" s="225">
      <c r="AQ139" s="224" t="n"/>
    </row>
    <row r="140" s="225">
      <c r="AQ140" s="224" t="n"/>
    </row>
    <row r="141" s="225">
      <c r="AQ141" s="224" t="n"/>
    </row>
    <row r="142" s="225">
      <c r="AQ142" s="224" t="n"/>
    </row>
    <row r="143" s="225">
      <c r="AQ143" s="224" t="n"/>
    </row>
    <row r="144" s="225">
      <c r="AQ144" s="224" t="n"/>
    </row>
    <row r="145" s="225">
      <c r="AQ145" s="224" t="n"/>
    </row>
    <row r="146" s="225">
      <c r="AQ146" s="224" t="n"/>
    </row>
    <row r="147" s="225">
      <c r="AQ147" s="224" t="n"/>
    </row>
    <row r="148" s="225">
      <c r="AQ148" s="224" t="n"/>
    </row>
    <row r="149" s="225">
      <c r="AQ149" s="224" t="n"/>
    </row>
    <row r="150" s="225">
      <c r="AQ150" s="224" t="n"/>
    </row>
    <row r="151" s="225">
      <c r="AQ151" s="224" t="n"/>
    </row>
    <row r="152" s="225">
      <c r="AQ152" s="224" t="n"/>
    </row>
    <row r="153" s="225">
      <c r="AQ153" s="224" t="n"/>
    </row>
    <row r="154" s="225">
      <c r="AQ154" s="224" t="n"/>
    </row>
    <row r="155" s="225">
      <c r="AQ155" s="224" t="n"/>
    </row>
    <row r="156" s="225">
      <c r="AQ156" s="224" t="n"/>
    </row>
    <row r="157" s="225">
      <c r="AQ157" s="224" t="n"/>
    </row>
    <row r="158" s="225">
      <c r="AQ158" s="224" t="n"/>
    </row>
    <row r="159" s="225">
      <c r="AQ159" s="224" t="n"/>
    </row>
    <row r="160" s="225">
      <c r="AQ160" s="224" t="n"/>
    </row>
    <row r="161" s="225">
      <c r="AQ161" s="224" t="n"/>
    </row>
    <row r="162" s="225">
      <c r="AQ162" s="224" t="n"/>
    </row>
    <row r="163" s="225">
      <c r="AQ163" s="224" t="n"/>
    </row>
    <row r="164" s="225">
      <c r="AQ164" s="224" t="n"/>
    </row>
    <row r="165" s="225">
      <c r="AQ165" s="224" t="n"/>
    </row>
    <row r="166" s="225">
      <c r="AQ166" s="224" t="n"/>
    </row>
    <row r="167" s="225">
      <c r="AQ167" s="224" t="n"/>
    </row>
    <row r="168" s="225">
      <c r="AQ168" s="224" t="n"/>
    </row>
    <row r="169" s="225">
      <c r="AQ169" s="224" t="n"/>
    </row>
    <row r="170" s="225">
      <c r="AQ170" s="224" t="n"/>
    </row>
    <row r="171" s="225">
      <c r="AQ171" s="224" t="n"/>
    </row>
    <row r="172" s="225">
      <c r="AQ172" s="224" t="n"/>
    </row>
    <row r="173" s="225">
      <c r="AQ173" s="224" t="n"/>
    </row>
    <row r="174" s="225">
      <c r="AQ174" s="224" t="n"/>
    </row>
    <row r="175" s="225">
      <c r="AQ175" s="224" t="n"/>
    </row>
    <row r="176" s="225">
      <c r="AQ176" s="224" t="n"/>
    </row>
    <row r="177" s="225">
      <c r="AQ177" s="224" t="n"/>
    </row>
    <row r="178" s="225">
      <c r="AQ178" s="224" t="n"/>
    </row>
    <row r="179" s="225">
      <c r="AQ179" s="224" t="n"/>
    </row>
    <row r="180" s="225">
      <c r="AQ180" s="224" t="n"/>
    </row>
    <row r="181" s="225">
      <c r="AQ181" s="224" t="n"/>
    </row>
    <row r="182" s="225">
      <c r="AQ182" s="224" t="n"/>
    </row>
    <row r="183" s="225">
      <c r="AQ183" s="224" t="n"/>
    </row>
    <row r="184" s="225">
      <c r="AQ184" s="224" t="n"/>
    </row>
    <row r="185" s="225">
      <c r="AQ185" s="224" t="n"/>
    </row>
    <row r="186" s="225">
      <c r="AQ186" s="224" t="n"/>
    </row>
    <row r="187" s="225">
      <c r="AQ187" s="224" t="n"/>
    </row>
    <row r="188" s="225">
      <c r="AQ188" s="224" t="n"/>
    </row>
    <row r="189" s="225">
      <c r="AQ189" s="224" t="n"/>
    </row>
    <row r="190" s="225">
      <c r="AQ190" s="224" t="n"/>
    </row>
    <row r="191" s="225">
      <c r="AQ191" s="224" t="n"/>
    </row>
    <row r="192" s="225">
      <c r="AQ192" s="224" t="n"/>
    </row>
    <row r="193" s="225">
      <c r="AQ193" s="224" t="n"/>
    </row>
    <row r="194" s="225">
      <c r="AQ194" s="224" t="n"/>
    </row>
    <row r="195" s="225">
      <c r="AQ195" s="224" t="n"/>
    </row>
    <row r="196" s="225">
      <c r="AQ196" s="224" t="n"/>
    </row>
    <row r="197" s="225">
      <c r="AQ197" s="224" t="n"/>
    </row>
    <row r="198" s="225">
      <c r="AQ198" s="224" t="n"/>
    </row>
    <row r="199" s="225">
      <c r="AQ199" s="224" t="n"/>
    </row>
    <row r="200" s="225">
      <c r="AQ200" s="224" t="n"/>
    </row>
    <row r="201" s="225">
      <c r="AQ201" s="224" t="n"/>
    </row>
    <row r="202" s="225">
      <c r="AQ202" s="224" t="n"/>
    </row>
    <row r="203" s="225">
      <c r="AQ203" s="224" t="n"/>
    </row>
    <row r="204" s="225">
      <c r="AQ204" s="224" t="n"/>
    </row>
    <row r="205" s="225">
      <c r="AQ205" s="224" t="n"/>
    </row>
    <row r="206" s="225">
      <c r="AQ206" s="224" t="n"/>
    </row>
    <row r="207" s="225">
      <c r="AQ207" s="224" t="n"/>
    </row>
    <row r="208" s="225">
      <c r="AQ208" s="224" t="n"/>
    </row>
    <row r="209" s="225">
      <c r="AQ209" s="224" t="n"/>
    </row>
    <row r="210" s="225">
      <c r="AQ210" s="224" t="n"/>
    </row>
    <row r="211" s="225">
      <c r="AQ211" s="224" t="n"/>
    </row>
    <row r="212" s="225">
      <c r="AQ212" s="224" t="n"/>
    </row>
    <row r="213" s="225">
      <c r="AQ213" s="224" t="n"/>
    </row>
    <row r="214" s="225">
      <c r="AQ214" s="224" t="n"/>
    </row>
    <row r="215" s="225">
      <c r="AQ215" s="224" t="n"/>
    </row>
    <row r="216" s="225">
      <c r="AQ216" s="224" t="n"/>
    </row>
    <row r="217" s="225"/>
    <row r="218" s="225"/>
    <row r="219" s="225"/>
    <row r="220" s="225"/>
    <row r="221" s="225"/>
    <row r="222" s="225"/>
    <row r="223" s="225"/>
    <row r="224" s="225"/>
    <row r="225" s="225"/>
    <row r="226" s="225"/>
    <row r="227" s="225"/>
    <row r="228" s="225"/>
    <row r="229" s="225"/>
    <row r="230" s="225"/>
    <row r="231" s="225"/>
    <row r="232" s="225"/>
    <row r="233" s="225"/>
    <row r="234" s="225"/>
    <row r="235" s="225"/>
    <row r="236" s="225"/>
    <row r="237" s="225"/>
    <row r="238" s="225"/>
    <row r="239" s="225"/>
    <row r="240" s="225"/>
    <row r="241" s="225"/>
    <row r="242" s="225"/>
    <row r="243" s="225"/>
    <row r="244" s="225"/>
    <row r="245" s="225"/>
    <row r="246" s="225"/>
    <row r="247" s="225"/>
    <row r="248" s="225"/>
    <row r="249" s="225"/>
    <row r="250" s="225"/>
    <row r="251" s="225"/>
    <row r="252" s="225"/>
    <row r="253" s="225"/>
    <row r="254" s="225"/>
    <row r="255" s="225"/>
    <row r="256" s="225"/>
    <row r="257" s="225"/>
    <row r="258" s="225"/>
    <row r="259" s="225"/>
    <row r="260" s="225"/>
    <row r="261" s="225"/>
    <row r="262" s="225"/>
    <row r="263" s="225"/>
    <row r="264" s="225"/>
    <row r="265" s="225"/>
    <row r="266" s="225"/>
    <row r="267" s="225"/>
    <row r="268" s="225"/>
    <row r="269" s="225"/>
    <row r="270" s="225"/>
    <row r="271" s="225"/>
    <row r="272" s="225"/>
    <row r="273" s="225"/>
    <row r="274" s="225"/>
    <row r="275" s="225"/>
    <row r="276" s="225"/>
    <row r="277" s="225"/>
    <row r="278" s="225"/>
    <row r="279" s="225"/>
    <row r="280" s="225"/>
    <row r="281" s="225"/>
    <row r="282" s="225"/>
    <row r="283" s="225"/>
    <row r="284" s="225"/>
    <row r="285" s="225"/>
    <row r="286" s="225"/>
    <row r="287" s="225"/>
    <row r="288" s="225"/>
    <row r="289" s="225"/>
    <row r="290" s="225"/>
    <row r="291" s="225"/>
    <row r="292" s="225"/>
    <row r="293" s="225"/>
    <row r="294" s="225"/>
    <row r="295" s="225"/>
    <row r="296" s="225"/>
    <row r="297" s="225"/>
    <row r="298" s="225"/>
    <row r="299" s="225"/>
    <row r="300" s="225"/>
    <row r="301" s="225"/>
    <row r="302" s="225"/>
    <row r="303" s="225"/>
    <row r="304" s="225"/>
    <row r="305" s="225"/>
    <row r="306" s="225"/>
    <row r="307" s="225"/>
    <row r="308" s="225"/>
    <row r="309" s="225"/>
    <row r="310" s="225"/>
    <row r="311" s="225"/>
    <row r="312" s="225"/>
    <row r="313" s="225"/>
    <row r="314" s="225"/>
    <row r="315" s="225"/>
    <row r="316" s="225"/>
    <row r="317" s="225"/>
    <row r="318" s="225"/>
    <row r="319" s="225"/>
    <row r="320" s="225"/>
    <row r="321" s="225"/>
    <row r="322" s="225"/>
    <row r="323" s="225"/>
    <row r="324" s="225"/>
    <row r="325" s="225"/>
    <row r="326" s="225"/>
    <row r="327" s="225"/>
    <row r="328" s="225"/>
    <row r="329" s="225"/>
    <row r="330" s="225"/>
    <row r="331" s="225"/>
    <row r="332" s="225"/>
    <row r="333" s="225"/>
    <row r="334" s="225"/>
    <row r="335" s="225"/>
    <row r="336" s="225"/>
    <row r="337" s="225"/>
    <row r="338" s="225"/>
    <row r="339" s="225"/>
    <row r="340" s="225"/>
    <row r="341" s="225"/>
    <row r="342" s="225"/>
    <row r="343" s="225"/>
    <row r="344" s="225"/>
    <row r="345" s="225"/>
    <row r="346" s="225"/>
    <row r="347" s="225"/>
    <row r="348" s="225"/>
    <row r="349" s="225"/>
    <row r="350" s="225"/>
    <row r="351" s="225"/>
    <row r="352" s="225"/>
    <row r="353" s="225"/>
    <row r="354" s="225"/>
    <row r="355" s="225"/>
    <row r="356" s="225"/>
    <row r="357" s="225"/>
    <row r="358" s="225"/>
    <row r="359" s="225"/>
    <row r="360" s="225"/>
    <row r="361" s="225"/>
    <row r="362" s="225"/>
    <row r="363" s="225"/>
    <row r="364" s="225"/>
    <row r="365" s="225"/>
    <row r="366" s="225"/>
    <row r="367" s="225"/>
    <row r="368" s="225"/>
    <row r="369" s="225"/>
    <row r="370" s="225"/>
    <row r="371" s="225"/>
    <row r="372" s="225"/>
    <row r="373" s="225"/>
    <row r="374" s="225"/>
    <row r="375" s="225"/>
    <row r="376" s="225"/>
    <row r="377" s="225"/>
    <row r="378" s="225"/>
    <row r="379" s="225"/>
    <row r="380" s="225"/>
    <row r="381" s="225"/>
    <row r="382" s="225"/>
    <row r="383" s="225"/>
    <row r="384" s="225"/>
    <row r="385" s="225"/>
    <row r="386" s="225"/>
    <row r="387" s="225"/>
    <row r="388" s="225"/>
    <row r="389" s="225"/>
    <row r="390" s="225"/>
    <row r="391" s="225"/>
    <row r="392" s="225"/>
    <row r="393" s="225"/>
    <row r="394" s="225"/>
    <row r="395" s="225"/>
    <row r="396" s="225"/>
    <row r="397" s="225"/>
    <row r="398" s="225"/>
    <row r="399" s="225"/>
    <row r="400" s="225"/>
    <row r="401" s="225"/>
    <row r="402" s="225"/>
    <row r="403" s="225"/>
    <row r="404" s="225"/>
    <row r="405" s="225"/>
    <row r="406" s="225"/>
    <row r="407" s="225"/>
    <row r="408" s="225"/>
    <row r="409" s="225"/>
    <row r="410" s="225"/>
    <row r="411" s="225"/>
    <row r="412" s="225"/>
    <row r="413" s="225"/>
    <row r="414" s="225"/>
    <row r="415" s="225"/>
    <row r="416" s="225"/>
    <row r="417" s="225"/>
    <row r="418" s="225"/>
    <row r="419" s="225"/>
    <row r="420" s="225"/>
    <row r="421" s="225"/>
    <row r="422" s="225"/>
    <row r="423" s="225"/>
    <row r="424" s="225"/>
    <row r="425" s="225"/>
    <row r="426" s="225"/>
    <row r="427" s="225"/>
    <row r="428" s="225"/>
    <row r="429" s="225"/>
    <row r="430" s="225"/>
    <row r="431" s="225"/>
    <row r="432" s="225"/>
    <row r="433" s="225"/>
    <row r="434" s="225"/>
    <row r="435" s="225"/>
    <row r="436" s="225"/>
    <row r="437" s="225"/>
    <row r="438" s="225"/>
    <row r="439" s="225"/>
    <row r="440" s="225"/>
    <row r="441" s="225"/>
    <row r="442" s="225"/>
    <row r="443" s="225"/>
    <row r="444" s="225"/>
    <row r="445" s="225"/>
    <row r="446" s="225"/>
    <row r="447" s="225"/>
    <row r="448" s="225"/>
    <row r="449" s="225"/>
    <row r="450" s="225"/>
    <row r="451" s="225"/>
    <row r="452" s="225"/>
    <row r="453" s="225"/>
    <row r="454" s="225"/>
    <row r="455" s="225"/>
    <row r="456" s="225"/>
    <row r="457" s="225"/>
    <row r="458" s="225"/>
    <row r="459" s="225"/>
    <row r="460" s="225"/>
    <row r="461" s="225"/>
    <row r="462" s="225"/>
    <row r="463" s="225"/>
    <row r="464" s="225"/>
    <row r="465" s="225"/>
    <row r="466" s="225"/>
    <row r="467" s="225"/>
    <row r="468" s="225"/>
    <row r="469" s="225"/>
    <row r="470" s="225"/>
    <row r="471" s="225"/>
    <row r="472" s="225"/>
    <row r="473" s="225"/>
    <row r="474" s="225"/>
    <row r="475" s="225"/>
    <row r="476" s="225"/>
    <row r="477" s="225"/>
    <row r="478" s="225"/>
    <row r="479" s="225"/>
    <row r="480" s="225"/>
    <row r="481" s="225"/>
    <row r="482" s="225"/>
    <row r="483" s="225"/>
    <row r="484" s="225"/>
    <row r="485" s="225"/>
    <row r="486" s="225"/>
    <row r="487" s="225"/>
    <row r="488" s="225"/>
    <row r="489" s="225"/>
    <row r="490" s="225"/>
    <row r="491" s="225"/>
    <row r="492" s="225"/>
    <row r="493" s="225"/>
    <row r="494" s="225"/>
    <row r="495" s="225"/>
    <row r="496" s="225"/>
    <row r="497" s="225"/>
    <row r="498" s="225"/>
    <row r="499" s="225"/>
    <row r="500" s="225"/>
    <row r="501" s="225"/>
    <row r="502" s="225"/>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37">
    <mergeCell ref="A7:I7"/>
    <mergeCell ref="B115:I115"/>
    <mergeCell ref="B46:I46"/>
    <mergeCell ref="AH5:AL5"/>
    <mergeCell ref="A86:I86"/>
    <mergeCell ref="C2:E2"/>
    <mergeCell ref="A33:I33"/>
    <mergeCell ref="A5:C5"/>
    <mergeCell ref="A126:I126"/>
    <mergeCell ref="B14:I14"/>
    <mergeCell ref="A109:I109"/>
    <mergeCell ref="AC5:AG5"/>
    <mergeCell ref="J5:M5"/>
    <mergeCell ref="B8:I8"/>
    <mergeCell ref="G3:H3"/>
    <mergeCell ref="A3:B3"/>
    <mergeCell ref="N5:R5"/>
    <mergeCell ref="I3:J3"/>
    <mergeCell ref="A2:B2"/>
    <mergeCell ref="B78:I78"/>
    <mergeCell ref="B87:I87"/>
    <mergeCell ref="D5:I5"/>
    <mergeCell ref="A13:I13"/>
    <mergeCell ref="B34:I34"/>
    <mergeCell ref="C3:E3"/>
    <mergeCell ref="X5:AB5"/>
    <mergeCell ref="A114:I114"/>
    <mergeCell ref="B127:I127"/>
    <mergeCell ref="A4:B4"/>
    <mergeCell ref="G4:H4"/>
    <mergeCell ref="I4:J4"/>
    <mergeCell ref="AM5:AP5"/>
    <mergeCell ref="A103:I103"/>
    <mergeCell ref="S5:W5"/>
    <mergeCell ref="C4:E4"/>
    <mergeCell ref="B104:I104"/>
    <mergeCell ref="B110:I110"/>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3.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TC_05</t>
        </is>
      </c>
      <c r="D2" s="233" t="n"/>
      <c r="E2" s="231" t="n"/>
    </row>
    <row r="3" ht="15" customHeight="1" s="225">
      <c r="A3" s="414" t="inlineStr">
        <is>
          <t>Tên chức năng</t>
        </is>
      </c>
      <c r="B3" s="231" t="n"/>
      <c r="C3" s="415" t="inlineStr">
        <is>
          <t>Trang chủ</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Trang chủ</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Khung màn &amp; Header</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REQ-ORD-015</t>
        </is>
      </c>
      <c r="C9" s="426" t="inlineStr">
        <is>
          <t>DOC-v1.0-02 §2 + §3.1</t>
        </is>
      </c>
      <c r="D9" s="426" t="inlineStr">
        <is>
          <t>UI</t>
        </is>
      </c>
      <c r="E9" s="426" t="inlineStr">
        <is>
          <t>Medium</t>
        </is>
      </c>
      <c r="F9" s="427" t="inlineStr">
        <is>
          <t>Check đầy đủ 5 khối hiển thị tại màn Trang chủ</t>
        </is>
      </c>
      <c r="G9" s="427" t="inlineStr">
        <is>
          <t>Đã đăng nhập app FoxPro (FoxEco SDK), tài khoản có ít nhất 1 đơn đang hoạt động</t>
        </is>
      </c>
      <c r="H9" s="427" t="inlineStr">
        <is>
          <t>1. Mở app FoxEco
2. Bấm tab "Trang chủ" tại bottom nav
3. Quan sát toàn bộ màn Trang chủ theo thứ tự từ trên xuống dưới</t>
        </is>
      </c>
      <c r="I9" s="427" t="inlineStr">
        <is>
          <t>3. Màn Trang chủ hiển thị đủ 5 khối theo đúng thứ tự từ trên xuống: (1) Header (icon vai trò + "Xin chào, [Tên]" + icon chuông thông báo), (2) Banner quảng bá "Tiện đường — Giúp đồng nghiệp" + logo "FOX ECO", (3) Card "Đóng góp của bạn", (4) nút "Xem bảng tin gửi hàng", (5) bottom nav 5 tab — không thiếu khối nào, không khối nào rỗng bất thường</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 | ⚠ Chưa cross-check ảnh Figma (DOC-v1.0-04)/app STG cho khối Header/Banner/Card — cần vibe-test xác nhận trước khi coi Expected là final (Project_rule.md §10.1)</t>
        </is>
      </c>
    </row>
    <row r="10" ht="60" customHeight="1" s="225">
      <c r="A10" s="426">
        <f>IF(C10="","",$C$2&amp;"."&amp;COUNTA($C$8:C10)&amp;"")</f>
        <v/>
      </c>
      <c r="B10" s="426" t="inlineStr">
        <is>
          <t>REQ-ORD-015</t>
        </is>
      </c>
      <c r="C10" s="426" t="inlineStr">
        <is>
          <t>DOC-v1.0-02 §2 + §3.1</t>
        </is>
      </c>
      <c r="D10" s="426" t="inlineStr">
        <is>
          <t>UI</t>
        </is>
      </c>
      <c r="E10" s="426" t="inlineStr">
        <is>
          <t>Medium</t>
        </is>
      </c>
      <c r="F10" s="427" t="inlineStr">
        <is>
          <t>Check đầy đủ 3 thành phần hiển thị tại Header màn Trang chủ</t>
        </is>
      </c>
      <c r="G10" s="427" t="inlineStr">
        <is>
          <t>Đã đăng nhập app FoxPro (FoxEco SDK) bằng tài khoản có tên hiển thị "Đồng Công Chí Linh"</t>
        </is>
      </c>
      <c r="H10" s="427" t="inlineStr">
        <is>
          <t>1. Mở app FoxEco
2. Bấm tab "Trang chủ" tại bottom nav
3. Quan sát vùng Header trên cùng của màn Trang chủ</t>
        </is>
      </c>
      <c r="I10" s="427" t="inlineStr">
        <is>
          <t>3. Header hiển thị đủ 3 thành phần: (1) icon vai trò, (2) dòng chào "Xin chào, Đồng Công Chí Linh" đúng tên tài khoản đang đăng nhập, (3) icon chuông thông báo ở góc phải</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Field/column completeness check — auto-derived (xem generate.md Step 3b) | ⚠ Chưa có bằng chứng UI mapping icon ↔ từng vai trò (Sender/Carrier/Receiver) → KHÔNG viết EP theo vai trò cho icon này (Project_rule.md §10.1)</t>
        </is>
      </c>
    </row>
    <row r="11" ht="60" customHeight="1" s="225">
      <c r="A11" s="426">
        <f>IF(C11="","",$C$2&amp;"."&amp;COUNTA($C$8:C11)&amp;"")</f>
        <v/>
      </c>
      <c r="B11" s="426" t="inlineStr">
        <is>
          <t>REQ-ORD-015</t>
        </is>
      </c>
      <c r="C11" s="426" t="inlineStr">
        <is>
          <t>DOC-v1.0-02 §2 + §3.1</t>
        </is>
      </c>
      <c r="D11" s="426" t="inlineStr">
        <is>
          <t>UI</t>
        </is>
      </c>
      <c r="E11" s="426" t="inlineStr">
        <is>
          <t>Low</t>
        </is>
      </c>
      <c r="F11" s="427" t="inlineStr">
        <is>
          <t>Check icon chuông tại Header hiện chấm đỏ khi có thông báo chưa đọc</t>
        </is>
      </c>
      <c r="G11" s="427" t="inlineStr">
        <is>
          <t>Tài khoản đang có ít nhất 1 thông báo chưa đọc tại màn Thông báo</t>
        </is>
      </c>
      <c r="H11" s="427" t="inlineStr">
        <is>
          <t>1. Mở app FoxEco
2. Bấm tab "Trang chủ" tại bottom nav
3. Quan sát icon chuông tại Header</t>
        </is>
      </c>
      <c r="I11" s="427" t="inlineStr">
        <is>
          <t>3. Icon chuông hiển thị chấm đỏ (red-dot) ở góc icon</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inlineStr">
        <is>
          <t>Technique: EP-unread-exists</t>
        </is>
      </c>
    </row>
    <row r="12" ht="60" customHeight="1" s="225">
      <c r="A12" s="426">
        <f>IF(C12="","",$C$2&amp;"."&amp;COUNTA($C$8:C12)&amp;"")</f>
        <v/>
      </c>
      <c r="B12" s="426" t="inlineStr">
        <is>
          <t>REQ-ORD-015</t>
        </is>
      </c>
      <c r="C12" s="426" t="inlineStr">
        <is>
          <t>DOC-v1.0-02 §2 + §3.1</t>
        </is>
      </c>
      <c r="D12" s="426" t="inlineStr">
        <is>
          <t>UI</t>
        </is>
      </c>
      <c r="E12" s="426" t="inlineStr">
        <is>
          <t>Low</t>
        </is>
      </c>
      <c r="F12" s="427" t="inlineStr">
        <is>
          <t>Check icon chuông tại Header KHÔNG hiện chấm đỏ khi không còn thông báo chưa đọc</t>
        </is>
      </c>
      <c r="G12" s="427" t="inlineStr">
        <is>
          <t>Tài khoản đã đọc hết toàn bộ thông báo (không còn thông báo chưa đọc)</t>
        </is>
      </c>
      <c r="H12" s="427" t="inlineStr">
        <is>
          <t>1. Mở app FoxEco
2. Vào màn Thông báo, đánh dấu đã đọc toàn bộ thông báo
3. Quay lại tab "Trang chủ", quan sát icon chuông tại Header</t>
        </is>
      </c>
      <c r="I12" s="427" t="inlineStr">
        <is>
          <t>3. Icon chuông KHÔNG hiển thị chấm đỏ (red-dot)</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Technique: EP-unread-none</t>
        </is>
      </c>
    </row>
    <row r="13" ht="60" customHeight="1" s="225">
      <c r="A13" s="426">
        <f>IF(C13="","",$C$2&amp;"."&amp;COUNTA($C$8:C13)&amp;"")</f>
        <v/>
      </c>
      <c r="B13" s="426" t="inlineStr">
        <is>
          <t>REQ-ORD-015</t>
        </is>
      </c>
      <c r="C13" s="426" t="inlineStr">
        <is>
          <t>DOC-v1.0-02 §2 + §3.1</t>
        </is>
      </c>
      <c r="D13" s="426" t="inlineStr">
        <is>
          <t>Functional</t>
        </is>
      </c>
      <c r="E13" s="426" t="inlineStr">
        <is>
          <t>Low</t>
        </is>
      </c>
      <c r="F13" s="427" t="inlineStr">
        <is>
          <t>Check bấm icon chuông tại Header điều hướng sang màn Thông báo</t>
        </is>
      </c>
      <c r="G13" s="427" t="inlineStr">
        <is>
          <t>Đang ở màn Trang chủ</t>
        </is>
      </c>
      <c r="H13" s="427" t="inlineStr">
        <is>
          <t>1. Mở app FoxEco
2. Bấm tab "Trang chủ" tại bottom nav
3. Bấm icon chuông tại Header</t>
        </is>
      </c>
      <c r="I13" s="427" t="inlineStr">
        <is>
          <t>3. Điều hướng sang đúng màn "Thông báo"</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n"/>
    </row>
    <row r="14" ht="20" customHeight="1" s="225">
      <c r="A14" s="426" t="n"/>
      <c r="B14" s="432" t="inlineStr">
        <is>
          <t>Block Banner quảng bá &amp; Card "Đóng góp của bạn"</t>
        </is>
      </c>
      <c r="C14" s="233" t="n"/>
      <c r="D14" s="233" t="n"/>
      <c r="E14" s="233" t="n"/>
      <c r="F14" s="233" t="n"/>
      <c r="G14" s="233" t="n"/>
      <c r="H14" s="233" t="n"/>
      <c r="I14" s="231" t="n"/>
      <c r="J14" s="426" t="n"/>
      <c r="K14" s="426" t="n"/>
      <c r="L14" s="426" t="n"/>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t="n"/>
      <c r="AN14" s="430" t="n"/>
      <c r="AO14" s="430" t="n"/>
      <c r="AP14" s="431" t="n"/>
    </row>
    <row r="15" ht="60" customHeight="1" s="225">
      <c r="A15" s="426">
        <f>IF(C15="","",$C$2&amp;"."&amp;COUNTA($C$8:C15)&amp;"")</f>
        <v/>
      </c>
      <c r="B15" s="426" t="inlineStr">
        <is>
          <t>REQ-ORD-015</t>
        </is>
      </c>
      <c r="C15" s="426" t="inlineStr">
        <is>
          <t>DOC-v1.0-02 §2 + §3.1</t>
        </is>
      </c>
      <c r="D15" s="426" t="inlineStr">
        <is>
          <t>UI</t>
        </is>
      </c>
      <c r="E15" s="426" t="inlineStr">
        <is>
          <t>Low</t>
        </is>
      </c>
      <c r="F15" s="427" t="inlineStr">
        <is>
          <t>Check Banner quảng bá hiển thị đúng nội dung và logo</t>
        </is>
      </c>
      <c r="G15" s="427" t="inlineStr">
        <is>
          <t>Đã đăng nhập app FoxPro (FoxEco SDK)</t>
        </is>
      </c>
      <c r="H15" s="427" t="inlineStr">
        <is>
          <t>1. Mở app FoxEco
2. Bấm tab "Trang chủ" tại bottom nav
3. Quan sát banner quảng bá ngay bên dưới Header</t>
        </is>
      </c>
      <c r="I15" s="427" t="inlineStr">
        <is>
          <t>3. Banner hiển thị đúng nguyên văn "Tiện đường — Giúp đồng nghiệp" kèm logo "FOX ECO"</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n"/>
    </row>
    <row r="16" ht="60" customHeight="1" s="225">
      <c r="A16" s="426">
        <f>IF(C16="","",$C$2&amp;"."&amp;COUNTA($C$8:C16)&amp;"")</f>
        <v/>
      </c>
      <c r="B16" s="426" t="inlineStr">
        <is>
          <t>REQ-ORD-015</t>
        </is>
      </c>
      <c r="C16" s="426" t="inlineStr">
        <is>
          <t>DOC-v1.0-02 §2 + §3.1</t>
        </is>
      </c>
      <c r="D16" s="426" t="inlineStr">
        <is>
          <t>Functional</t>
        </is>
      </c>
      <c r="E16" s="426" t="inlineStr">
        <is>
          <t>Low</t>
        </is>
      </c>
      <c r="F16" s="427" t="inlineStr">
        <is>
          <t>Check Banner quảng bá là thành phần tĩnh, bấm vào không phát sinh điều hướng</t>
        </is>
      </c>
      <c r="G16" s="427" t="inlineStr">
        <is>
          <t>Đang ở màn Trang chủ</t>
        </is>
      </c>
      <c r="H16" s="427" t="inlineStr">
        <is>
          <t>1. Mở app FoxEco
2. Bấm tab "Trang chủ" tại bottom nav
3. Bấm vào vùng banner "Tiện đường — Giúp đồng nghiệp"</t>
        </is>
      </c>
      <c r="I16" s="427" t="inlineStr">
        <is>
          <t>3. Không phát sinh điều hướng/popup nào, màn hình vẫn ở Trang chủ</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n"/>
    </row>
    <row r="17" ht="60" customHeight="1" s="225">
      <c r="A17" s="426">
        <f>IF(C17="","",$C$2&amp;"."&amp;COUNTA($C$8:C17)&amp;"")</f>
        <v/>
      </c>
      <c r="B17" s="426" t="inlineStr">
        <is>
          <t>REQ-ORD-015</t>
        </is>
      </c>
      <c r="C17" s="426" t="inlineStr">
        <is>
          <t>DOC-v1.0-02 §2 + §3.1</t>
        </is>
      </c>
      <c r="D17" s="426" t="inlineStr">
        <is>
          <t>UI</t>
        </is>
      </c>
      <c r="E17" s="426" t="inlineStr">
        <is>
          <t>Medium</t>
        </is>
      </c>
      <c r="F17" s="427" t="inlineStr">
        <is>
          <t>Check đầy đủ 2 thành phần số liệu tại Card "Đóng góp của bạn"</t>
        </is>
      </c>
      <c r="G17" s="427" t="inlineStr">
        <is>
          <t>Tài khoản đã hoàn thành ít nhất 1 đơn với vai trò Carrier</t>
        </is>
      </c>
      <c r="H17" s="427" t="inlineStr">
        <is>
          <t>1. Mở app FoxEco
2. Bấm tab "Trang chủ" tại bottom nav
3. Quan sát Card "Đóng góp của bạn"</t>
        </is>
      </c>
      <c r="I17" s="427" t="inlineStr">
        <is>
          <t>3. Card hiển thị đủ 2 thành phần: (1) số đơn đã giúp (cỡ chữ lớn), (2) dòng thống kê cộng đồng "Cộng đồng FoxEco: [x] đơn · [y] người" — cả 2 đều có giá trị, không rỗng</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Field/column completeness check — auto-derived (xem generate.md Step 3b)</t>
        </is>
      </c>
    </row>
    <row r="18" ht="60" customHeight="1" s="225">
      <c r="A18" s="426">
        <f>IF(C18="","",$C$2&amp;"."&amp;COUNTA($C$8:C18)&amp;"")</f>
        <v/>
      </c>
      <c r="B18" s="426" t="inlineStr">
        <is>
          <t>REQ-ORD-015</t>
        </is>
      </c>
      <c r="C18" s="426" t="inlineStr">
        <is>
          <t>DOC-v1.0-02 §2 + §3.1</t>
        </is>
      </c>
      <c r="D18" s="426" t="inlineStr">
        <is>
          <t>UI</t>
        </is>
      </c>
      <c r="E18" s="426" t="inlineStr">
        <is>
          <t>Low</t>
        </is>
      </c>
      <c r="F18" s="427" t="inlineStr">
        <is>
          <t>Check Card "Đóng góp của bạn" hiển thị số đơn đã giúp = 0 khi user chưa giúp đơn nào</t>
        </is>
      </c>
      <c r="G18" s="427" t="inlineStr">
        <is>
          <t>Tài khoản mới, chưa hoàn thành đơn nào với vai trò Carrier</t>
        </is>
      </c>
      <c r="H18" s="427" t="inlineStr">
        <is>
          <t>1. Mở app FoxEco
2. Bấm tab "Trang chủ" tại bottom nav
3. Quan sát số đơn đã giúp tại Card "Đóng góp của bạn"</t>
        </is>
      </c>
      <c r="I18" s="427" t="inlineStr">
        <is>
          <t>3. Số đơn đã giúp hiển thị "0"; Card vẫn hiển thị (không bị ẩn) và dòng thống kê cộng đồng vẫn có số liệu</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BVA-min (0 đơn) | Cần bổ sung test data trong catalog (chưa có tài khoản mẫu 0 đơn đã giúp)</t>
        </is>
      </c>
    </row>
    <row r="19" ht="60" customHeight="1" s="225">
      <c r="A19" s="426">
        <f>IF(C19="","",$C$2&amp;"."&amp;COUNTA($C$8:C19)&amp;"")</f>
        <v/>
      </c>
      <c r="B19" s="426" t="inlineStr">
        <is>
          <t>REQ-ORD-015</t>
        </is>
      </c>
      <c r="C19" s="426" t="inlineStr">
        <is>
          <t>DOC-v1.0-02 §2 + §3.1</t>
        </is>
      </c>
      <c r="D19" s="426" t="inlineStr">
        <is>
          <t>UI</t>
        </is>
      </c>
      <c r="E19" s="426" t="inlineStr">
        <is>
          <t>Low</t>
        </is>
      </c>
      <c r="F19" s="427" t="inlineStr">
        <is>
          <t>Check Card "Đóng góp của bạn" hiển thị số đơn đã giúp = 1 sau khi hoàn thành đúng 1 đơn</t>
        </is>
      </c>
      <c r="G19" s="427" t="inlineStr">
        <is>
          <t>Tài khoản vừa hoàn thành đúng 1 đơn với vai trò Carrier (trước đó là 0 đơn)</t>
        </is>
      </c>
      <c r="H19" s="427" t="inlineStr">
        <is>
          <t>1. Mở app FoxEco
2. Bấm tab "Trang chủ" tại bottom nav
3. Quan sát số đơn đã giúp tại Card "Đóng góp của bạn"</t>
        </is>
      </c>
      <c r="I19" s="427" t="inlineStr">
        <is>
          <t>3. Số đơn đã giúp hiển thị "1", tăng đúng 1 so với trước khi hoàn thành đơn</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IF($A19="","",IF(OR($N19="Yes",$S19="Yes",$X19="Yes",$AC19="Yes",$AH19="Yes"),"Yes","No"))</f>
        <v/>
      </c>
      <c r="AN19" s="430">
        <f>IF($A19="","",IFERROR(IF($AI19&lt;&gt;"",$AI19,IF($AD19&lt;&gt;"",$AD19,IF($Y19&lt;&gt;"",$Y19,IF($T19&lt;&gt;"",$T19,IF($O19&lt;&gt;"",$O19,""))))),""))</f>
        <v/>
      </c>
      <c r="AO19" s="430">
        <f>IFERROR(IF($AJ19&lt;&gt;"",$AJ19,IF($AE19&lt;&gt;"",$AE19,IF($Z19&lt;&gt;"",$Z19,IF($U19&lt;&gt;"",$U19,IF($P19&lt;&gt;"",$P19,""))))),"")</f>
        <v/>
      </c>
      <c r="AP19" s="431" t="inlineStr">
        <is>
          <t>Technique: BVA-min+1 (1 đơn) | Cần bổ sung test data trong catalog</t>
        </is>
      </c>
    </row>
    <row r="20" ht="60" customHeight="1" s="225">
      <c r="A20" s="426">
        <f>IF(C20="","",$C$2&amp;"."&amp;COUNTA($C$8:C20)&amp;"")</f>
        <v/>
      </c>
      <c r="B20" s="426" t="inlineStr">
        <is>
          <t>REQ-ORD-015</t>
        </is>
      </c>
      <c r="C20" s="426" t="inlineStr">
        <is>
          <t>DOC-v1.0-02 §2 + §3.1</t>
        </is>
      </c>
      <c r="D20" s="426" t="inlineStr">
        <is>
          <t>UI</t>
        </is>
      </c>
      <c r="E20" s="426" t="inlineStr">
        <is>
          <t>Low</t>
        </is>
      </c>
      <c r="F20" s="427" t="inlineStr">
        <is>
          <t>Check Card "Đóng góp của bạn" hiển thị đúng khi số đơn đã giúp lớn (≥100 đơn)</t>
        </is>
      </c>
      <c r="G20" s="427" t="inlineStr">
        <is>
          <t>Tài khoản có ≥100 đơn đã giúp (vd 128 đơn)</t>
        </is>
      </c>
      <c r="H20" s="427" t="inlineStr">
        <is>
          <t>1. Mở app FoxEco
2. Bấm tab "Trang chủ" tại bottom nav
3. Quan sát số đơn đã giúp tại Card "Đóng góp của bạn"</t>
        </is>
      </c>
      <c r="I20" s="427" t="inlineStr">
        <is>
          <t>3. Số đơn đã giúp hiển thị đúng giá trị thật (vd "128"), không bị cắt chữ hay tràn khỏi khung Card</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IF($A20="","",IF(OR($N20="Yes",$S20="Yes",$X20="Yes",$AC20="Yes",$AH20="Yes"),"Yes","No"))</f>
        <v/>
      </c>
      <c r="AN20" s="430">
        <f>IF($A20="","",IFERROR(IF($AI20&lt;&gt;"",$AI20,IF($AD20&lt;&gt;"",$AD20,IF($Y20&lt;&gt;"",$Y20,IF($T20&lt;&gt;"",$T20,IF($O20&lt;&gt;"",$O20,""))))),""))</f>
        <v/>
      </c>
      <c r="AO20" s="430">
        <f>IFERROR(IF($AJ20&lt;&gt;"",$AJ20,IF($AE20&lt;&gt;"",$AE20,IF($Z20&lt;&gt;"",$Z20,IF($U20&lt;&gt;"",$U20,IF($P20&lt;&gt;"",$P20,""))))),"")</f>
        <v/>
      </c>
      <c r="AP20" s="431" t="inlineStr">
        <is>
          <t>Technique: BVA-large | Cần bổ sung test data trong catalog</t>
        </is>
      </c>
    </row>
    <row r="21" ht="60" customHeight="1" s="225">
      <c r="A21" s="426">
        <f>IF(C21="","",$C$2&amp;"."&amp;COUNTA($C$8:C21)&amp;"")</f>
        <v/>
      </c>
      <c r="B21" s="426" t="inlineStr">
        <is>
          <t>REQ-ORD-015</t>
        </is>
      </c>
      <c r="C21" s="426" t="inlineStr">
        <is>
          <t>DOC-v1.0-02 §2 + §3.1</t>
        </is>
      </c>
      <c r="D21" s="426" t="inlineStr">
        <is>
          <t>Functional</t>
        </is>
      </c>
      <c r="E21" s="426" t="inlineStr">
        <is>
          <t>Medium</t>
        </is>
      </c>
      <c r="F21" s="427" t="inlineStr">
        <is>
          <t>Check bấm nút "Xem bảng tin gửi hàng" điều hướng sang tab Bảng tin</t>
        </is>
      </c>
      <c r="G21" s="427" t="inlineStr">
        <is>
          <t>Đang ở màn Trang chủ</t>
        </is>
      </c>
      <c r="H21" s="427" t="inlineStr">
        <is>
          <t>1. Mở app FoxEco
2. Bấm tab "Trang chủ" tại bottom nav
3. Bấm nút "Xem bảng tin gửi hàng"</t>
        </is>
      </c>
      <c r="I21" s="427" t="inlineStr">
        <is>
          <t>3. Điều hướng sang đúng tab "Bảng tin"; tab "Bảng tin" tại bottom nav được highlight</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n"/>
    </row>
    <row r="22" ht="20" customHeight="1" s="225">
      <c r="A22" s="426" t="n"/>
      <c r="B22" s="432" t="inlineStr">
        <is>
          <t>Block Bottom nav</t>
        </is>
      </c>
      <c r="C22" s="233" t="n"/>
      <c r="D22" s="233" t="n"/>
      <c r="E22" s="233" t="n"/>
      <c r="F22" s="233" t="n"/>
      <c r="G22" s="233" t="n"/>
      <c r="H22" s="233" t="n"/>
      <c r="I22" s="231" t="n"/>
      <c r="J22" s="426" t="n"/>
      <c r="K22" s="426" t="n"/>
      <c r="L22" s="426" t="n"/>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t="n"/>
      <c r="AN22" s="430" t="n"/>
      <c r="AO22" s="430" t="n"/>
      <c r="AP22" s="431" t="n"/>
    </row>
    <row r="23" ht="60" customHeight="1" s="225">
      <c r="A23" s="426">
        <f>IF(C23="","",$C$2&amp;"."&amp;COUNTA($C$8:C23)&amp;"")</f>
        <v/>
      </c>
      <c r="B23" s="426" t="inlineStr">
        <is>
          <t>REQ-ORD-015</t>
        </is>
      </c>
      <c r="C23" s="426" t="inlineStr">
        <is>
          <t>DOC-v1.0-02 §2 + §3.1</t>
        </is>
      </c>
      <c r="D23" s="426" t="inlineStr">
        <is>
          <t>UI</t>
        </is>
      </c>
      <c r="E23" s="426" t="inlineStr">
        <is>
          <t>Low</t>
        </is>
      </c>
      <c r="F23" s="427" t="inlineStr">
        <is>
          <t>Check bottom nav đủ 5 tab và tab "Trang chủ" highlight đúng khi đang ở màn này</t>
        </is>
      </c>
      <c r="G23" s="427" t="inlineStr">
        <is>
          <t>Đã đăng nhập app FoxPro (FoxEco SDK)</t>
        </is>
      </c>
      <c r="H23" s="427" t="inlineStr">
        <is>
          <t>1. Mở app FoxEco
2. Từ bất kỳ tab nào, bấm "Trang chủ" tại bottom nav
3. Quan sát bottom nav</t>
        </is>
      </c>
      <c r="I23" s="427" t="inlineStr">
        <is>
          <t>3. Bottom nav hiển thị đủ 5 tab theo đúng thứ tự: "Trang chủ", "Bảng tin", nút [+] (Đăng tin) nổi bật ở giữa, "Hoạt động", "Cá nhân"; tab "Trang chủ" đang được highlight</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Field/column completeness check — auto-derived (xem generate.md Step 3b) | Chỉ verify bề mặt màn Trang chủ — nav của các màn khác đã có TC riêng theo từng màn (vd SC-ORD-025 tại TC-HOATDONG)</t>
        </is>
      </c>
    </row>
    <row r="24" ht="20" customHeight="1" s="225">
      <c r="A24" s="426" t="n"/>
      <c r="B24" s="432" t="inlineStr">
        <is>
          <t>Block "Đơn của tôi"</t>
        </is>
      </c>
      <c r="C24" s="233" t="n"/>
      <c r="D24" s="233" t="n"/>
      <c r="E24" s="233" t="n"/>
      <c r="F24" s="233" t="n"/>
      <c r="G24" s="233" t="n"/>
      <c r="H24" s="233" t="n"/>
      <c r="I24" s="231" t="n"/>
      <c r="J24" s="426" t="n"/>
      <c r="K24" s="426" t="n"/>
      <c r="L24" s="426" t="n"/>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t="n"/>
      <c r="AN24" s="430" t="n"/>
      <c r="AO24" s="430" t="n"/>
      <c r="AP24" s="431" t="n"/>
    </row>
    <row r="25" ht="60" customHeight="1" s="225">
      <c r="A25" s="426">
        <f>IF(C25="","",$C$2&amp;"."&amp;COUNTA($C$8:C25)&amp;"")</f>
        <v/>
      </c>
      <c r="B25" s="426" t="inlineStr">
        <is>
          <t>REQ-ORD-001</t>
        </is>
      </c>
      <c r="C25" s="426" t="inlineStr">
        <is>
          <t>DOC-v1.0-02 §3.1 Table 3</t>
        </is>
      </c>
      <c r="D25" s="426" t="inlineStr">
        <is>
          <t>UI</t>
        </is>
      </c>
      <c r="E25" s="426" t="inlineStr">
        <is>
          <t>Medium</t>
        </is>
      </c>
      <c r="F25" s="427" t="inlineStr">
        <is>
          <t>Check đầy đủ + đúng 6 trường hiển thị trên card "Đơn của tôi" tại Trang chủ</t>
        </is>
      </c>
      <c r="G25" s="427" t="inlineStr">
        <is>
          <t>Tài khoản có ít nhất 1 đơn đang hoạt động với vai trò Sender</t>
        </is>
      </c>
      <c r="H25" s="427" t="inlineStr">
        <is>
          <t>1. Mở app FoxEco
2. Bấm tab "Trang chủ" tại bottom nav
3. Quan sát card trong section "Đơn của tôi"</t>
        </is>
      </c>
      <c r="I25" s="427" t="inlineStr">
        <is>
          <t>3. Card hiển thị đủ 6 trường: (1) nhãn hướng "Gửi:", (2) loại hàng | giá trị hàng, (3) badge trạng thái, (4) "Từ:" / "Đến:" (điểm lấy → điểm giao rút gọn), (5) thanh progress 5 bước, (6) dòng "Chạm để theo dõi đơn của bạn" — không thiếu trường nào, không trường nào rỗng bất thường</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Field/column completeness check — auto-derived (xem generate.md Step 3b)</t>
        </is>
      </c>
    </row>
    <row r="26" ht="60" customHeight="1" s="225">
      <c r="A26" s="426">
        <f>IF(C26="","",$C$2&amp;"."&amp;COUNTA($C$8:C26)&amp;"")</f>
        <v/>
      </c>
      <c r="B26" s="426" t="inlineStr">
        <is>
          <t>REQ-ORD-001</t>
        </is>
      </c>
      <c r="C26" s="426" t="inlineStr">
        <is>
          <t>DOC-v1.0-02 §3.1 Table 3</t>
        </is>
      </c>
      <c r="D26" s="426" t="inlineStr">
        <is>
          <t>UI</t>
        </is>
      </c>
      <c r="E26" s="426" t="inlineStr">
        <is>
          <t>Medium</t>
        </is>
      </c>
      <c r="F26" s="427" t="inlineStr">
        <is>
          <t>Check section "Đơn của tôi" KHÔNG hiển thị khi user không có đơn nào đang hoạt động</t>
        </is>
      </c>
      <c r="G26" s="427" t="inlineStr">
        <is>
          <t>Tài khoản không có đơn nào ở trạng thái đang hoạt động (Chờ ghép/Đã ghép/Đang giao/Đã giao/Đã huỷ)</t>
        </is>
      </c>
      <c r="H26" s="427" t="inlineStr">
        <is>
          <t>1. Mở app FoxEco
2. Bấm tab "Trang chủ" tại bottom nav
3. Quan sát vị trí section "Đơn của tôi"</t>
        </is>
      </c>
      <c r="I26" s="427" t="inlineStr">
        <is>
          <t>3. Section "Đơn của tôi" không xuất hiện trên màn Trang chủ; các khối còn lại (Header, Banner, Card "Đóng góp của bạn", nút "Xem bảng tin gửi hàng", bottom nav) vẫn hiển thị bình thường</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EP-invalid-no-active-order | Nguồn rule "Chỉ hiện khi có đơn đang hoạt động" (DOC-v1.0-02 §3.1 Table 3). ⚠ KHÔNG assert nội dung empty-state cụ thể — C-ORD-06 hiện Open</t>
        </is>
      </c>
    </row>
    <row r="27" ht="60" customHeight="1" s="225">
      <c r="A27" s="426">
        <f>IF(C27="","",$C$2&amp;"."&amp;COUNTA($C$8:C27)&amp;"")</f>
        <v/>
      </c>
      <c r="B27" s="426" t="inlineStr">
        <is>
          <t>REQ-ORD-001</t>
        </is>
      </c>
      <c r="C27" s="426" t="inlineStr">
        <is>
          <t>DOC-v1.0-02 §3.1 Table 3</t>
        </is>
      </c>
      <c r="D27" s="426" t="inlineStr">
        <is>
          <t>UI</t>
        </is>
      </c>
      <c r="E27" s="426" t="inlineStr">
        <is>
          <t>Medium</t>
        </is>
      </c>
      <c r="F27" s="427" t="inlineStr">
        <is>
          <t>Check card "Đơn của tôi" hiển thị badge "Chờ ghép" khi đơn đang ở trạng thái Chờ ghép</t>
        </is>
      </c>
      <c r="G27" s="427" t="inlineStr">
        <is>
          <t>Tài khoản có 1 đơn vai trò Sender ở trạng thái "Chờ ghép"</t>
        </is>
      </c>
      <c r="H27" s="427" t="inlineStr">
        <is>
          <t>1. Mở app FoxEco
2. Bấm tab "Trang chủ" tại bottom nav
3. Quan sát badge trạng thái trên card trong section "Đơn của tôi"</t>
        </is>
      </c>
      <c r="I27" s="427" t="inlineStr">
        <is>
          <t>3. Badge trạng thái trên card hiển thị đúng nhãn "Chờ ghép"</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IF($A27="","",IF(OR($N27="Yes",$S27="Yes",$X27="Yes",$AC27="Yes",$AH27="Yes"),"Yes","No"))</f>
        <v/>
      </c>
      <c r="AN27" s="430">
        <f>IF($A27="","",IFERROR(IF($AI27&lt;&gt;"",$AI27,IF($AD27&lt;&gt;"",$AD27,IF($Y27&lt;&gt;"",$Y27,IF($T27&lt;&gt;"",$T27,IF($O27&lt;&gt;"",$O27,""))))),""))</f>
        <v/>
      </c>
      <c r="AO27" s="430">
        <f>IFERROR(IF($AJ27&lt;&gt;"",$AJ27,IF($AE27&lt;&gt;"",$AE27,IF($Z27&lt;&gt;"",$Z27,IF($U27&lt;&gt;"",$U27,IF($P27&lt;&gt;"",$P27,""))))),"")</f>
        <v/>
      </c>
      <c r="AP27" s="431" t="inlineStr">
        <is>
          <t>Technique: EP-posted</t>
        </is>
      </c>
    </row>
    <row r="28" ht="60" customHeight="1" s="225">
      <c r="A28" s="426">
        <f>IF(C28="","",$C$2&amp;"."&amp;COUNTA($C$8:C28)&amp;"")</f>
        <v/>
      </c>
      <c r="B28" s="426" t="inlineStr">
        <is>
          <t>REQ-ORD-001</t>
        </is>
      </c>
      <c r="C28" s="426" t="inlineStr">
        <is>
          <t>DOC-v1.0-02 §3.1 Table 3</t>
        </is>
      </c>
      <c r="D28" s="426" t="inlineStr">
        <is>
          <t>UI</t>
        </is>
      </c>
      <c r="E28" s="426" t="inlineStr">
        <is>
          <t>Medium</t>
        </is>
      </c>
      <c r="F28" s="427" t="inlineStr">
        <is>
          <t>Check card "Đơn của tôi" hiển thị badge "Đã ghép" khi đơn đang ở trạng thái Đã ghép</t>
        </is>
      </c>
      <c r="G28" s="427" t="inlineStr">
        <is>
          <t>Tài khoản có 1 đơn vai trò Sender ở trạng thái "Đã ghép"</t>
        </is>
      </c>
      <c r="H28" s="427" t="inlineStr">
        <is>
          <t>1. Mở app FoxEco
2. Bấm tab "Trang chủ" tại bottom nav
3. Quan sát badge trạng thái trên card trong section "Đơn của tôi"</t>
        </is>
      </c>
      <c r="I28" s="427" t="inlineStr">
        <is>
          <t>3. Badge trạng thái trên card hiển thị đúng nhãn "Đã ghép"</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inlineStr">
        <is>
          <t>Technique: EP-matched</t>
        </is>
      </c>
    </row>
    <row r="29" ht="60" customHeight="1" s="225">
      <c r="A29" s="426">
        <f>IF(C29="","",$C$2&amp;"."&amp;COUNTA($C$8:C29)&amp;"")</f>
        <v/>
      </c>
      <c r="B29" s="426" t="inlineStr">
        <is>
          <t>REQ-ORD-001</t>
        </is>
      </c>
      <c r="C29" s="426" t="inlineStr">
        <is>
          <t>DOC-v1.0-02 §3.1 Table 3</t>
        </is>
      </c>
      <c r="D29" s="426" t="inlineStr">
        <is>
          <t>UI</t>
        </is>
      </c>
      <c r="E29" s="426" t="inlineStr">
        <is>
          <t>Medium</t>
        </is>
      </c>
      <c r="F29" s="427" t="inlineStr">
        <is>
          <t>Check card "Đơn của tôi" hiển thị badge "Đang giao" khi đơn đang ở trạng thái Đang giao</t>
        </is>
      </c>
      <c r="G29" s="427" t="inlineStr">
        <is>
          <t>Tài khoản có 1 đơn vai trò Sender ở trạng thái "Đang giao"</t>
        </is>
      </c>
      <c r="H29" s="427" t="inlineStr">
        <is>
          <t>1. Mở app FoxEco
2. Bấm tab "Trang chủ" tại bottom nav
3. Quan sát badge trạng thái trên card trong section "Đơn của tôi"</t>
        </is>
      </c>
      <c r="I29" s="427" t="inlineStr">
        <is>
          <t>3. Badge trạng thái trên card hiển thị đúng nhãn "Đang giao"</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inlineStr">
        <is>
          <t>Technique: EP-in-transit</t>
        </is>
      </c>
    </row>
    <row r="30" ht="60" customHeight="1" s="225">
      <c r="A30" s="426">
        <f>IF(C30="","",$C$2&amp;"."&amp;COUNTA($C$8:C30)&amp;"")</f>
        <v/>
      </c>
      <c r="B30" s="426" t="inlineStr">
        <is>
          <t>REQ-ORD-001</t>
        </is>
      </c>
      <c r="C30" s="426" t="inlineStr">
        <is>
          <t>DOC-v1.0-02 §3.1 Table 3</t>
        </is>
      </c>
      <c r="D30" s="426" t="inlineStr">
        <is>
          <t>UI</t>
        </is>
      </c>
      <c r="E30" s="426" t="inlineStr">
        <is>
          <t>Medium</t>
        </is>
      </c>
      <c r="F30" s="427" t="inlineStr">
        <is>
          <t>Check card "Đơn của tôi" hiển thị badge "Đã giao" khi đơn đang ở trạng thái Đã giao</t>
        </is>
      </c>
      <c r="G30" s="427" t="inlineStr">
        <is>
          <t>Tài khoản có 1 đơn vai trò Sender ở trạng thái "Đã giao"</t>
        </is>
      </c>
      <c r="H30" s="427" t="inlineStr">
        <is>
          <t>1. Mở app FoxEco
2. Bấm tab "Trang chủ" tại bottom nav
3. Quan sát badge trạng thái trên card trong section "Đơn của tôi"</t>
        </is>
      </c>
      <c r="I30" s="427" t="inlineStr">
        <is>
          <t>3. Badge trạng thái trên card hiển thị đúng nhãn "Đã giao"</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IF($A30="","",IF(OR($N30="Yes",$S30="Yes",$X30="Yes",$AC30="Yes",$AH30="Yes"),"Yes","No"))</f>
        <v/>
      </c>
      <c r="AN30" s="430">
        <f>IF($A30="","",IFERROR(IF($AI30&lt;&gt;"",$AI30,IF($AD30&lt;&gt;"",$AD30,IF($Y30&lt;&gt;"",$Y30,IF($T30&lt;&gt;"",$T30,IF($O30&lt;&gt;"",$O30,""))))),""))</f>
        <v/>
      </c>
      <c r="AO30" s="430">
        <f>IFERROR(IF($AJ30&lt;&gt;"",$AJ30,IF($AE30&lt;&gt;"",$AE30,IF($Z30&lt;&gt;"",$Z30,IF($U30&lt;&gt;"",$U30,IF($P30&lt;&gt;"",$P30,""))))),"")</f>
        <v/>
      </c>
      <c r="AP30" s="431" t="inlineStr">
        <is>
          <t>Technique: EP-delivered</t>
        </is>
      </c>
    </row>
    <row r="31" ht="60" customHeight="1" s="225">
      <c r="A31" s="426">
        <f>IF(C31="","",$C$2&amp;"."&amp;COUNTA($C$8:C31)&amp;"")</f>
        <v/>
      </c>
      <c r="B31" s="426" t="inlineStr">
        <is>
          <t>REQ-ORD-001</t>
        </is>
      </c>
      <c r="C31" s="426" t="inlineStr">
        <is>
          <t>DOC-v1.0-02 §3.1 Table 3</t>
        </is>
      </c>
      <c r="D31" s="426" t="inlineStr">
        <is>
          <t>UI</t>
        </is>
      </c>
      <c r="E31" s="426" t="inlineStr">
        <is>
          <t>Medium</t>
        </is>
      </c>
      <c r="F31" s="427" t="inlineStr">
        <is>
          <t>Check card "Đơn của tôi" hiển thị badge "Hoàn thành" khi đơn đã hoàn thành</t>
        </is>
      </c>
      <c r="G31" s="427" t="inlineStr">
        <is>
          <t>Tài khoản có 1 đơn vai trò Sender ở trạng thái "Hoàn thành"</t>
        </is>
      </c>
      <c r="H31" s="427" t="inlineStr">
        <is>
          <t>1. Mở app FoxEco
2. Bấm tab "Trang chủ" tại bottom nav
3. Quan sát badge trạng thái trên card trong section "Đơn của tôi"</t>
        </is>
      </c>
      <c r="I31" s="427" t="inlineStr">
        <is>
          <t>3. Badge trạng thái trên card hiển thị đúng nhãn "Hoàn thành"</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IF($A31="","",IF(OR($N31="Yes",$S31="Yes",$X31="Yes",$AC31="Yes",$AH31="Yes"),"Yes","No"))</f>
        <v/>
      </c>
      <c r="AN31" s="430">
        <f>IF($A31="","",IFERROR(IF($AI31&lt;&gt;"",$AI31,IF($AD31&lt;&gt;"",$AD31,IF($Y31&lt;&gt;"",$Y31,IF($T31&lt;&gt;"",$T31,IF($O31&lt;&gt;"",$O31,""))))),""))</f>
        <v/>
      </c>
      <c r="AO31" s="430">
        <f>IFERROR(IF($AJ31&lt;&gt;"",$AJ31,IF($AE31&lt;&gt;"",$AE31,IF($Z31&lt;&gt;"",$Z31,IF($U31&lt;&gt;"",$U31,IF($P31&lt;&gt;"",$P31,""))))),"")</f>
        <v/>
      </c>
      <c r="AP31" s="431" t="inlineStr">
        <is>
          <t>Technique: EP-completed</t>
        </is>
      </c>
    </row>
    <row r="32" ht="60" customHeight="1" s="225">
      <c r="A32" s="426">
        <f>IF(C32="","",$C$2&amp;"."&amp;COUNTA($C$8:C32)&amp;"")</f>
        <v/>
      </c>
      <c r="B32" s="426" t="inlineStr">
        <is>
          <t>REQ-ORD-001, REQ-CNL-001</t>
        </is>
      </c>
      <c r="C32" s="426" t="inlineStr">
        <is>
          <t>Quan sát thực tế app STG (QA GiangDC2, chat 2026-07-30)</t>
        </is>
      </c>
      <c r="D32" s="426" t="inlineStr">
        <is>
          <t>UI</t>
        </is>
      </c>
      <c r="E32" s="426" t="inlineStr">
        <is>
          <t>Medium</t>
        </is>
      </c>
      <c r="F32" s="427" t="inlineStr">
        <is>
          <t>Check card "Đơn của tôi" hiển thị badge "Đã huỷ" khi đơn vừa bị huỷ</t>
        </is>
      </c>
      <c r="G32" s="427" t="inlineStr">
        <is>
          <t>Tài khoản có 1 đơn vừa chuyển trạng thái "Đã huỷ" (qua popup "Huỷ đơn")</t>
        </is>
      </c>
      <c r="H32" s="427" t="inlineStr">
        <is>
          <t>1. Mở app FoxEco
2. Bấm tab "Trang chủ" tại bottom nav
3. Quan sát section "Đơn của tôi"</t>
        </is>
      </c>
      <c r="I32" s="427" t="inlineStr">
        <is>
          <t>3. Badge trạng thái trên card hiển thị đúng nhãn "Đã huỷ"</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IF($A32="","",IF(OR($N32="Yes",$S32="Yes",$X32="Yes",$AC32="Yes",$AH32="Yes"),"Yes","No"))</f>
        <v/>
      </c>
      <c r="AN32" s="430">
        <f>IF($A32="","",IFERROR(IF($AI32&lt;&gt;"",$AI32,IF($AD32&lt;&gt;"",$AD32,IF($Y32&lt;&gt;"",$Y32,IF($T32&lt;&gt;"",$T32,IF($O32&lt;&gt;"",$O32,""))))),""))</f>
        <v/>
      </c>
      <c r="AO32" s="430">
        <f>IFERROR(IF($AJ32&lt;&gt;"",$AJ32,IF($AE32&lt;&gt;"",$AE32,IF($Z32&lt;&gt;"",$Z32,IF($U32&lt;&gt;"",$U32,IF($P32&lt;&gt;"",$P32,""))))),"")</f>
        <v/>
      </c>
      <c r="AP32" s="431" t="inlineStr">
        <is>
          <t>Technique: EP-actor-cancelled-shown | Bổ sung 2026-07-30 theo yêu cầu user, đóng gap phát sinh từ finding tại module Hoạt động: đơn "Đã huỷ" KHÔNG biến mất khỏi các bề mặt hiển thị "đơn hiện tại", card "Đơn của tôi" tại Trang chủ cũng theo đúng rule này.</t>
        </is>
      </c>
    </row>
    <row r="33" ht="60" customHeight="1" s="225">
      <c r="A33" s="426">
        <f>IF(C33="","",$C$2&amp;"."&amp;COUNTA($C$8:C33)&amp;"")</f>
        <v/>
      </c>
      <c r="B33" s="426" t="inlineStr">
        <is>
          <t>REQ-ORD-001</t>
        </is>
      </c>
      <c r="C33" s="426" t="inlineStr">
        <is>
          <t>DOC-v1.0-02 §3.1 Table 3</t>
        </is>
      </c>
      <c r="D33" s="426" t="inlineStr">
        <is>
          <t>UI</t>
        </is>
      </c>
      <c r="E33" s="426" t="inlineStr">
        <is>
          <t>Medium</t>
        </is>
      </c>
      <c r="F33" s="427" t="inlineStr">
        <is>
          <t>Check thanh progress 5 bước trên card "Đơn của tôi" khớp đúng mốc trạng thái hiện tại</t>
        </is>
      </c>
      <c r="G33" s="427" t="inlineStr">
        <is>
          <t>Tài khoản có 1 đơn vai trò Sender ở trạng thái "Đang giao" (mốc thứ 3 trong 5 mốc)</t>
        </is>
      </c>
      <c r="H33" s="427" t="inlineStr">
        <is>
          <t>1. Mở app FoxEco
2. Bấm tab "Trang chủ" tại bottom nav
3. Quan sát thanh progress 5 bước trên card trong section "Đơn của tôi"</t>
        </is>
      </c>
      <c r="I33" s="427" t="inlineStr">
        <is>
          <t>3. Thanh progress hiển thị đủ 5 bước và đã đánh dấu đúng tới bước thứ 3 ("Đang giao"); 2 bước còn lại ("Đã giao", "Hoàn thành") chưa được đánh dấu</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IF($A32="","",IF(OR($N32="Yes",$S32="Yes",$X32="Yes",$AC32="Yes",$AH32="Yes"),"Yes","No"))</f>
        <v/>
      </c>
      <c r="AN33" s="430">
        <f>IF($A32="","",IFERROR(IF($AI32&lt;&gt;"",$AI32,IF($AD32&lt;&gt;"",$AD32,IF($Y32&lt;&gt;"",$Y32,IF($T32&lt;&gt;"",$T32,IF($O32&lt;&gt;"",$O32,""))))),""))</f>
        <v/>
      </c>
      <c r="AO33" s="430">
        <f>IFERROR(IF($AJ32&lt;&gt;"",$AJ32,IF($AE32&lt;&gt;"",$AE32,IF($Z32&lt;&gt;"",$Z32,IF($U32&lt;&gt;"",$U32,IF($P32&lt;&gt;"",$P32,""))))),"")</f>
        <v/>
      </c>
      <c r="AP33" s="431" t="inlineStr">
        <is>
          <t>Technique: EP-in-transit (progress) | Vòng đời chuyển trạng thái test tại module DLV — TC này chỉ verify hiển thị progress theo đúng mốc hiện tại</t>
        </is>
      </c>
    </row>
    <row r="34" ht="60" customHeight="1" s="225">
      <c r="A34" s="426">
        <f>IF(C34="","",$C$2&amp;"."&amp;COUNTA($C$8:C34)&amp;"")</f>
        <v/>
      </c>
      <c r="B34" s="426" t="inlineStr">
        <is>
          <t>REQ-ORD-001</t>
        </is>
      </c>
      <c r="C34" s="426" t="inlineStr">
        <is>
          <t>DOC-v1.0-02 §3.1 Table 3</t>
        </is>
      </c>
      <c r="D34" s="426" t="inlineStr">
        <is>
          <t>UI</t>
        </is>
      </c>
      <c r="E34" s="426" t="inlineStr">
        <is>
          <t>Low</t>
        </is>
      </c>
      <c r="F34" s="427" t="inlineStr">
        <is>
          <t>Check card "Đơn của tôi" hiển thị nhãn hướng "Gửi:" khi user là người gửi của đơn</t>
        </is>
      </c>
      <c r="G34" s="427" t="inlineStr">
        <is>
          <t>Tài khoản là người gửi (Sender) của 1 đơn đang hoạt động</t>
        </is>
      </c>
      <c r="H34" s="427" t="inlineStr">
        <is>
          <t>1. Mở app FoxEco
2. Bấm tab "Trang chủ" tại bottom nav
3. Quan sát nhãn hướng ở đầu card trong section "Đơn của tôi"</t>
        </is>
      </c>
      <c r="I34" s="427" t="inlineStr">
        <is>
          <t>3. Card hiển thị nhãn hướng "Gửi:" kèm loại hàng | giá trị hàng</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IF($A33="","",IF(OR($N33="Yes",$S33="Yes",$X33="Yes",$AC33="Yes",$AH33="Yes"),"Yes","No"))</f>
        <v/>
      </c>
      <c r="AN34" s="430">
        <f>IF($A33="","",IFERROR(IF($AI33&lt;&gt;"",$AI33,IF($AD33&lt;&gt;"",$AD33,IF($Y33&lt;&gt;"",$Y33,IF($T33&lt;&gt;"",$T33,IF($O33&lt;&gt;"",$O33,""))))),""))</f>
        <v/>
      </c>
      <c r="AO34" s="430">
        <f>IFERROR(IF($AJ33&lt;&gt;"",$AJ33,IF($AE33&lt;&gt;"",$AE33,IF($Z33&lt;&gt;"",$Z33,IF($U33&lt;&gt;"",$U33,IF($P33&lt;&gt;"",$P33,""))))),"")</f>
        <v/>
      </c>
      <c r="AP34" s="431" t="inlineStr">
        <is>
          <t>Technique: EP-role-sender</t>
        </is>
      </c>
    </row>
    <row r="35" ht="60" customHeight="1" s="225">
      <c r="A35" s="426">
        <f>IF(C35="","",$C$2&amp;"."&amp;COUNTA($C$8:C35)&amp;"")</f>
        <v/>
      </c>
      <c r="B35" s="426" t="inlineStr">
        <is>
          <t>REQ-ORD-001</t>
        </is>
      </c>
      <c r="C35" s="426" t="inlineStr">
        <is>
          <t>DOC-v1.0-02 §3.1 Table 3</t>
        </is>
      </c>
      <c r="D35" s="426" t="inlineStr">
        <is>
          <t>UI</t>
        </is>
      </c>
      <c r="E35" s="426" t="inlineStr">
        <is>
          <t>Low</t>
        </is>
      </c>
      <c r="F35" s="427" t="inlineStr">
        <is>
          <t>Check card "Đơn của tôi" hiển thị nhãn hướng "Nhận:" khi user là người nhận của đơn</t>
        </is>
      </c>
      <c r="G35" s="427" t="inlineStr">
        <is>
          <t>Tài khoản là người nhận (Receiver) của 1 đơn đang hoạt động</t>
        </is>
      </c>
      <c r="H35" s="427" t="inlineStr">
        <is>
          <t>1. Mở app FoxEco
2. Bấm tab "Trang chủ" tại bottom nav
3. Quan sát nhãn hướng ở đầu card trong section "Đơn của tôi"</t>
        </is>
      </c>
      <c r="I35" s="427" t="inlineStr">
        <is>
          <t>3. Card hiển thị nhãn hướng "Nhận:" kèm loại hàng | giá trị hàng</t>
        </is>
      </c>
      <c r="J35" s="426" t="inlineStr">
        <is>
          <t>AI</t>
        </is>
      </c>
      <c r="K35" s="426" t="inlineStr">
        <is>
          <t>Pending</t>
        </is>
      </c>
      <c r="L35" s="426" t="inlineStr">
        <is>
          <t>No</t>
        </is>
      </c>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f>IF($A34="","",IF(OR($N34="Yes",$S34="Yes",$X34="Yes",$AC34="Yes",$AH34="Yes"),"Yes","No"))</f>
        <v/>
      </c>
      <c r="AN35" s="430">
        <f>IF($A34="","",IFERROR(IF($AI34&lt;&gt;"",$AI34,IF($AD34&lt;&gt;"",$AD34,IF($Y34&lt;&gt;"",$Y34,IF($T34&lt;&gt;"",$T34,IF($O34&lt;&gt;"",$O34,""))))),""))</f>
        <v/>
      </c>
      <c r="AO35" s="430">
        <f>IFERROR(IF($AJ34&lt;&gt;"",$AJ34,IF($AE34&lt;&gt;"",$AE34,IF($Z34&lt;&gt;"",$Z34,IF($U34&lt;&gt;"",$U34,IF($P34&lt;&gt;"",$P34,""))))),"")</f>
        <v/>
      </c>
      <c r="AP35" s="431" t="inlineStr">
        <is>
          <t>Technique: EP-role-receiver</t>
        </is>
      </c>
    </row>
    <row r="36" ht="60" customHeight="1" s="225">
      <c r="A36" s="426">
        <f>IF(C36="","",$C$2&amp;"."&amp;COUNTA($C$8:C36)&amp;"")</f>
        <v/>
      </c>
      <c r="B36" s="426" t="inlineStr">
        <is>
          <t>REQ-ORD-001</t>
        </is>
      </c>
      <c r="C36" s="426" t="inlineStr">
        <is>
          <t>DOC-v1.0-02 §3.1 Table 3</t>
        </is>
      </c>
      <c r="D36" s="426" t="inlineStr">
        <is>
          <t>Functional</t>
        </is>
      </c>
      <c r="E36" s="426" t="inlineStr">
        <is>
          <t>High</t>
        </is>
      </c>
      <c r="F36" s="427" t="inlineStr">
        <is>
          <t>Check bấm card "Đơn của tôi" điều hướng sang màn Theo dõi đơn đúng đơn đó</t>
        </is>
      </c>
      <c r="G36" s="427" t="inlineStr">
        <is>
          <t>Tài khoản có ít nhất 1 đơn đang hoạt động hiển thị tại section "Đơn của tôi"</t>
        </is>
      </c>
      <c r="H36" s="427" t="inlineStr">
        <is>
          <t>1. Mở app FoxEco
2. Bấm tab "Trang chủ" tại bottom nav
3. Bấm vào card trong section "Đơn của tôi" (vùng "Chạm để theo dõi đơn của bạn")</t>
        </is>
      </c>
      <c r="I36" s="427" t="inlineStr">
        <is>
          <t>3. Điều hướng sang màn "Theo dõi đơn" của đúng đơn vừa bấm — loại hàng, tuyến "Từ:"/"Đến:" và trạng thái khớp với nội dung trên card</t>
        </is>
      </c>
      <c r="J36" s="426" t="inlineStr">
        <is>
          <t>AI</t>
        </is>
      </c>
      <c r="K36" s="426" t="inlineStr">
        <is>
          <t>Pending</t>
        </is>
      </c>
      <c r="L36" s="426" t="inlineStr">
        <is>
          <t>No</t>
        </is>
      </c>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f>IF($A35="","",IF(OR($N35="Yes",$S35="Yes",$X35="Yes",$AC35="Yes",$AH35="Yes"),"Yes","No"))</f>
        <v/>
      </c>
      <c r="AN36" s="430">
        <f>IF($A35="","",IFERROR(IF($AI35&lt;&gt;"",$AI35,IF($AD35&lt;&gt;"",$AD35,IF($Y35&lt;&gt;"",$Y35,IF($T35&lt;&gt;"",$T35,IF($O35&lt;&gt;"",$O35,""))))),""))</f>
        <v/>
      </c>
      <c r="AO36" s="430">
        <f>IFERROR(IF($AJ35&lt;&gt;"",$AJ35,IF($AE35&lt;&gt;"",$AE35,IF($Z35&lt;&gt;"",$Z35,IF($U35&lt;&gt;"",$U35,IF($P35&lt;&gt;"",$P35,""))))),"")</f>
        <v/>
      </c>
      <c r="AP36" s="431" t="n"/>
    </row>
    <row r="37" ht="20" customHeight="1" s="225">
      <c r="A37" s="426" t="n"/>
      <c r="B37" s="432" t="inlineStr">
        <is>
          <t>Block "Tin mới"</t>
        </is>
      </c>
      <c r="C37" s="233" t="n"/>
      <c r="D37" s="233" t="n"/>
      <c r="E37" s="233" t="n"/>
      <c r="F37" s="233" t="n"/>
      <c r="G37" s="233" t="n"/>
      <c r="H37" s="233" t="n"/>
      <c r="I37" s="231" t="n"/>
      <c r="J37" s="426" t="n"/>
      <c r="K37" s="426" t="n"/>
      <c r="L37" s="426" t="n"/>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t="n"/>
      <c r="AN37" s="430" t="n"/>
      <c r="AO37" s="430" t="n"/>
      <c r="AP37" s="431" t="n"/>
    </row>
    <row r="38" ht="60" customHeight="1" s="225">
      <c r="A38" s="426">
        <f>IF(C38="","",$C$2&amp;"."&amp;COUNTA($C$8:C38)&amp;"")</f>
        <v/>
      </c>
      <c r="B38" s="426" t="inlineStr">
        <is>
          <t>REQ-ASN-005</t>
        </is>
      </c>
      <c r="C38" s="426" t="inlineStr">
        <is>
          <t>DOC-v1.0-01 §D7 (OPR-01) + DOC-v1.0-02 §3.1</t>
        </is>
      </c>
      <c r="D38" s="426" t="inlineStr">
        <is>
          <t>UI</t>
        </is>
      </c>
      <c r="E38" s="426" t="inlineStr">
        <is>
          <t>Medium</t>
        </is>
      </c>
      <c r="F38" s="427" t="inlineStr">
        <is>
          <t>Check đầy đủ 2 thành phần tại section "Tin mới" trên Trang chủ</t>
        </is>
      </c>
      <c r="G38" s="427" t="inlineStr">
        <is>
          <t>Bảng tin của cộng đồng có ít nhất 1 tin ở trạng thái "Chờ ghép" do người khác đăng</t>
        </is>
      </c>
      <c r="H38" s="427" t="inlineStr">
        <is>
          <t>1. Mở app FoxEco
2. Bấm tab "Trang chủ" tại bottom nav
3. Quan sát section "Tin mới"</t>
        </is>
      </c>
      <c r="I38" s="427" t="inlineStr">
        <is>
          <t>3. Section "Tin mới" hiển thị đủ 2 thành phần: (1) nội dung tin rút gọn của tin mới nhất thuộc CẢ CỘNG ĐỒNG (không giới hạn tin của chính user), (2) vùng bấm để mở màn Chi tiết tin</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IF($A37="","",IF(OR($N37="Yes",$S37="Yes",$X37="Yes",$AC37="Yes",$AH37="Yes"),"Yes","No"))</f>
        <v/>
      </c>
      <c r="AN38" s="430">
        <f>IF($A37="","",IFERROR(IF($AI37&lt;&gt;"",$AI37,IF($AD37&lt;&gt;"",$AD37,IF($Y37&lt;&gt;"",$Y37,IF($T37&lt;&gt;"",$T37,IF($O37&lt;&gt;"",$O37,""))))),""))</f>
        <v/>
      </c>
      <c r="AO38" s="430">
        <f>IFERROR(IF($AJ37&lt;&gt;"",$AJ37,IF($AE37&lt;&gt;"",$AE37,IF($Z37&lt;&gt;"",$Z37,IF($U37&lt;&gt;"",$U37,IF($P37&lt;&gt;"",$P37,""))))),"")</f>
        <v/>
      </c>
      <c r="AP38" s="431" t="inlineStr">
        <is>
          <t>Field/column completeness check — auto-derived (xem generate.md Step 3b) | ⚠ Mâu thuẫn nguồn về SỐ LƯỢNG tin hiển thị: DOC-v1.0-02 §3.1 ghi "rút gọn 1 tin mới nhất" vs DOC-v1.0-01 OPR-01/US-D06 ghi "tối đa 5 tin" — TC này cố ý KHÔNG assert số lượng; cần BA xác nhận (xem 3 TC trần 5 phía dưới)</t>
        </is>
      </c>
    </row>
    <row r="39" ht="60" customHeight="1" s="225">
      <c r="A39" s="426">
        <f>IF(C39="","",$C$2&amp;"."&amp;COUNTA($C$8:C39)&amp;"")</f>
        <v/>
      </c>
      <c r="B39" s="426" t="inlineStr">
        <is>
          <t>REQ-ASN-005</t>
        </is>
      </c>
      <c r="C39" s="426" t="inlineStr">
        <is>
          <t>DOC-v1.0-01 §D7 (OPR-01) + DOC-v1.0-02 §3.1</t>
        </is>
      </c>
      <c r="D39" s="426" t="inlineStr">
        <is>
          <t>Functional</t>
        </is>
      </c>
      <c r="E39" s="426" t="inlineStr">
        <is>
          <t>Medium</t>
        </is>
      </c>
      <c r="F39" s="427" t="inlineStr">
        <is>
          <t>Check bấm 1 tin trong section "Tin mới" điều hướng sang màn Chi tiết tin đúng tin đó</t>
        </is>
      </c>
      <c r="G39" s="427" t="inlineStr">
        <is>
          <t>Section "Tin mới" đang hiển thị ít nhất 1 tin</t>
        </is>
      </c>
      <c r="H39" s="427" t="inlineStr">
        <is>
          <t>1. Mở app FoxEco
2. Bấm tab "Trang chủ" tại bottom nav
3. Bấm vào 1 tin trong section "Tin mới"</t>
        </is>
      </c>
      <c r="I39" s="427" t="inlineStr">
        <is>
          <t>3. Điều hướng sang màn "Chi tiết tin" của đúng tin vừa bấm — loại hàng, tuyến và khung giờ khớp với nội dung rút gọn hiển thị ở Trang chủ</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IF($A38="","",IF(OR($N38="Yes",$S38="Yes",$X38="Yes",$AC38="Yes",$AH38="Yes"),"Yes","No"))</f>
        <v/>
      </c>
      <c r="AN39" s="430">
        <f>IF($A38="","",IFERROR(IF($AI38&lt;&gt;"",$AI38,IF($AD38&lt;&gt;"",$AD38,IF($Y38&lt;&gt;"",$Y38,IF($T38&lt;&gt;"",$T38,IF($O38&lt;&gt;"",$O38,""))))),""))</f>
        <v/>
      </c>
      <c r="AO39" s="430">
        <f>IFERROR(IF($AJ38&lt;&gt;"",$AJ38,IF($AE38&lt;&gt;"",$AE38,IF($Z38&lt;&gt;"",$Z38,IF($U38&lt;&gt;"",$U38,IF($P38&lt;&gt;"",$P38,""))))),"")</f>
        <v/>
      </c>
      <c r="AP39" s="431" t="n"/>
    </row>
    <row r="40" ht="60" customHeight="1" s="225">
      <c r="A40" s="426">
        <f>IF(C40="","",$C$2&amp;"."&amp;COUNTA($C$8:C40)&amp;"")</f>
        <v/>
      </c>
      <c r="B40" s="426" t="inlineStr">
        <is>
          <t>REQ-ASN-005</t>
        </is>
      </c>
      <c r="C40" s="426" t="inlineStr">
        <is>
          <t>DOC-v1.0-01 §D7 (OPR-01) + DOC-v1.0-02 §3.1</t>
        </is>
      </c>
      <c r="D40" s="426" t="inlineStr">
        <is>
          <t>Functional</t>
        </is>
      </c>
      <c r="E40" s="426" t="inlineStr">
        <is>
          <t>Low</t>
        </is>
      </c>
      <c r="F40" s="427" t="inlineStr">
        <is>
          <t>Check "Tin mới" hiển thị đủ số tin khi số tin phù hợp CHƯA đạt trần 5 (4 tin)</t>
        </is>
      </c>
      <c r="G40" s="427" t="inlineStr">
        <is>
          <t>Carrier đã đăng tuyến OFFER; hệ thống có đúng 4 tin NEED phù hợp tuyến của Carrier</t>
        </is>
      </c>
      <c r="H40" s="427" t="inlineStr">
        <is>
          <t>1. Mở app FoxEco
2. Bấm tab "Trang chủ" tại bottom nav
3. Đếm số tin hiển thị trong section "Tin mới"</t>
        </is>
      </c>
      <c r="I40" s="427" t="inlineStr">
        <is>
          <t>3. Section "Tin mới" hiển thị đủ 4 tin, không cắt bớt tin nào</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IF($A39="","",IF(OR($N39="Yes",$S39="Yes",$X39="Yes",$AC39="Yes",$AH39="Yes"),"Yes","No"))</f>
        <v/>
      </c>
      <c r="AN40" s="430">
        <f>IF($A39="","",IFERROR(IF($AI39&lt;&gt;"",$AI39,IF($AD39&lt;&gt;"",$AD39,IF($Y39&lt;&gt;"",$Y39,IF($T39&lt;&gt;"",$T39,IF($O39&lt;&gt;"",$O39,""))))),""))</f>
        <v/>
      </c>
      <c r="AO40" s="430">
        <f>IFERROR(IF($AJ39&lt;&gt;"",$AJ39,IF($AE39&lt;&gt;"",$AE39,IF($Z39&lt;&gt;"",$Z39,IF($U39&lt;&gt;"",$U39,IF($P39&lt;&gt;"",$P39,""))))),"")</f>
        <v/>
      </c>
      <c r="AP40" s="431" t="inlineStr">
        <is>
          <t>Technique: BVA-below-cap (4 tin) | Cần bổ sung test data trong catalog (chưa có bộ tin mẫu theo số lượng khớp tuyến)</t>
        </is>
      </c>
    </row>
    <row r="41" ht="60" customHeight="1" s="225">
      <c r="A41" s="426">
        <f>IF(C41="","",$C$2&amp;"."&amp;COUNTA($C$8:C41)&amp;"")</f>
        <v/>
      </c>
      <c r="B41" s="426" t="inlineStr">
        <is>
          <t>REQ-ASN-005</t>
        </is>
      </c>
      <c r="C41" s="426" t="inlineStr">
        <is>
          <t>DOC-v1.0-01 §D7 (OPR-01) + DOC-v1.0-02 §3.1</t>
        </is>
      </c>
      <c r="D41" s="426" t="inlineStr">
        <is>
          <t>Functional</t>
        </is>
      </c>
      <c r="E41" s="426" t="inlineStr">
        <is>
          <t>Low</t>
        </is>
      </c>
      <c r="F41" s="427" t="inlineStr">
        <is>
          <t>Check "Tin mới" hiển thị đúng 5 tin khi số tin phù hợp ĐÚNG BẰNG trần 5</t>
        </is>
      </c>
      <c r="G41" s="427" t="inlineStr">
        <is>
          <t>Carrier đã đăng tuyến OFFER; hệ thống có đúng 5 tin NEED phù hợp tuyến của Carrier</t>
        </is>
      </c>
      <c r="H41" s="427" t="inlineStr">
        <is>
          <t>1. Mở app FoxEco
2. Bấm tab "Trang chủ" tại bottom nav
3. Đếm số tin hiển thị trong section "Tin mới"</t>
        </is>
      </c>
      <c r="I41" s="427" t="inlineStr">
        <is>
          <t>3. Section "Tin mới" hiển thị đúng 5 tin</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IF($A40="","",IF(OR($N40="Yes",$S40="Yes",$X40="Yes",$AC40="Yes",$AH40="Yes"),"Yes","No"))</f>
        <v/>
      </c>
      <c r="AN41" s="430">
        <f>IF($A40="","",IFERROR(IF($AI40&lt;&gt;"",$AI40,IF($AD40&lt;&gt;"",$AD40,IF($Y40&lt;&gt;"",$Y40,IF($T40&lt;&gt;"",$T40,IF($O40&lt;&gt;"",$O40,""))))),""))</f>
        <v/>
      </c>
      <c r="AO41" s="430">
        <f>IFERROR(IF($AJ40&lt;&gt;"",$AJ40,IF($AE40&lt;&gt;"",$AE40,IF($Z40&lt;&gt;"",$Z40,IF($U40&lt;&gt;"",$U40,IF($P40&lt;&gt;"",$P40,""))))),"")</f>
        <v/>
      </c>
      <c r="AP41" s="431" t="inlineStr">
        <is>
          <t>Technique: BVA-at-cap (5 tin) | Cần bổ sung test data trong catalog</t>
        </is>
      </c>
    </row>
    <row r="42" ht="60" customHeight="1" s="225">
      <c r="A42" s="426">
        <f>IF(C42="","",$C$2&amp;"."&amp;COUNTA($C$8:C42)&amp;"")</f>
        <v/>
      </c>
      <c r="B42" s="426" t="inlineStr">
        <is>
          <t>REQ-ASN-005</t>
        </is>
      </c>
      <c r="C42" s="426" t="inlineStr">
        <is>
          <t>DOC-v1.0-01 §D7 (OPR-01) + DOC-v1.0-02 §3.1</t>
        </is>
      </c>
      <c r="D42" s="426" t="inlineStr">
        <is>
          <t>Functional</t>
        </is>
      </c>
      <c r="E42" s="426" t="inlineStr">
        <is>
          <t>Medium</t>
        </is>
      </c>
      <c r="F42" s="427" t="inlineStr">
        <is>
          <t>Check "Tin mới" chỉ hiển thị tối đa 5 tin khi có 6 tin phù hợp</t>
        </is>
      </c>
      <c r="G42" s="427" t="inlineStr">
        <is>
          <t>Carrier đã đăng tuyến OFFER; hệ thống có 6 tin NEED phù hợp tuyến của Carrier</t>
        </is>
      </c>
      <c r="H42" s="427" t="inlineStr">
        <is>
          <t>1. Mở app FoxEco
2. Bấm tab "Trang chủ" tại bottom nav
3. Đếm số tin hiển thị trong section "Tin mới"</t>
        </is>
      </c>
      <c r="I42" s="427" t="inlineStr">
        <is>
          <t>3. Section "Tin mới" chỉ hiển thị tối đa 5 tin (5 tin mới nhất &amp; gần tuyến nhất); tin thứ 6 KHÔNG hiển thị tại Trang chủ</t>
        </is>
      </c>
      <c r="J42" s="426" t="inlineStr">
        <is>
          <t>AI</t>
        </is>
      </c>
      <c r="K42" s="426" t="inlineStr">
        <is>
          <t>Pending</t>
        </is>
      </c>
      <c r="L42" s="426" t="inlineStr">
        <is>
          <t>No</t>
        </is>
      </c>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f>IF($A41="","",IF(OR($N41="Yes",$S41="Yes",$X41="Yes",$AC41="Yes",$AH41="Yes"),"Yes","No"))</f>
        <v/>
      </c>
      <c r="AN42" s="430">
        <f>IF($A41="","",IFERROR(IF($AI41&lt;&gt;"",$AI41,IF($AD41&lt;&gt;"",$AD41,IF($Y41&lt;&gt;"",$Y41,IF($T41&lt;&gt;"",$T41,IF($O41&lt;&gt;"",$O41,""))))),""))</f>
        <v/>
      </c>
      <c r="AO42" s="430">
        <f>IFERROR(IF($AJ41&lt;&gt;"",$AJ41,IF($AE41&lt;&gt;"",$AE41,IF($Z41&lt;&gt;"",$Z41,IF($U41&lt;&gt;"",$U41,IF($P41&lt;&gt;"",$P41,""))))),"")</f>
        <v/>
      </c>
      <c r="AP42" s="431" t="inlineStr">
        <is>
          <t>Technique: BVA-over-cap (6 tin) | Cần bổ sung test data trong catalog</t>
        </is>
      </c>
    </row>
    <row r="43" ht="60" customHeight="1" s="225">
      <c r="A43" s="426">
        <f>IF(C43="","",$C$2&amp;"."&amp;COUNTA($C$8:C43)&amp;"")</f>
        <v/>
      </c>
      <c r="B43" s="426" t="inlineStr">
        <is>
          <t>REQ-ASN-007</t>
        </is>
      </c>
      <c r="C43" s="426" t="inlineStr">
        <is>
          <t>DOC-v1.0-01 §D7 (OPR-04)</t>
        </is>
      </c>
      <c r="D43" s="426" t="inlineStr">
        <is>
          <t>Functional</t>
        </is>
      </c>
      <c r="E43" s="426" t="inlineStr">
        <is>
          <t>Medium</t>
        </is>
      </c>
      <c r="F43" s="427" t="inlineStr">
        <is>
          <t>Check thứ tự tin trong "Tin mới": tin gần tuyến nhất hiển thị trước</t>
        </is>
      </c>
      <c r="G43" s="427" t="inlineStr">
        <is>
          <t>Carrier đã đăng tuyến OFFER; có 3 tin NEED phù hợp với độ gần tuyến KHÁC nhau và cùng thời điểm đăng</t>
        </is>
      </c>
      <c r="H43" s="427" t="inlineStr">
        <is>
          <t>1. Mở app FoxEco
2. Bấm tab "Trang chủ" tại bottom nav
3. Quan sát thứ tự các tin trong section "Tin mới"</t>
        </is>
      </c>
      <c r="I43" s="427" t="inlineStr">
        <is>
          <t>3. Danh sách sắp xếp theo độ gần tuyến: tin gần tuyến nhất ở vị trí đầu tiên, tin xa tuyến nhất ở cuối</t>
        </is>
      </c>
      <c r="J43" s="426" t="inlineStr">
        <is>
          <t>AI</t>
        </is>
      </c>
      <c r="K43" s="426" t="inlineStr">
        <is>
          <t>Pending</t>
        </is>
      </c>
      <c r="L43" s="426" t="inlineStr">
        <is>
          <t>No</t>
        </is>
      </c>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f>IF($A42="","",IF(OR($N42="Yes",$S42="Yes",$X42="Yes",$AC42="Yes",$AH42="Yes"),"Yes","No"))</f>
        <v/>
      </c>
      <c r="AN43" s="430">
        <f>IF($A42="","",IFERROR(IF($AI42&lt;&gt;"",$AI42,IF($AD42&lt;&gt;"",$AD42,IF($Y42&lt;&gt;"",$Y42,IF($T42&lt;&gt;"",$T42,IF($O42&lt;&gt;"",$O42,""))))),""))</f>
        <v/>
      </c>
      <c r="AO43" s="430">
        <f>IFERROR(IF($AJ42&lt;&gt;"",$AJ42,IF($AE42&lt;&gt;"",$AE42,IF($Z42&lt;&gt;"",$Z42,IF($U42&lt;&gt;"",$U42,IF($P42&lt;&gt;"",$P42,""))))),"")</f>
        <v/>
      </c>
      <c r="AP43" s="431" t="inlineStr">
        <is>
          <t>Technique: DT-rule1 (độ gần tuyến khác nhau → sắp theo độ gần) | Cần bổ sung test data trong catalog</t>
        </is>
      </c>
    </row>
    <row r="44" ht="60" customHeight="1" s="225">
      <c r="A44" s="426">
        <f>IF(C44="","",$C$2&amp;"."&amp;COUNTA($C$8:C44)&amp;"")</f>
        <v/>
      </c>
      <c r="B44" s="426" t="inlineStr">
        <is>
          <t>REQ-ASN-007</t>
        </is>
      </c>
      <c r="C44" s="426" t="inlineStr">
        <is>
          <t>DOC-v1.0-01 §D7 (OPR-04)</t>
        </is>
      </c>
      <c r="D44" s="426" t="inlineStr">
        <is>
          <t>Functional</t>
        </is>
      </c>
      <c r="E44" s="426" t="inlineStr">
        <is>
          <t>Medium</t>
        </is>
      </c>
      <c r="F44" s="427" t="inlineStr">
        <is>
          <t>Check thứ tự tin trong "Tin mới" khi độ gần tuyến bằng nhau: tin đăng mới hơn hiển thị trước</t>
        </is>
      </c>
      <c r="G44" s="427" t="inlineStr">
        <is>
          <t>Carrier đã đăng tuyến OFFER; có 2 tin NEED CÙNG độ gần tuyến nhưng thời điểm đăng khác nhau</t>
        </is>
      </c>
      <c r="H44" s="427" t="inlineStr">
        <is>
          <t>1. Mở app FoxEco
2. Bấm tab "Trang chủ" tại bottom nav
3. Quan sát thứ tự 2 tin trong section "Tin mới"</t>
        </is>
      </c>
      <c r="I44" s="427" t="inlineStr">
        <is>
          <t>3. Tin có thời điểm đăng mới hơn hiển thị trước tin đăng cũ hơn</t>
        </is>
      </c>
      <c r="J44" s="426" t="inlineStr">
        <is>
          <t>AI</t>
        </is>
      </c>
      <c r="K44" s="426" t="inlineStr">
        <is>
          <t>Pending</t>
        </is>
      </c>
      <c r="L44" s="426" t="inlineStr">
        <is>
          <t>No</t>
        </is>
      </c>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f>IF($A43="","",IF(OR($N43="Yes",$S43="Yes",$X43="Yes",$AC43="Yes",$AH43="Yes"),"Yes","No"))</f>
        <v/>
      </c>
      <c r="AN44" s="430">
        <f>IF($A43="","",IFERROR(IF($AI43&lt;&gt;"",$AI43,IF($AD43&lt;&gt;"",$AD43,IF($Y43&lt;&gt;"",$Y43,IF($T43&lt;&gt;"",$T43,IF($O43&lt;&gt;"",$O43,""))))),""))</f>
        <v/>
      </c>
      <c r="AO44" s="430">
        <f>IFERROR(IF($AJ43&lt;&gt;"",$AJ43,IF($AE43&lt;&gt;"",$AE43,IF($Z43&lt;&gt;"",$Z43,IF($U43&lt;&gt;"",$U43,IF($P43&lt;&gt;"",$P43,""))))),"")</f>
        <v/>
      </c>
      <c r="AP44" s="431" t="inlineStr">
        <is>
          <t>Technique: DT-rule2 (độ gần tuyến bằng nhau → sắp theo thời gian đăng mới nhất) | Cần bổ sung test data trong catalog</t>
        </is>
      </c>
    </row>
    <row r="45" ht="60" customHeight="1" s="225">
      <c r="A45" s="426">
        <f>IF(C45="","",$C$2&amp;"."&amp;COUNTA($C$8:C45)&amp;"")</f>
        <v/>
      </c>
      <c r="B45" s="426" t="inlineStr">
        <is>
          <t>REQ-ASN-005</t>
        </is>
      </c>
      <c r="C45" s="426" t="inlineStr">
        <is>
          <t>DOC-v1.0-01 §D7 (OPR-01) + DOC-v1.0-02 §3.1</t>
        </is>
      </c>
      <c r="D45" s="426" t="inlineStr">
        <is>
          <t>UI</t>
        </is>
      </c>
      <c r="E45" s="426" t="inlineStr">
        <is>
          <t>Medium</t>
        </is>
      </c>
      <c r="F45" s="427" t="inlineStr">
        <is>
          <t>Check Người gửi cũng thấy section "Tin mới" trên Trang chủ</t>
        </is>
      </c>
      <c r="G45" s="427" t="inlineStr">
        <is>
          <t>User đăng nhập với vai trò Sender (CHƯA đăng tuyến OFFER nào); bảng tin cộng đồng có ít nhất 1 tin "Chờ ghép"</t>
        </is>
      </c>
      <c r="H45" s="427" t="inlineStr">
        <is>
          <t>1. Mở app FoxEco bằng tài khoản Sender
2. Bấm tab "Trang chủ" tại bottom nav
3. Cuộn tới vị trí section "Tin mới" và quan sát</t>
        </is>
      </c>
      <c r="I45" s="427" t="inlineStr">
        <is>
          <t>3. Section "Tin mới" VẪN hiển thị với vai trò Sender (không phải tính năng riêng của Carrier), nội dung là tin rút gọn của cả cộng đồng</t>
        </is>
      </c>
      <c r="J45" s="426" t="inlineStr">
        <is>
          <t>AI</t>
        </is>
      </c>
      <c r="K45" s="426" t="inlineStr">
        <is>
          <t>Pending</t>
        </is>
      </c>
      <c r="L45" s="426" t="inlineStr">
        <is>
          <t>No</t>
        </is>
      </c>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f>IF($A44="","",IF(OR($N44="Yes",$S44="Yes",$X44="Yes",$AC44="Yes",$AH44="Yes"),"Yes","No"))</f>
        <v/>
      </c>
      <c r="AN45" s="430">
        <f>IF($A44="","",IFERROR(IF($AI44&lt;&gt;"",$AI44,IF($AD44&lt;&gt;"",$AD44,IF($Y44&lt;&gt;"",$Y44,IF($T44&lt;&gt;"",$T44,IF($O44&lt;&gt;"",$O44,""))))),""))</f>
        <v/>
      </c>
      <c r="AO45" s="430">
        <f>IFERROR(IF($AJ44&lt;&gt;"",$AJ44,IF($AE44&lt;&gt;"",$AE44,IF($Z44&lt;&gt;"",$Z44,IF($U44&lt;&gt;"",$U44,IF($P44&lt;&gt;"",$P44,""))))),"")</f>
        <v/>
      </c>
      <c r="AP45" s="431" t="inlineStr">
        <is>
          <t>Technique: EP-role-sender | Nguồn: merge CA v1.1 `C-GENERAL-4` — BRD mô tả "Tin mới" cap-5 là tính năng riêng Carrier nhưng UI cho thấy Trang chủ của Sender cũng có; user chốt "viết theo UI luôn nha" → áp dụng cho CẢ Sender lẫn Carrier. Các TC trần-5/thứ-tự (TC_05.27..31) giữ Given Carrier vì cần tuyến OFFER để xác định độ gần tuyến</t>
        </is>
      </c>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5">
    <mergeCell ref="A7:I7"/>
    <mergeCell ref="B22:I22"/>
    <mergeCell ref="AH5:AL5"/>
    <mergeCell ref="C2:E2"/>
    <mergeCell ref="A5:C5"/>
    <mergeCell ref="B14:I14"/>
    <mergeCell ref="AC5:AG5"/>
    <mergeCell ref="J5:M5"/>
    <mergeCell ref="A3:B3"/>
    <mergeCell ref="G3:H3"/>
    <mergeCell ref="B8:I8"/>
    <mergeCell ref="N5:R5"/>
    <mergeCell ref="I3:J3"/>
    <mergeCell ref="A2:B2"/>
    <mergeCell ref="D5:I5"/>
    <mergeCell ref="C3:E3"/>
    <mergeCell ref="X5:AB5"/>
    <mergeCell ref="B37:I37"/>
    <mergeCell ref="A4:B4"/>
    <mergeCell ref="G4:H4"/>
    <mergeCell ref="I4:J4"/>
    <mergeCell ref="AM5:AP5"/>
    <mergeCell ref="B24:I24"/>
    <mergeCell ref="S5:W5"/>
    <mergeCell ref="C4:E4"/>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4.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TC_06</t>
        </is>
      </c>
      <c r="D2" s="233" t="n"/>
      <c r="E2" s="231" t="n"/>
    </row>
    <row r="3" ht="15" customHeight="1" s="225">
      <c r="A3" s="414" t="inlineStr">
        <is>
          <t>Tên chức năng</t>
        </is>
      </c>
      <c r="B3" s="231" t="n"/>
      <c r="C3" s="415" t="inlineStr">
        <is>
          <t>Bảng tin &amp; Chi tiết tin</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Bảng tin &amp; Chi tiết tin</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Bảng tin — Danh sách tin đăng</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REQ-ASN-010</t>
        </is>
      </c>
      <c r="C9" s="426" t="inlineStr">
        <is>
          <t>DOC-v1.0-02 §3.3</t>
        </is>
      </c>
      <c r="D9" s="426" t="inlineStr">
        <is>
          <t>UI</t>
        </is>
      </c>
      <c r="E9" s="426" t="inlineStr">
        <is>
          <t>Medium</t>
        </is>
      </c>
      <c r="F9" s="427" t="inlineStr">
        <is>
          <t>Check đầy đủ + đúng 5 trường hiển thị trên 1 card tại màn Bảng tin</t>
        </is>
      </c>
      <c r="G9" s="427" t="inlineStr">
        <is>
          <t>Đã đăng nhập app FoxPro (FoxEco SDK), Bảng tin có ít nhất 1 tin ở trạng thái "Chờ ghép"</t>
        </is>
      </c>
      <c r="H9" s="427" t="inlineStr">
        <is>
          <t>1. Mở app FoxEco
2. Bấm tab "Bảng tin" tại bottom nav
3. Quan sát 1 card tin bất kỳ trong danh sách</t>
        </is>
      </c>
      <c r="I9" s="427" t="inlineStr">
        <is>
          <t>3. Card hiển thị đủ 5 trường: (1) icon/ảnh hàng, (2) loại hàng | giá trị hàng, (3) thời gian đăng (dạng rút gọn), (4) "Nhận:" / "Giao:" (lộ trình rút gọn), (5) khung giờ mong muốn — không thiếu trường nào, không trường nào rỗng bất thường</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 | Badge "Tin của bạn" là trường hiển thị CÓ ĐIỀU KIỆN → tách riêng 2 TC EP kế tiếp, không gộp vào TC completeness này</t>
        </is>
      </c>
    </row>
    <row r="10" ht="60" customHeight="1" s="225">
      <c r="A10" s="426">
        <f>IF(C10="","",$C$2&amp;"."&amp;COUNTA($C$8:C10)&amp;"")</f>
        <v/>
      </c>
      <c r="B10" s="426" t="inlineStr">
        <is>
          <t>REQ-ASN-010</t>
        </is>
      </c>
      <c r="C10" s="426" t="inlineStr">
        <is>
          <t>DOC-v1.0-02 §3.3</t>
        </is>
      </c>
      <c r="D10" s="426" t="inlineStr">
        <is>
          <t>UI</t>
        </is>
      </c>
      <c r="E10" s="426" t="inlineStr">
        <is>
          <t>Medium</t>
        </is>
      </c>
      <c r="F10" s="427" t="inlineStr">
        <is>
          <t>Check badge "Tin của bạn" hiển thị trên card của tin do chính user đăng</t>
        </is>
      </c>
      <c r="G10" s="427" t="inlineStr">
        <is>
          <t>User đã đăng ít nhất 1 tin đang ở trạng thái "Chờ ghép", tin đó có mặt trong Bảng tin</t>
        </is>
      </c>
      <c r="H10" s="427" t="inlineStr">
        <is>
          <t>1. Mở app FoxEco
2. Bấm tab "Bảng tin" tại bottom nav
3. Tìm card của tin do chính user vừa đăng và quan sát badge trên card</t>
        </is>
      </c>
      <c r="I10" s="427" t="inlineStr">
        <is>
          <t>3. Card của tin do chính user đăng CÓ hiển thị badge "Tin của bạn"</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Technique: EP-own-post</t>
        </is>
      </c>
    </row>
    <row r="11" ht="60" customHeight="1" s="225">
      <c r="A11" s="426">
        <f>IF(C11="","",$C$2&amp;"."&amp;COUNTA($C$8:C11)&amp;"")</f>
        <v/>
      </c>
      <c r="B11" s="426" t="inlineStr">
        <is>
          <t>REQ-ASN-010</t>
        </is>
      </c>
      <c r="C11" s="426" t="inlineStr">
        <is>
          <t>DOC-v1.0-02 §3.3</t>
        </is>
      </c>
      <c r="D11" s="426" t="inlineStr">
        <is>
          <t>UI</t>
        </is>
      </c>
      <c r="E11" s="426" t="inlineStr">
        <is>
          <t>Medium</t>
        </is>
      </c>
      <c r="F11" s="427" t="inlineStr">
        <is>
          <t>Check badge "Tin của bạn" KHÔNG hiển thị trên card của tin do người khác đăng</t>
        </is>
      </c>
      <c r="G11" s="427" t="inlineStr">
        <is>
          <t>Bảng tin có ít nhất 1 tin do tài khoản KHÁC đăng, đang ở trạng thái "Chờ ghép"</t>
        </is>
      </c>
      <c r="H11" s="427" t="inlineStr">
        <is>
          <t>1. Mở app FoxEco
2. Bấm tab "Bảng tin" tại bottom nav
3. Tìm card của tin do người khác đăng và quan sát badge trên card</t>
        </is>
      </c>
      <c r="I11" s="427" t="inlineStr">
        <is>
          <t>3. Card của tin do người khác đăng KHÔNG hiển thị badge "Tin của bạn"</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inlineStr">
        <is>
          <t>Technique: EP-other-post</t>
        </is>
      </c>
    </row>
    <row r="12" ht="60" customHeight="1" s="225">
      <c r="A12" s="426">
        <f>IF(C12="","",$C$2&amp;"."&amp;COUNTA($C$8:C12)&amp;"")</f>
        <v/>
      </c>
      <c r="B12" s="426" t="inlineStr">
        <is>
          <t>REQ-ASN-010</t>
        </is>
      </c>
      <c r="C12" s="426" t="inlineStr">
        <is>
          <t>DOC-v1.0-02 §3.3</t>
        </is>
      </c>
      <c r="D12" s="426" t="inlineStr">
        <is>
          <t>Functional</t>
        </is>
      </c>
      <c r="E12" s="426" t="inlineStr">
        <is>
          <t>High</t>
        </is>
      </c>
      <c r="F12" s="427" t="inlineStr">
        <is>
          <t>Check bấm 1 card trong Bảng tin mở đúng màn Chi tiết tin của tin đó</t>
        </is>
      </c>
      <c r="G12" s="427" t="inlineStr">
        <is>
          <t>Bảng tin có ít nhất 1 tin ở trạng thái "Chờ ghép"</t>
        </is>
      </c>
      <c r="H12" s="427" t="inlineStr">
        <is>
          <t>1. Mở app FoxEco
2. Bấm tab "Bảng tin" tại bottom nav
3. Bấm vào 1 card tin bất kỳ trong danh sách</t>
        </is>
      </c>
      <c r="I12" s="427" t="inlineStr">
        <is>
          <t>3. Điều hướng sang màn "Chi tiết tin" của đúng tin vừa bấm — loại hàng, giá trị, lộ trình "Nhận:"/"Giao:" và khung giờ khớp với nội dung hiển thị trên card</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n"/>
    </row>
    <row r="13" ht="60" customHeight="1" s="225">
      <c r="A13" s="426">
        <f>IF(C13="","",$C$2&amp;"."&amp;COUNTA($C$8:C13)&amp;"")</f>
        <v/>
      </c>
      <c r="B13" s="426" t="inlineStr">
        <is>
          <t>REQ-ASN-003, REQ-ASN-009</t>
        </is>
      </c>
      <c r="C13" s="426" t="inlineStr">
        <is>
          <t>DOC-v1.0-01 §D3/§D7 (ASN-03, OPR-03/OPR-08)</t>
        </is>
      </c>
      <c r="D13" s="426" t="inlineStr">
        <is>
          <t>UI</t>
        </is>
      </c>
      <c r="E13" s="426" t="inlineStr">
        <is>
          <t>Medium</t>
        </is>
      </c>
      <c r="F13" s="427" t="inlineStr">
        <is>
          <t>Check tin ở trạng thái "Chờ ghép" hiển thị trong danh sách Bảng tin</t>
        </is>
      </c>
      <c r="G13" s="427" t="inlineStr">
        <is>
          <t>Vừa có 1 tin NEED được đăng thành công, đang ở trạng thái "Chờ ghép", chưa ai nhận</t>
        </is>
      </c>
      <c r="H13" s="427" t="inlineStr">
        <is>
          <t>1. Mở app FoxEco
2. Bấm tab "Bảng tin" tại bottom nav
3. Tìm tin vừa đăng trong danh sách</t>
        </is>
      </c>
      <c r="I13" s="427" t="inlineStr">
        <is>
          <t>3. Tin vừa đăng xuất hiện trong danh sách Bảng tin và mở được màn Chi tiết tin</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ST-posted (baseline trạng thái trước chuyển) — đối chứng cho ST-posted-matched ở TC kế tiếp</t>
        </is>
      </c>
    </row>
    <row r="14" ht="60" customHeight="1" s="225">
      <c r="A14" s="426">
        <f>IF(C14="","",$C$2&amp;"."&amp;COUNTA($C$8:C14)&amp;"")</f>
        <v/>
      </c>
      <c r="B14" s="426" t="inlineStr">
        <is>
          <t>REQ-ASN-003, REQ-ASN-009</t>
        </is>
      </c>
      <c r="C14" s="426" t="inlineStr">
        <is>
          <t>DOC-v1.0-01 §D3/§D7 (ASN-03, OPR-03/OPR-08)</t>
        </is>
      </c>
      <c r="D14" s="426" t="inlineStr">
        <is>
          <t>Functional</t>
        </is>
      </c>
      <c r="E14" s="426" t="inlineStr">
        <is>
          <t>High</t>
        </is>
      </c>
      <c r="F14" s="427" t="inlineStr">
        <is>
          <t>Check tin biến mất khỏi Bảng tin ngay sau khi có người ghép</t>
        </is>
      </c>
      <c r="G14" s="427" t="inlineStr">
        <is>
          <t>Tin đang ở "Chờ ghép" và hiển thị trong Bảng tin; 1 Carrier khác vừa xác nhận mang giúp (tin chuyển "Đã ghép")</t>
        </is>
      </c>
      <c r="H14" s="427" t="inlineStr">
        <is>
          <t>1. Mở app FoxEco bằng tài khoản Carrier thứ hai (không phải người vừa ghép)
2. Bấm tab "Bảng tin" tại bottom nav
3. Tìm lại tin vừa được ghép trong danh sách</t>
        </is>
      </c>
      <c r="I14" s="427" t="inlineStr">
        <is>
          <t>3. Tin KHÔNG còn xuất hiện trong danh sách Bảng tin</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ST-posted-matched (hiệu ứng trên bề mặt Bảng tin)</t>
        </is>
      </c>
    </row>
    <row r="15" ht="60" customHeight="1" s="225">
      <c r="A15" s="426">
        <f>IF(C15="","",$C$2&amp;"."&amp;COUNTA($C$8:C15)&amp;"")</f>
        <v/>
      </c>
      <c r="B15" s="426" t="inlineStr">
        <is>
          <t>REQ-ASN-003, REQ-ASN-009</t>
        </is>
      </c>
      <c r="C15" s="426" t="inlineStr">
        <is>
          <t>DOC-v1.0-01 §D3/§D7 (ASN-03, OPR-03/OPR-08)</t>
        </is>
      </c>
      <c r="D15" s="426" t="inlineStr">
        <is>
          <t>Functional</t>
        </is>
      </c>
      <c r="E15" s="426" t="inlineStr">
        <is>
          <t>High</t>
        </is>
      </c>
      <c r="F15" s="427" t="inlineStr">
        <is>
          <t>Check không thao tác được "Tôi mang giúp được" trên tin đã có người ghép</t>
        </is>
      </c>
      <c r="G15" s="427" t="inlineStr">
        <is>
          <t>1 tin vừa chuyển sang trạng thái "Đã ghép"; Carrier thứ hai vẫn đang mở sẵn màn Chi tiết tin của tin đó (mở từ trước khi ghép)</t>
        </is>
      </c>
      <c r="H15" s="427" t="inlineStr">
        <is>
          <t>1. Mở app FoxEco bằng tài khoản Carrier thứ hai, mở màn Chi tiết tin của tin đang "Chờ ghép"
2. Chờ Carrier khác xác nhận mang giúp tin đó (tin chuyển "Đã ghép")
3. Bấm nút "Tôi mang giúp được" trên màn đang mở</t>
        </is>
      </c>
      <c r="I15" s="427" t="inlineStr">
        <is>
          <t>3. Hệ thống KHÔNG cho ghép — hiển thị thông báo tin đã có người nhận; trạng thái đơn giữ nguyên "Đã ghép" với Carrier đầu tiên, không bị ghi đè</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IF($A15="","",IF(OR($N15="Yes",$S15="Yes",$X15="Yes",$AC15="Yes",$AH15="Yes"),"Yes","No"))</f>
        <v/>
      </c>
      <c r="AN15" s="430">
        <f>IF($A15="","",IFERROR(IF($AI15&lt;&gt;"",$AI15,IF($AD15&lt;&gt;"",$AD15,IF($Y15&lt;&gt;"",$Y15,IF($T15&lt;&gt;"",$T15,IF($O15&lt;&gt;"",$O15,""))))),""))</f>
        <v/>
      </c>
      <c r="AO15" s="430">
        <f>IFERROR(IF($AJ15&lt;&gt;"",$AJ15,IF($AE15&lt;&gt;"",$AE15,IF($Z15&lt;&gt;"",$Z15,IF($U15&lt;&gt;"",$U15,IF($P15&lt;&gt;"",$P15,""))))),"")</f>
        <v/>
      </c>
      <c r="AP15" s="431" t="inlineStr">
        <is>
          <t>Technique: ST-invalid-matched-accept (transition không hợp lệ từ state MATCHED)</t>
        </is>
      </c>
    </row>
    <row r="16" ht="60" customHeight="1" s="225">
      <c r="A16" s="426">
        <f>IF(C16="","",$C$2&amp;"."&amp;COUNTA($C$8:C16)&amp;"")</f>
        <v/>
      </c>
      <c r="B16" s="426" t="inlineStr">
        <is>
          <t>REQ-ASN-009, REQ-ORD-004</t>
        </is>
      </c>
      <c r="C16" s="426" t="inlineStr">
        <is>
          <t>Quan sát thực tế app STG (QA GiangDC2, chat 2026-07-30)</t>
        </is>
      </c>
      <c r="D16" s="426" t="inlineStr">
        <is>
          <t>Functional</t>
        </is>
      </c>
      <c r="E16" s="426" t="inlineStr">
        <is>
          <t>High</t>
        </is>
      </c>
      <c r="F16" s="427" t="inlineStr">
        <is>
          <t>Check tin biến mất khỏi Bảng tin ngay sau khi tự động chuyển "Hết hạn"</t>
        </is>
      </c>
      <c r="G16" s="427" t="inlineStr">
        <is>
          <t>Tin đang ở "Chờ ghép" và hiển thị trong Bảng tin; tin vừa tự động chuyển "Hết hạn" (quá "Đến ngày" mà chưa ai ghép)</t>
        </is>
      </c>
      <c r="H16" s="427" t="inlineStr">
        <is>
          <t>1. Mở app FoxEco bằng tài khoản Carrier bất kỳ
2. Bấm tab "Bảng tin" tại bottom nav
3. Tìm lại tin vừa "Hết hạn" trong danh sách</t>
        </is>
      </c>
      <c r="I16" s="427" t="inlineStr">
        <is>
          <t>3. Tin KHÔNG còn xuất hiện trong danh sách Bảng tin</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ST-posted-expired (hiệu ứng trên bề mặt Bảng tin) | Bổ sung 2026-07-30 theo yêu cầu user, đóng gap: `TC_06.6` chỉ cover chiều "Đã ghép", chưa cover 2 chiều rời "Chờ ghép" còn lại (Hết hạn/Đã huỷ). Đối chứng khác bề mặt với `TC_01.9` (Hoạt động, verify badge "Hết hạn" hiển thị đúng — đó là màn cá nhân, còn đây là feed công khai).</t>
        </is>
      </c>
    </row>
    <row r="17" ht="60" customHeight="1" s="225">
      <c r="A17" s="426">
        <f>IF(C17="","",$C$2&amp;"."&amp;COUNTA($C$8:C17)&amp;"")</f>
        <v/>
      </c>
      <c r="B17" s="426" t="inlineStr">
        <is>
          <t>REQ-ASN-009, REQ-CNL-001</t>
        </is>
      </c>
      <c r="C17" s="426" t="inlineStr">
        <is>
          <t>Quan sát thực tế app STG (QA GiangDC2, chat 2026-07-30)</t>
        </is>
      </c>
      <c r="D17" s="426" t="inlineStr">
        <is>
          <t>Functional</t>
        </is>
      </c>
      <c r="E17" s="426" t="inlineStr">
        <is>
          <t>High</t>
        </is>
      </c>
      <c r="F17" s="427" t="inlineStr">
        <is>
          <t>Check tin biến mất khỏi Bảng tin ngay sau khi bị Sender huỷ</t>
        </is>
      </c>
      <c r="G17" s="427" t="inlineStr">
        <is>
          <t>Tin đang ở "Chờ ghép" và hiển thị trong Bảng tin; Sender vừa huỷ tin đó (qua popup "Huỷ đơn")</t>
        </is>
      </c>
      <c r="H17" s="427" t="inlineStr">
        <is>
          <t>1. Mở app FoxEco bằng tài khoản Carrier bất kỳ
2. Bấm tab "Bảng tin" tại bottom nav
3. Tìm lại tin vừa bị huỷ trong danh sách</t>
        </is>
      </c>
      <c r="I17" s="427" t="inlineStr">
        <is>
          <t>3. Tin KHÔNG còn xuất hiện trong danh sách Bảng tin</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IF($A16="","",IF(OR($N16="Yes",$S16="Yes",$X16="Yes",$AC16="Yes",$AH16="Yes"),"Yes","No"))</f>
        <v/>
      </c>
      <c r="AN17" s="430">
        <f>IF($A16="","",IFERROR(IF($AI16&lt;&gt;"",$AI16,IF($AD16&lt;&gt;"",$AD16,IF($Y16&lt;&gt;"",$Y16,IF($T16&lt;&gt;"",$T16,IF($O16&lt;&gt;"",$O16,""))))),""))</f>
        <v/>
      </c>
      <c r="AO17" s="430">
        <f>IFERROR(IF($AJ16&lt;&gt;"",$AJ16,IF($AE16&lt;&gt;"",$AE16,IF($Z16&lt;&gt;"",$Z16,IF($U16&lt;&gt;"",$U16,IF($P16&lt;&gt;"",$P16,""))))),"")</f>
        <v/>
      </c>
      <c r="AP17" s="431" t="inlineStr">
        <is>
          <t>Technique: ST-posted-cancelled (hiệu ứng trên bề mặt Bảng tin) | Bổ sung 2026-07-30 theo yêu cầu user, đóng gap tương tự TC trên. Đối chứng khác bề mặt với `TC_01.21`/`TC_05.21` (Hoạt động/Trang chủ: tin Đã huỷ vẫn hiển thị ở màn CÁ NHÂN của actor) — Bảng tin là feed CÔNG KHAI, phải biến mất ngay khi tin không còn "đang tìm người ghép".</t>
        </is>
      </c>
    </row>
    <row r="18" ht="60" customHeight="1" s="225">
      <c r="A18" s="426">
        <f>IF(C18="","",$C$2&amp;"."&amp;COUNTA($C$8:C18)&amp;"")</f>
        <v/>
      </c>
      <c r="B18" s="426" t="inlineStr">
        <is>
          <t>REQ-ASN-009</t>
        </is>
      </c>
      <c r="C18" s="426" t="inlineStr">
        <is>
          <t>DOC-v1.0-01 §D7 (OPR-08)</t>
        </is>
      </c>
      <c r="D18" s="426" t="inlineStr">
        <is>
          <t>Functional</t>
        </is>
      </c>
      <c r="E18" s="426" t="inlineStr">
        <is>
          <t>Medium</t>
        </is>
      </c>
      <c r="F18" s="427" t="inlineStr">
        <is>
          <t>Check tin quay lại "Chờ ghép" và hiện lại Bảng tin sau khi Carrier huỷ (chưa lấy hàng)</t>
        </is>
      </c>
      <c r="G18" s="427" t="inlineStr">
        <is>
          <t>1 đơn đang ở trạng thái "Đã ghép", Carrier CHƯA bấm "Tôi đã lấy hàng"</t>
        </is>
      </c>
      <c r="H18" s="427" t="inlineStr">
        <is>
          <t>1. Mở app FoxEco bằng tài khoản Carrier đang giữ đơn, huỷ đơn ở trạng thái "Đã ghép"
2. Đăng nhập bằng tài khoản Carrier khác, bấm tab "Bảng tin"
3. Tìm lại tin vừa bị huỷ trong danh sách</t>
        </is>
      </c>
      <c r="I18" s="427" t="inlineStr">
        <is>
          <t>3. Tin quay về trạng thái "Chờ ghép" và xuất hiện trở lại trong danh sách Bảng tin</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IF($A16="","",IF(OR($N16="Yes",$S16="Yes",$X16="Yes",$AC16="Yes",$AH16="Yes"),"Yes","No"))</f>
        <v/>
      </c>
      <c r="AN18" s="430">
        <f>IF($A16="","",IFERROR(IF($AI16&lt;&gt;"",$AI16,IF($AD16&lt;&gt;"",$AD16,IF($Y16&lt;&gt;"",$Y16,IF($T16&lt;&gt;"",$T16,IF($O16&lt;&gt;"",$O16,""))))),""))</f>
        <v/>
      </c>
      <c r="AO18" s="430">
        <f>IFERROR(IF($AJ16&lt;&gt;"",$AJ16,IF($AE16&lt;&gt;"",$AE16,IF($Z16&lt;&gt;"",$Z16,IF($U16&lt;&gt;"",$U16,IF($P16&lt;&gt;"",$P16,""))))),"")</f>
        <v/>
      </c>
      <c r="AP18" s="431" t="inlineStr">
        <is>
          <t>Technique: ST-matched-posted (huỷ trước khi lấy hàng)</t>
        </is>
      </c>
    </row>
    <row r="19" ht="60" customHeight="1" s="225">
      <c r="A19" s="426">
        <f>IF(C19="","",$C$2&amp;"."&amp;COUNTA($C$8:C19)&amp;"")</f>
        <v/>
      </c>
      <c r="B19" s="426" t="inlineStr">
        <is>
          <t>REQ-ASN-009</t>
        </is>
      </c>
      <c r="C19" s="426" t="inlineStr">
        <is>
          <t>DOC-v1.0-01 §D7 (OPR-08)</t>
        </is>
      </c>
      <c r="D19" s="426" t="inlineStr">
        <is>
          <t>Functional</t>
        </is>
      </c>
      <c r="E19" s="426" t="inlineStr">
        <is>
          <t>Medium</t>
        </is>
      </c>
      <c r="F19" s="427" t="inlineStr">
        <is>
          <t>Check tin quay lại Bảng tin được Carrier khác ghép lại thành công</t>
        </is>
      </c>
      <c r="G19" s="427" t="inlineStr">
        <is>
          <t>1 tin vừa quay về "Chờ ghép" do Carrier trước đó huỷ (chưa lấy hàng), đang hiển thị lại trong Bảng tin</t>
        </is>
      </c>
      <c r="H19" s="427" t="inlineStr">
        <is>
          <t>1. Mở app FoxEco bằng tài khoản Carrier khác
2. Bấm tab "Bảng tin", mở Chi tiết tin của tin vừa quay lại
3. Bấm "Tôi mang giúp được" rồi bấm "Xác nhận" trong modal</t>
        </is>
      </c>
      <c r="I19" s="427" t="inlineStr">
        <is>
          <t>3. Ghép thành công — đơn chuyển sang "Đã ghép" với Carrier mới, tin lại ẩn khỏi Bảng tin</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IF($A17="","",IF(OR($N17="Yes",$S17="Yes",$X17="Yes",$AC17="Yes",$AH17="Yes"),"Yes","No"))</f>
        <v/>
      </c>
      <c r="AN19" s="430">
        <f>IF($A17="","",IFERROR(IF($AI17&lt;&gt;"",$AI17,IF($AD17&lt;&gt;"",$AD17,IF($Y17&lt;&gt;"",$Y17,IF($T17&lt;&gt;"",$T17,IF($O17&lt;&gt;"",$O17,""))))),""))</f>
        <v/>
      </c>
      <c r="AO19" s="430">
        <f>IFERROR(IF($AJ17&lt;&gt;"",$AJ17,IF($AE17&lt;&gt;"",$AE17,IF($Z17&lt;&gt;"",$Z17,IF($U17&lt;&gt;"",$U17,IF($P17&lt;&gt;"",$P17,""))))),"")</f>
        <v/>
      </c>
      <c r="AP19" s="431" t="inlineStr">
        <is>
          <t>Technique: ST-reposted-matched (khớp lại sau khi quay về POSTED)</t>
        </is>
      </c>
    </row>
    <row r="20" ht="60" customHeight="1" s="225">
      <c r="A20" s="426">
        <f>IF(C20="","",$C$2&amp;"."&amp;COUNTA($C$8:C20)&amp;"")</f>
        <v/>
      </c>
      <c r="B20" s="426" t="inlineStr">
        <is>
          <t>REQ-ASN-007</t>
        </is>
      </c>
      <c r="C20" s="426" t="inlineStr">
        <is>
          <t>DOC-v1.0-01 §D7 (OPR-04)</t>
        </is>
      </c>
      <c r="D20" s="426" t="inlineStr">
        <is>
          <t>Functional</t>
        </is>
      </c>
      <c r="E20" s="426" t="inlineStr">
        <is>
          <t>Medium</t>
        </is>
      </c>
      <c r="F20" s="427" t="inlineStr">
        <is>
          <t>Check thứ tự tin trong Bảng tin: tin gần tuyến nhất hiển thị trước</t>
        </is>
      </c>
      <c r="G20" s="427" t="inlineStr">
        <is>
          <t>Carrier đã đăng tuyến OFFER; Bảng tin có 3 tin NEED phù hợp với độ gần tuyến KHÁC nhau và cùng thời điểm đăng</t>
        </is>
      </c>
      <c r="H20" s="427" t="inlineStr">
        <is>
          <t>1. Mở app FoxEco
2. Bấm tab "Bảng tin" tại bottom nav
3. Quan sát thứ tự các tin trong danh sách</t>
        </is>
      </c>
      <c r="I20" s="427" t="inlineStr">
        <is>
          <t>3. Danh sách sắp xếp theo độ gần tuyến: tin gần tuyến nhất ở vị trí đầu tiên, tin xa tuyến nhất ở cuối</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IF($A18="","",IF(OR($N18="Yes",$S18="Yes",$X18="Yes",$AC18="Yes",$AH18="Yes"),"Yes","No"))</f>
        <v/>
      </c>
      <c r="AN20" s="430">
        <f>IF($A18="","",IFERROR(IF($AI18&lt;&gt;"",$AI18,IF($AD18&lt;&gt;"",$AD18,IF($Y18&lt;&gt;"",$Y18,IF($T18&lt;&gt;"",$T18,IF($O18&lt;&gt;"",$O18,""))))),""))</f>
        <v/>
      </c>
      <c r="AO20" s="430">
        <f>IFERROR(IF($AJ18&lt;&gt;"",$AJ18,IF($AE18&lt;&gt;"",$AE18,IF($Z18&lt;&gt;"",$Z18,IF($U18&lt;&gt;"",$U18,IF($P18&lt;&gt;"",$P18,""))))),"")</f>
        <v/>
      </c>
      <c r="AP20" s="431" t="inlineStr">
        <is>
          <t>Technique: DT-rule1 (độ gần tuyến khác nhau → sắp theo độ gần) | Cần bổ sung test data trong catalog</t>
        </is>
      </c>
    </row>
    <row r="21" ht="60" customHeight="1" s="225">
      <c r="A21" s="426">
        <f>IF(C21="","",$C$2&amp;"."&amp;COUNTA($C$8:C21)&amp;"")</f>
        <v/>
      </c>
      <c r="B21" s="426" t="inlineStr">
        <is>
          <t>REQ-ASN-007</t>
        </is>
      </c>
      <c r="C21" s="426" t="inlineStr">
        <is>
          <t>DOC-v1.0-01 §D7 (OPR-04)</t>
        </is>
      </c>
      <c r="D21" s="426" t="inlineStr">
        <is>
          <t>Functional</t>
        </is>
      </c>
      <c r="E21" s="426" t="inlineStr">
        <is>
          <t>Medium</t>
        </is>
      </c>
      <c r="F21" s="427" t="inlineStr">
        <is>
          <t>Check thứ tự tin trong Bảng tin khi độ gần tuyến bằng nhau: tin đăng mới hơn hiển thị trước</t>
        </is>
      </c>
      <c r="G21" s="427" t="inlineStr">
        <is>
          <t>Carrier đã đăng tuyến OFFER; Bảng tin có 2 tin NEED CÙNG độ gần tuyến nhưng thời điểm đăng khác nhau</t>
        </is>
      </c>
      <c r="H21" s="427" t="inlineStr">
        <is>
          <t>1. Mở app FoxEco
2. Bấm tab "Bảng tin" tại bottom nav
3. Quan sát thứ tự 2 tin trong danh sách</t>
        </is>
      </c>
      <c r="I21" s="427" t="inlineStr">
        <is>
          <t>3. Tin có thời điểm đăng mới hơn hiển thị trước tin đăng cũ hơn</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IF($A19="","",IF(OR($N19="Yes",$S19="Yes",$X19="Yes",$AC19="Yes",$AH19="Yes"),"Yes","No"))</f>
        <v/>
      </c>
      <c r="AN21" s="430">
        <f>IF($A19="","",IFERROR(IF($AI19&lt;&gt;"",$AI19,IF($AD19&lt;&gt;"",$AD19,IF($Y19&lt;&gt;"",$Y19,IF($T19&lt;&gt;"",$T19,IF($O19&lt;&gt;"",$O19,""))))),""))</f>
        <v/>
      </c>
      <c r="AO21" s="430">
        <f>IFERROR(IF($AJ19&lt;&gt;"",$AJ19,IF($AE19&lt;&gt;"",$AE19,IF($Z19&lt;&gt;"",$Z19,IF($U19&lt;&gt;"",$U19,IF($P19&lt;&gt;"",$P19,""))))),"")</f>
        <v/>
      </c>
      <c r="AP21" s="431" t="inlineStr">
        <is>
          <t>Technique: DT-rule2 (độ gần tuyến bằng nhau → sắp theo thời gian đăng mới nhất) | Cần bổ sung test data trong catalog</t>
        </is>
      </c>
    </row>
    <row r="22" ht="20" customHeight="1" s="225">
      <c r="A22" s="426" t="n"/>
      <c r="B22" s="432" t="inlineStr">
        <is>
          <t>Block Chi tiết tin — Thông tin hàng</t>
        </is>
      </c>
      <c r="C22" s="233" t="n"/>
      <c r="D22" s="233" t="n"/>
      <c r="E22" s="233" t="n"/>
      <c r="F22" s="233" t="n"/>
      <c r="G22" s="233" t="n"/>
      <c r="H22" s="233" t="n"/>
      <c r="I22" s="231" t="n"/>
      <c r="J22" s="426" t="n"/>
      <c r="K22" s="426" t="n"/>
      <c r="L22" s="426" t="n"/>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t="n"/>
      <c r="AN22" s="430" t="n"/>
      <c r="AO22" s="430" t="n"/>
      <c r="AP22" s="431" t="n"/>
    </row>
    <row r="23" ht="60" customHeight="1" s="225">
      <c r="A23" s="426">
        <f>IF(C23="","",$C$2&amp;"."&amp;COUNTA($C$8:C23)&amp;"")</f>
        <v/>
      </c>
      <c r="B23" s="426" t="inlineStr">
        <is>
          <t>REQ-ORD-001</t>
        </is>
      </c>
      <c r="C23" s="426" t="inlineStr">
        <is>
          <t>Quan sát thực tế app STG (QA GiangDC2, chat 2026-07-30)</t>
        </is>
      </c>
      <c r="D23" s="426" t="inlineStr">
        <is>
          <t>UI</t>
        </is>
      </c>
      <c r="E23" s="426" t="inlineStr">
        <is>
          <t>Low</t>
        </is>
      </c>
      <c r="F23" s="427" t="inlineStr">
        <is>
          <t>Check icon quay lại tại màn Chi tiết tin</t>
        </is>
      </c>
      <c r="G23" s="427" t="inlineStr">
        <is>
          <t>Bảng tin có ít nhất 1 tin ở trạng thái "Chờ ghép"</t>
        </is>
      </c>
      <c r="H23" s="427" t="inlineStr">
        <is>
          <t>1. Mở app FoxEco
2. Bấm tab "Bảng tin" tại bottom nav
3. Bấm vào 1 card bất kỳ để mở màn Chi tiết tin
4. Bấm icon quay lại (←) ở Header</t>
        </is>
      </c>
      <c r="I23" s="427" t="inlineStr">
        <is>
          <t>4. Điều hướng đúng về màn Bảng tin (màn vừa mở Chi tiết tin từ đó)</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IF($A19="","",IF(OR($N19="Yes",$S19="Yes",$X19="Yes",$AC19="Yes",$AH19="Yes"),"Yes","No"))</f>
        <v/>
      </c>
      <c r="AN23" s="430">
        <f>IF($A19="","",IFERROR(IF($AI19&lt;&gt;"",$AI19,IF($AD19&lt;&gt;"",$AD19,IF($Y19&lt;&gt;"",$Y19,IF($T19&lt;&gt;"",$T19,IF($O19&lt;&gt;"",$O19,""))))),""))</f>
        <v/>
      </c>
      <c r="AO23" s="430">
        <f>IFERROR(IF($AJ19&lt;&gt;"",$AJ19,IF($AE19&lt;&gt;"",$AE19,IF($Z19&lt;&gt;"",$Z19,IF($U19&lt;&gt;"",$U19,IF($P19&lt;&gt;"",$P19,""))))),"")</f>
        <v/>
      </c>
      <c r="AP23" s="431" t="inlineStr">
        <is>
          <t>Technique: EP-back-icon. Bổ sung 2026-07-30 theo yêu cầu user (QA GiangDC2 xác nhận trực tiếp trên app STG: icon quay lại tồn tại và hoạt động đúng ở màn này) — phát hiện khi quét lại toàn bộ TC-MASTER, kiểm tra completeness icon Back cho từng màn hình.</t>
        </is>
      </c>
    </row>
    <row r="24" ht="60" customHeight="1" s="225">
      <c r="A24" s="426">
        <f>IF(C24="","",$C$2&amp;"."&amp;COUNTA($C$8:C24)&amp;"")</f>
        <v/>
      </c>
      <c r="B24" s="426" t="inlineStr">
        <is>
          <t>REQ-ORD-001</t>
        </is>
      </c>
      <c r="C24" s="426" t="inlineStr">
        <is>
          <t>DOC-v1.0-02 §3.4 Table 5</t>
        </is>
      </c>
      <c r="D24" s="426" t="inlineStr">
        <is>
          <t>UI</t>
        </is>
      </c>
      <c r="E24" s="426" t="inlineStr">
        <is>
          <t>Medium</t>
        </is>
      </c>
      <c r="F24" s="427" t="inlineStr">
        <is>
          <t>Check đầy đủ + đúng 3 trường hiển thị tại block "Thông tin hàng" màn Chi tiết tin</t>
        </is>
      </c>
      <c r="G24" s="427" t="inlineStr">
        <is>
          <t>Bảng tin có ít nhất 1 tin "Chờ ghép" do người khác đăng, tin có đủ ảnh và ghi chú</t>
        </is>
      </c>
      <c r="H24" s="427" t="inlineStr">
        <is>
          <t>1. Mở app FoxEco
2. Bấm tab "Bảng tin", bấm vào 1 tin để mở màn Chi tiết tin
3. Quan sát block "Thông tin hàng"</t>
        </is>
      </c>
      <c r="I24" s="427" t="inlineStr">
        <is>
          <t>3. Block "Thông tin hàng" hiển thị đủ 3 trường: (1) ảnh sản phẩm, (2) Loại hàng và Giá trị (bố cục 2 cột), (3) Ghi chú — không thiếu trường nào</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IF($A21="","",IF(OR($N21="Yes",$S21="Yes",$X21="Yes",$AC21="Yes",$AH21="Yes"),"Yes","No"))</f>
        <v/>
      </c>
      <c r="AN24" s="430">
        <f>IF($A21="","",IFERROR(IF($AI21&lt;&gt;"",$AI21,IF($AD21&lt;&gt;"",$AD21,IF($Y21&lt;&gt;"",$Y21,IF($T21&lt;&gt;"",$T21,IF($O21&lt;&gt;"",$O21,""))))),""))</f>
        <v/>
      </c>
      <c r="AO24" s="430">
        <f>IFERROR(IF($AJ21&lt;&gt;"",$AJ21,IF($AE21&lt;&gt;"",$AE21,IF($Z21&lt;&gt;"",$Z21,IF($U21&lt;&gt;"",$U21,IF($P21&lt;&gt;"",$P21,""))))),"")</f>
        <v/>
      </c>
      <c r="AP24" s="431" t="inlineStr">
        <is>
          <t>Field/column completeness check — auto-derived (xem generate.md Step 3b)</t>
        </is>
      </c>
    </row>
    <row r="25" ht="60" customHeight="1" s="225">
      <c r="A25" s="426">
        <f>IF(C25="","",$C$2&amp;"."&amp;COUNTA($C$8:C25)&amp;"")</f>
        <v/>
      </c>
      <c r="B25" s="426" t="inlineStr">
        <is>
          <t>REQ-ORD-001</t>
        </is>
      </c>
      <c r="C25" s="426" t="inlineStr">
        <is>
          <t>DOC-v1.0-02 §3.4 Table 5</t>
        </is>
      </c>
      <c r="D25" s="426" t="inlineStr">
        <is>
          <t>UI</t>
        </is>
      </c>
      <c r="E25" s="426" t="inlineStr">
        <is>
          <t>Low</t>
        </is>
      </c>
      <c r="F25" s="427" t="inlineStr">
        <is>
          <t>Check ảnh sản phẩm hiển thị đúng ảnh đã tải lên khi tin có kèm ảnh</t>
        </is>
      </c>
      <c r="G25" s="427" t="inlineStr">
        <is>
          <t>Tin được đăng có kèm đúng 1 ảnh hàng hợp lệ đã biết trước nội dung — file [TBD: ảnh mẫu, vd "hang-tai-lieu.jpg" — JPG, 1.2MB], khác rõ rệt với ảnh mặc định của hệ thống</t>
        </is>
      </c>
      <c r="H25" s="427" t="inlineStr">
        <is>
          <t>1. Mở app FoxEco
2. Bấm tab "Bảng tin", bấm vào 1 tin để mở màn Chi tiết tin
3. Quan sát ảnh sản phẩm tại block "Thông tin hàng"</t>
        </is>
      </c>
      <c r="I25" s="427" t="inlineStr">
        <is>
          <t>3. Ảnh sản phẩm hiển thị đúng nội dung của chính file ảnh đã tải lên lúc đăng tin (đối chiếu trực quan với file gốc ở Pre-condition), KHÔNG phải ảnh minh hoạ mặc định của hệ thống</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IF($A22="","",IF(OR($N22="Yes",$S22="Yes",$X22="Yes",$AC22="Yes",$AH22="Yes"),"Yes","No"))</f>
        <v/>
      </c>
      <c r="AN25" s="430">
        <f>IF($A22="","",IFERROR(IF($AI22&lt;&gt;"",$AI22,IF($AD22&lt;&gt;"",$AD22,IF($Y22&lt;&gt;"",$Y22,IF($T22&lt;&gt;"",$T22,IF($O22&lt;&gt;"",$O22,""))))),""))</f>
        <v/>
      </c>
      <c r="AO25" s="430">
        <f>IFERROR(IF($AJ22&lt;&gt;"",$AJ22,IF($AE22&lt;&gt;"",$AE22,IF($Z22&lt;&gt;"",$Z22,IF($U22&lt;&gt;"",$U22,IF($P22&lt;&gt;"",$P22,""))))),"")</f>
        <v/>
      </c>
      <c r="AP25" s="431" t="inlineStr">
        <is>
          <t>Technique: EP-with-image | Cần bổ sung test data trong catalog (catalog chưa có bộ ảnh hàng mẫu để đối chiếu trực quan — xem test_data_catalog.md §Fixture)</t>
        </is>
      </c>
    </row>
    <row r="26" ht="60" customHeight="1" s="225">
      <c r="A26" s="426">
        <f>IF(C26="","",$C$2&amp;"."&amp;COUNTA($C$8:C26)&amp;"")</f>
        <v/>
      </c>
      <c r="B26" s="426" t="inlineStr">
        <is>
          <t>REQ-ORD-001</t>
        </is>
      </c>
      <c r="C26" s="426" t="inlineStr">
        <is>
          <t>DOC-v1.0-02 §3.4 Table 5</t>
        </is>
      </c>
      <c r="D26" s="426" t="inlineStr">
        <is>
          <t>UI</t>
        </is>
      </c>
      <c r="E26" s="426" t="inlineStr">
        <is>
          <t>Low</t>
        </is>
      </c>
      <c r="F26" s="427" t="inlineStr">
        <is>
          <t>Check ảnh sản phẩm hiển thị ảnh mặc định khi tin không tải ảnh</t>
        </is>
      </c>
      <c r="G26" s="427" t="inlineStr">
        <is>
          <t>Tin được đăng KHÔNG kèm ảnh hàng nào</t>
        </is>
      </c>
      <c r="H26" s="427" t="inlineStr">
        <is>
          <t>1. Mở app FoxEco
2. Bấm tab "Bảng tin", bấm vào 1 tin để mở màn Chi tiết tin
3. Quan sát ảnh sản phẩm tại block "Thông tin hàng"</t>
        </is>
      </c>
      <c r="I26" s="427" t="inlineStr">
        <is>
          <t>3. Hiển thị ảnh minh hoạ mặc định của hệ thống, không để khoảng trống/lỗi render ảnh</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IF($A23="","",IF(OR($N23="Yes",$S23="Yes",$X23="Yes",$AC23="Yes",$AH23="Yes"),"Yes","No"))</f>
        <v/>
      </c>
      <c r="AN26" s="430">
        <f>IF($A23="","",IFERROR(IF($AI23&lt;&gt;"",$AI23,IF($AD23&lt;&gt;"",$AD23,IF($Y23&lt;&gt;"",$Y23,IF($T23&lt;&gt;"",$T23,IF($O23&lt;&gt;"",$O23,""))))),""))</f>
        <v/>
      </c>
      <c r="AO26" s="430">
        <f>IFERROR(IF($AJ23&lt;&gt;"",$AJ23,IF($AE23&lt;&gt;"",$AE23,IF($Z23&lt;&gt;"",$Z23,IF($U23&lt;&gt;"",$U23,IF($P23&lt;&gt;"",$P23,""))))),"")</f>
        <v/>
      </c>
      <c r="AP26" s="431" t="inlineStr">
        <is>
          <t>Technique: EP-no-image</t>
        </is>
      </c>
    </row>
    <row r="27" ht="60" customHeight="1" s="225">
      <c r="A27" s="426">
        <f>IF(C27="","",$C$2&amp;"."&amp;COUNTA($C$8:C27)&amp;"")</f>
        <v/>
      </c>
      <c r="B27" s="426" t="inlineStr">
        <is>
          <t>REQ-ORD-001</t>
        </is>
      </c>
      <c r="C27" s="426" t="inlineStr">
        <is>
          <t>DOC-v1.0-02 §3.4 Table 5</t>
        </is>
      </c>
      <c r="D27" s="426" t="inlineStr">
        <is>
          <t>UI</t>
        </is>
      </c>
      <c r="E27" s="426" t="inlineStr">
        <is>
          <t>Medium</t>
        </is>
      </c>
      <c r="F27" s="427" t="inlineStr">
        <is>
          <t>Check nội dung Chi tiết tin khớp đúng dữ liệu đã nhập lúc đăng tin</t>
        </is>
      </c>
      <c r="G27" s="427" t="inlineStr">
        <is>
          <t>Vừa đăng 1 tin NEED với dữ liệu đã biết trước: Loại hàng "Tài liệu", Giá trị "thấp", Ghi chú "gọi trước khi tới"</t>
        </is>
      </c>
      <c r="H27" s="427" t="inlineStr">
        <is>
          <t>1. Mở app FoxEco
2. Bấm tab "Bảng tin", bấm vào 1 tin để mở màn Chi tiết tin
3. Đối chiếu từng trường trên Chi tiết tin với dữ liệu đã nhập lúc đăng</t>
        </is>
      </c>
      <c r="I27" s="427" t="inlineStr">
        <is>
          <t>3. Loại hàng hiển thị "Tài liệu", Giá trị hiển thị "thấp", Ghi chú hiển thị "gọi trước khi tới" — khớp chính xác dữ liệu đã nhập, không bị cắt/đổi</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IF($A24="","",IF(OR($N24="Yes",$S24="Yes",$X24="Yes",$AC24="Yes",$AH24="Yes"),"Yes","No"))</f>
        <v/>
      </c>
      <c r="AN27" s="430">
        <f>IF($A24="","",IFERROR(IF($AI24&lt;&gt;"",$AI24,IF($AD24&lt;&gt;"",$AD24,IF($Y24&lt;&gt;"",$Y24,IF($T24&lt;&gt;"",$T24,IF($O24&lt;&gt;"",$O24,""))))),""))</f>
        <v/>
      </c>
      <c r="AO27" s="430">
        <f>IFERROR(IF($AJ24&lt;&gt;"",$AJ24,IF($AE24&lt;&gt;"",$AE24,IF($Z24&lt;&gt;"",$Z24,IF($U24&lt;&gt;"",$U24,IF($P24&lt;&gt;"",$P24,""))))),"")</f>
        <v/>
      </c>
      <c r="AP27" s="431" t="n"/>
    </row>
    <row r="28" ht="20" customHeight="1" s="225">
      <c r="A28" s="426" t="n"/>
      <c r="B28" s="432" t="inlineStr">
        <is>
          <t>Block Chi tiết tin — Lộ trình &amp; liên hệ</t>
        </is>
      </c>
      <c r="C28" s="233" t="n"/>
      <c r="D28" s="233" t="n"/>
      <c r="E28" s="233" t="n"/>
      <c r="F28" s="233" t="n"/>
      <c r="G28" s="233" t="n"/>
      <c r="H28" s="233" t="n"/>
      <c r="I28" s="231" t="n"/>
      <c r="J28" s="426" t="n"/>
      <c r="K28" s="426" t="n"/>
      <c r="L28" s="426" t="n"/>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t="n"/>
      <c r="AN28" s="430" t="n"/>
      <c r="AO28" s="430" t="n"/>
      <c r="AP28" s="431" t="n"/>
    </row>
    <row r="29" ht="60" customHeight="1" s="225">
      <c r="A29" s="426">
        <f>IF(C29="","",$C$2&amp;"."&amp;COUNTA($C$8:C29)&amp;"")</f>
        <v/>
      </c>
      <c r="B29" s="426" t="inlineStr">
        <is>
          <t>REQ-ORD-001, REQ-ASN-002</t>
        </is>
      </c>
      <c r="C29" s="426" t="inlineStr">
        <is>
          <t>DOC-v1.0-02 §3.4 Table 5</t>
        </is>
      </c>
      <c r="D29" s="426" t="inlineStr">
        <is>
          <t>UI</t>
        </is>
      </c>
      <c r="E29" s="426" t="inlineStr">
        <is>
          <t>Medium</t>
        </is>
      </c>
      <c r="F29" s="427" t="inlineStr">
        <is>
          <t>Check đầy đủ + đúng 4 nhóm thông tin tại block "Lộ trình &amp; liên hệ" màn Chi tiết tin</t>
        </is>
      </c>
      <c r="G29" s="427" t="inlineStr">
        <is>
          <t>Tin đang ở trạng thái "Chờ ghép", người xem là Carrier (không phải chủ tin)</t>
        </is>
      </c>
      <c r="H29" s="427" t="inlineStr">
        <is>
          <t>1. Mở app FoxEco
2. Bấm tab "Bảng tin", bấm vào 1 tin để mở màn Chi tiết tin
3. Quan sát block "Lộ trình &amp; liên hệ"</t>
        </is>
      </c>
      <c r="I29" s="427" t="inlineStr">
        <is>
          <t>3. Block hiển thị đủ 4 nhóm: (1) Lộ trình gồm điểm Lấy hàng + điểm Giao hàng + khung "Bản đồ · ~X km", (2) Khung giờ mong muốn giao nhận, (3) Người gửi — hiển thị Tên (SĐT và nút "Gọi" CHƯA khả dụng khi tin còn "Chờ ghép", theo BR-CON-02/C-ASN-01), (4) nút "Tôi mang giúp được"</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IF($A26="","",IF(OR($N26="Yes",$S26="Yes",$X26="Yes",$AC26="Yes",$AH26="Yes"),"Yes","No"))</f>
        <v/>
      </c>
      <c r="AN29" s="430">
        <f>IF($A26="","",IFERROR(IF($AI26&lt;&gt;"",$AI26,IF($AD26&lt;&gt;"",$AD26,IF($Y26&lt;&gt;"",$Y26,IF($T26&lt;&gt;"",$T26,IF($O26&lt;&gt;"",$O26,""))))),""))</f>
        <v/>
      </c>
      <c r="AO29" s="430">
        <f>IFERROR(IF($AJ26&lt;&gt;"",$AJ26,IF($AE26&lt;&gt;"",$AE26,IF($Z26&lt;&gt;"",$Z26,IF($U26&lt;&gt;"",$U26,IF($P26&lt;&gt;"",$P26,""))))),"")</f>
        <v/>
      </c>
      <c r="AP29" s="431" t="inlineStr">
        <is>
          <t>Field/column completeness check — auto-derived (xem generate.md Step 3b) | Trường SĐT + nút "Gọi" chỉ khả dụng SAU khi ghép (BR-CON-02, C-ASN-01 Resolved) — xem TC regression SĐT không lộ + TC lộ SĐT sau ghép</t>
        </is>
      </c>
    </row>
    <row r="30" ht="60" customHeight="1" s="225">
      <c r="A30" s="426">
        <f>IF(C30="","",$C$2&amp;"."&amp;COUNTA($C$8:C30)&amp;"")</f>
        <v/>
      </c>
      <c r="B30" s="426" t="inlineStr">
        <is>
          <t>REQ-ORD-001</t>
        </is>
      </c>
      <c r="C30" s="426" t="inlineStr">
        <is>
          <t>DOC-v1.0-02 §3.4 Table 5</t>
        </is>
      </c>
      <c r="D30" s="426" t="inlineStr">
        <is>
          <t>UI</t>
        </is>
      </c>
      <c r="E30" s="426" t="inlineStr">
        <is>
          <t>Low</t>
        </is>
      </c>
      <c r="F30" s="427" t="inlineStr">
        <is>
          <t>Check khung "Bản đồ · ~X km" hiển thị đúng dạng placeholder tĩnh</t>
        </is>
      </c>
      <c r="G30" s="427" t="inlineStr">
        <is>
          <t>Tin đang ở trạng thái "Chờ ghép" với 2 địa chỉ lấy/giao khác nhau</t>
        </is>
      </c>
      <c r="H30" s="427" t="inlineStr">
        <is>
          <t>1. Mở app FoxEco
2. Bấm tab "Bảng tin", bấm vào 1 tin để mở màn Chi tiết tin
3. Quan sát khung bản đồ trong block "Lộ trình &amp; liên hệ" và thử bấm vào khung đó</t>
        </is>
      </c>
      <c r="I30" s="427" t="inlineStr">
        <is>
          <t>3. Khung hiển thị đúng dạng text "Bản đồ · ~[N] km"; đây là placeholder tĩnh — bấm vào KHÔNG mở bản đồ thật, không phát sinh điều hướng</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IF($A27="","",IF(OR($N27="Yes",$S27="Yes",$X27="Yes",$AC27="Yes",$AH27="Yes"),"Yes","No"))</f>
        <v/>
      </c>
      <c r="AN30" s="430">
        <f>IF($A27="","",IFERROR(IF($AI27&lt;&gt;"",$AI27,IF($AD27&lt;&gt;"",$AD27,IF($Y27&lt;&gt;"",$Y27,IF($T27&lt;&gt;"",$T27,IF($O27&lt;&gt;"",$O27,""))))),""))</f>
        <v/>
      </c>
      <c r="AO30" s="430">
        <f>IFERROR(IF($AJ27&lt;&gt;"",$AJ27,IF($AE27&lt;&gt;"",$AE27,IF($Z27&lt;&gt;"",$Z27,IF($U27&lt;&gt;"",$U27,IF($P27&lt;&gt;"",$P27,""))))),"")</f>
        <v/>
      </c>
      <c r="AP30" s="431" t="n"/>
    </row>
    <row r="31" ht="60" customHeight="1" s="225">
      <c r="A31" s="426">
        <f>IF(C31="","",$C$2&amp;"."&amp;COUNTA($C$8:C31)&amp;"")</f>
        <v/>
      </c>
      <c r="B31" s="426" t="inlineStr">
        <is>
          <t>REQ-ASN-003</t>
        </is>
      </c>
      <c r="C31" s="426" t="inlineStr">
        <is>
          <t>DOC-v1.0-01 §A5 (BR-CON-02)</t>
        </is>
      </c>
      <c r="D31" s="426" t="inlineStr">
        <is>
          <t>UI</t>
        </is>
      </c>
      <c r="E31" s="426" t="inlineStr">
        <is>
          <t>High</t>
        </is>
      </c>
      <c r="F31" s="427" t="inlineStr">
        <is>
          <t>Check SĐT người gửi KHÔNG hiển thị tại Chi tiết tin khi tin còn "Chờ ghép"</t>
        </is>
      </c>
      <c r="G31" s="427" t="inlineStr">
        <is>
          <t>Tin đang ở trạng thái "Chờ ghép", chưa có ai xác nhận mang giúp; người xem là Carrier khác (không phải chủ tin)</t>
        </is>
      </c>
      <c r="H31" s="427" t="inlineStr">
        <is>
          <t>1. Mở app FoxEco
2. Bấm tab "Bảng tin", bấm vào 1 tin để mở màn Chi tiết tin
3. Quan sát phần thông tin "Người gửi" trong block "Lộ trình &amp; liên hệ"</t>
        </is>
      </c>
      <c r="I31" s="427" t="inlineStr">
        <is>
          <t>3. SĐT của Người gửi KHÔNG hiển thị (chỉ hiện Tên) và nút "Gọi" không khả dụng</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IF($A28="","",IF(OR($N28="Yes",$S28="Yes",$X28="Yes",$AC28="Yes",$AH28="Yes"),"Yes","No"))</f>
        <v/>
      </c>
      <c r="AN31" s="430">
        <f>IF($A28="","",IFERROR(IF($AI28&lt;&gt;"",$AI28,IF($AD28&lt;&gt;"",$AD28,IF($Y28&lt;&gt;"",$Y28,IF($T28&lt;&gt;"",$T28,IF($O28&lt;&gt;"",$O28,""))))),""))</f>
        <v/>
      </c>
      <c r="AO31" s="430">
        <f>IFERROR(IF($AJ28&lt;&gt;"",$AJ28,IF($AE28&lt;&gt;"",$AE28,IF($Z28&lt;&gt;"",$Z28,IF($U28&lt;&gt;"",$U28,IF($P28&lt;&gt;"",$P28,""))))),"")</f>
        <v/>
      </c>
      <c r="AP31" s="431" t="inlineStr">
        <is>
          <t>Regression theo rule chính thức BR-CON-02 / C-ASN-01 (Resolved 2026-07-27) — bản demo hiện tại có thể lộ SĐT sớm (là BUG), TC này chủ đích bắt gap đó</t>
        </is>
      </c>
    </row>
    <row r="32" ht="20" customHeight="1" s="225">
      <c r="A32" s="426" t="n"/>
      <c r="B32" s="432" t="inlineStr">
        <is>
          <t>Block Chi tiết tin — Nút hành động vận chuyển</t>
        </is>
      </c>
      <c r="C32" s="233" t="n"/>
      <c r="D32" s="233" t="n"/>
      <c r="E32" s="233" t="n"/>
      <c r="F32" s="233" t="n"/>
      <c r="G32" s="233" t="n"/>
      <c r="H32" s="233" t="n"/>
      <c r="I32" s="231" t="n"/>
      <c r="J32" s="426" t="n"/>
      <c r="K32" s="426" t="n"/>
      <c r="L32" s="426" t="n"/>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t="n"/>
      <c r="AN32" s="430" t="n"/>
      <c r="AO32" s="430" t="n"/>
      <c r="AP32" s="431" t="n"/>
    </row>
    <row r="33" ht="60" customHeight="1" s="225">
      <c r="A33" s="426">
        <f>IF(C33="","",$C$2&amp;"."&amp;COUNTA($C$8:C33)&amp;"")</f>
        <v/>
      </c>
      <c r="B33" s="426" t="inlineStr">
        <is>
          <t>REQ-ASN-001</t>
        </is>
      </c>
      <c r="C33" s="426" t="inlineStr">
        <is>
          <t>DOC-v1.0-01 §D3 (ASN-01) + DOC-v1.0-02 §4.2</t>
        </is>
      </c>
      <c r="D33" s="426" t="inlineStr">
        <is>
          <t>Functional</t>
        </is>
      </c>
      <c r="E33" s="426" t="inlineStr">
        <is>
          <t>High</t>
        </is>
      </c>
      <c r="F33" s="427" t="inlineStr">
        <is>
          <t>Check bấm "Tôi mang giúp được" khi tin còn "Chờ ghép" mở modal xác nhận</t>
        </is>
      </c>
      <c r="G33" s="427" t="inlineStr">
        <is>
          <t>Tin đang ở "Chờ ghép"; người xem là Carrier, KHÔNG phải chủ tin và KHÔNG phải Người nhận của đơn</t>
        </is>
      </c>
      <c r="H33" s="427" t="inlineStr">
        <is>
          <t>1. Mở app FoxEco
2. Bấm tab "Bảng tin", bấm vào 1 tin để mở màn Chi tiết tin
3. Bấm nút "Tôi mang giúp được"</t>
        </is>
      </c>
      <c r="I33" s="427" t="inlineStr">
        <is>
          <t>3. Hiển thị modal "Xác nhận mang giúp"; đơn CHƯA đổi trạng thái (vẫn "Chờ ghép") cho tới khi bấm Xác nhận</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IF($A30="","",IF(OR($N30="Yes",$S30="Yes",$X30="Yes",$AC30="Yes",$AH30="Yes"),"Yes","No"))</f>
        <v/>
      </c>
      <c r="AN33" s="430">
        <f>IF($A30="","",IFERROR(IF($AI30&lt;&gt;"",$AI30,IF($AD30&lt;&gt;"",$AD30,IF($Y30&lt;&gt;"",$Y30,IF($T30&lt;&gt;"",$T30,IF($O30&lt;&gt;"",$O30,""))))),""))</f>
        <v/>
      </c>
      <c r="AO33" s="430">
        <f>IFERROR(IF($AJ30&lt;&gt;"",$AJ30,IF($AE30&lt;&gt;"",$AE30,IF($Z30&lt;&gt;"",$Z30,IF($U30&lt;&gt;"",$U30,IF($P30&lt;&gt;"",$P30,""))))),"")</f>
        <v/>
      </c>
      <c r="AP33" s="431" t="n"/>
    </row>
    <row r="34" ht="60" customHeight="1" s="225">
      <c r="A34" s="426">
        <f>IF(C34="","",$C$2&amp;"."&amp;COUNTA($C$8:C34)&amp;"")</f>
        <v/>
      </c>
      <c r="B34" s="426" t="inlineStr">
        <is>
          <t>REQ-ASN-001</t>
        </is>
      </c>
      <c r="C34" s="426" t="inlineStr">
        <is>
          <t>DOC-v1.0-01 §D3 (ASN-01) + DOC-v1.0-02 §4.2</t>
        </is>
      </c>
      <c r="D34" s="426" t="inlineStr">
        <is>
          <t>Functional</t>
        </is>
      </c>
      <c r="E34" s="426" t="inlineStr">
        <is>
          <t>Medium</t>
        </is>
      </c>
      <c r="F34" s="427" t="inlineStr">
        <is>
          <t>Check Sender nhận được thông báo push + in-app khi Carrier gửi đề nghị mang giúp</t>
        </is>
      </c>
      <c r="G34" s="427" t="inlineStr">
        <is>
          <t>Carrier vừa xác nhận mang giúp 1 tin của Sender; thiết bị của Sender đang bật thông báo</t>
        </is>
      </c>
      <c r="H34" s="427" t="inlineStr">
        <is>
          <t>1. Trên thiết bị Carrier: mở Chi tiết tin của tin "Chờ ghép", bấm "Tôi mang giúp được" rồi "Xác nhận"
2. Chuyển sang thiết bị của Sender (chủ tin)
3. Quan sát thông báo push và danh sách thông báo in-app</t>
        </is>
      </c>
      <c r="I34" s="427" t="inlineStr">
        <is>
          <t>3. Sender nhận được cả thông báo push lẫn thông báo in-app về đề nghị mang giúp của Carrier đó</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IF($A31="","",IF(OR($N31="Yes",$S31="Yes",$X31="Yes",$AC31="Yes",$AH31="Yes"),"Yes","No"))</f>
        <v/>
      </c>
      <c r="AN34" s="430">
        <f>IF($A31="","",IFERROR(IF($AI31&lt;&gt;"",$AI31,IF($AD31&lt;&gt;"",$AD31,IF($Y31&lt;&gt;"",$Y31,IF($T31&lt;&gt;"",$T31,IF($O31&lt;&gt;"",$O31,""))))),""))</f>
        <v/>
      </c>
      <c r="AO34" s="430">
        <f>IFERROR(IF($AJ31&lt;&gt;"",$AJ31,IF($AE31&lt;&gt;"",$AE31,IF($Z31&lt;&gt;"",$Z31,IF($U31&lt;&gt;"",$U31,IF($P31&lt;&gt;"",$P31,""))))),"")</f>
        <v/>
      </c>
      <c r="AP34" s="431" t="n"/>
    </row>
    <row r="35" ht="60" customHeight="1" s="225">
      <c r="A35" s="426">
        <f>IF(C35="","",$C$2&amp;"."&amp;COUNTA($C$8:C35)&amp;"")</f>
        <v/>
      </c>
      <c r="B35" s="426" t="inlineStr">
        <is>
          <t>REQ-ASN-008</t>
        </is>
      </c>
      <c r="C35" s="426" t="inlineStr">
        <is>
          <t>DOC-v1.0-01 §D7 (OPR-05) + DOC-v1.0-02 §3.3</t>
        </is>
      </c>
      <c r="D35" s="426" t="inlineStr">
        <is>
          <t>UI</t>
        </is>
      </c>
      <c r="E35" s="426" t="inlineStr">
        <is>
          <t>High</t>
        </is>
      </c>
      <c r="F35" s="427" t="inlineStr">
        <is>
          <t>Check nút "Tôi mang giúp được" ẨN/disable khi người xem chính là chủ tin</t>
        </is>
      </c>
      <c r="G35" s="427" t="inlineStr">
        <is>
          <t>Tin do chính user đang đăng nhập đăng (vai trò Sender), tin đang ở "Chờ ghép"</t>
        </is>
      </c>
      <c r="H35" s="427" t="inlineStr">
        <is>
          <t>1. Mở app FoxEco bằng tài khoản đã đăng tin
2. Bấm tab "Bảng tin", mở Chi tiết tin của chính tin mình đăng
3. Quan sát vùng nút hành động vận chuyển</t>
        </is>
      </c>
      <c r="I35" s="427" t="inlineStr">
        <is>
          <t>3. Nút "Tôi mang giúp được" bị ẩn hoặc disable — chủ tin KHÔNG tự nhận mang giúp tin của mình được</t>
        </is>
      </c>
      <c r="J35" s="426" t="inlineStr">
        <is>
          <t>AI</t>
        </is>
      </c>
      <c r="K35" s="426" t="inlineStr">
        <is>
          <t>Pending</t>
        </is>
      </c>
      <c r="L35" s="426" t="inlineStr">
        <is>
          <t>No</t>
        </is>
      </c>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f>IF($A32="","",IF(OR($N32="Yes",$S32="Yes",$X32="Yes",$AC32="Yes",$AH32="Yes"),"Yes","No"))</f>
        <v/>
      </c>
      <c r="AN35" s="430">
        <f>IF($A32="","",IFERROR(IF($AI32&lt;&gt;"",$AI32,IF($AD32&lt;&gt;"",$AD32,IF($Y32&lt;&gt;"",$Y32,IF($T32&lt;&gt;"",$T32,IF($O32&lt;&gt;"",$O32,""))))),""))</f>
        <v/>
      </c>
      <c r="AO35" s="430">
        <f>IFERROR(IF($AJ32&lt;&gt;"",$AJ32,IF($AE32&lt;&gt;"",$AE32,IF($Z32&lt;&gt;"",$Z32,IF($U32&lt;&gt;"",$U32,IF($P32&lt;&gt;"",$P32,""))))),"")</f>
        <v/>
      </c>
      <c r="AP35" s="431" t="inlineStr">
        <is>
          <t>Technique: EP-viewer-owner | Regression theo OPR-05 / C-ASN-02 (Resolved 2026-07-27) — bản demo hiện tại vi phạm rule này (DOC-v1.0-02 §3.3 Lưu ý ⚠), TC chủ đích bắt gap</t>
        </is>
      </c>
    </row>
    <row r="36" ht="60" customHeight="1" s="225">
      <c r="A36" s="426">
        <f>IF(C36="","",$C$2&amp;"."&amp;COUNTA($C$8:C36)&amp;"")</f>
        <v/>
      </c>
      <c r="B36" s="426" t="inlineStr">
        <is>
          <t>REQ-ASN-008</t>
        </is>
      </c>
      <c r="C36" s="426" t="inlineStr">
        <is>
          <t>DOC-v1.0-01 §D7 (OPR-05) + DOC-v1.0-02 §3.3</t>
        </is>
      </c>
      <c r="D36" s="426" t="inlineStr">
        <is>
          <t>UI</t>
        </is>
      </c>
      <c r="E36" s="426" t="inlineStr">
        <is>
          <t>High</t>
        </is>
      </c>
      <c r="F36" s="427" t="inlineStr">
        <is>
          <t>Check nút "Tôi mang giúp được" ẨN/disable khi người xem là Người nhận của đơn</t>
        </is>
      </c>
      <c r="G36" s="427" t="inlineStr">
        <is>
          <t>Tin đang ở "Chờ ghép"; user đang đăng nhập là Người nhận (Receiver) được khai báo trên chính tin đó</t>
        </is>
      </c>
      <c r="H36" s="427" t="inlineStr">
        <is>
          <t>1. Mở app FoxEco bằng tài khoản là Người nhận của tin
2. Bấm tab "Bảng tin", mở Chi tiết tin của tin đó
3. Quan sát vùng nút hành động vận chuyển</t>
        </is>
      </c>
      <c r="I36" s="427" t="inlineStr">
        <is>
          <t>3. Nút "Tôi mang giúp được" bị ẩn hoặc disable — Người nhận KHÔNG đồng thời làm người vận chuyển của cùng đơn</t>
        </is>
      </c>
      <c r="J36" s="426" t="inlineStr">
        <is>
          <t>AI</t>
        </is>
      </c>
      <c r="K36" s="426" t="inlineStr">
        <is>
          <t>Pending</t>
        </is>
      </c>
      <c r="L36" s="426" t="inlineStr">
        <is>
          <t>No</t>
        </is>
      </c>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f>IF($A33="","",IF(OR($N33="Yes",$S33="Yes",$X33="Yes",$AC33="Yes",$AH33="Yes"),"Yes","No"))</f>
        <v/>
      </c>
      <c r="AN36" s="430">
        <f>IF($A33="","",IFERROR(IF($AI33&lt;&gt;"",$AI33,IF($AD33&lt;&gt;"",$AD33,IF($Y33&lt;&gt;"",$Y33,IF($T33&lt;&gt;"",$T33,IF($O33&lt;&gt;"",$O33,""))))),""))</f>
        <v/>
      </c>
      <c r="AO36" s="430">
        <f>IFERROR(IF($AJ33&lt;&gt;"",$AJ33,IF($AE33&lt;&gt;"",$AE33,IF($Z33&lt;&gt;"",$Z33,IF($U33&lt;&gt;"",$U33,IF($P33&lt;&gt;"",$P33,""))))),"")</f>
        <v/>
      </c>
      <c r="AP36" s="431" t="inlineStr">
        <is>
          <t>Technique: EP-viewer-receiver | Regression theo OPR-05 / C-ASN-02 (Resolved 2026-07-27)</t>
        </is>
      </c>
    </row>
    <row r="37" ht="60" customHeight="1" s="225">
      <c r="A37" s="426">
        <f>IF(C37="","",$C$2&amp;"."&amp;COUNTA($C$8:C37)&amp;"")</f>
        <v/>
      </c>
      <c r="B37" s="426" t="inlineStr">
        <is>
          <t>REQ-ASN-008</t>
        </is>
      </c>
      <c r="C37" s="426" t="inlineStr">
        <is>
          <t>DOC-v1.0-01 §D7 (OPR-05) + DOC-v1.0-02 §3.3</t>
        </is>
      </c>
      <c r="D37" s="426" t="inlineStr">
        <is>
          <t>UI</t>
        </is>
      </c>
      <c r="E37" s="426" t="inlineStr">
        <is>
          <t>Medium</t>
        </is>
      </c>
      <c r="F37" s="427" t="inlineStr">
        <is>
          <t>Check nút "Tôi mang giúp được" HIỂN THỊ khi người xem là bên thứ ba</t>
        </is>
      </c>
      <c r="G37" s="427" t="inlineStr">
        <is>
          <t>Tin đang ở "Chờ ghép"; user đang đăng nhập KHÔNG phải chủ tin và KHÔNG phải Người nhận của đơn</t>
        </is>
      </c>
      <c r="H37" s="427" t="inlineStr">
        <is>
          <t>1. Mở app FoxEco
2. Bấm tab "Bảng tin", bấm vào 1 tin để mở màn Chi tiết tin
3. Quan sát vùng nút hành động vận chuyển</t>
        </is>
      </c>
      <c r="I37" s="427" t="inlineStr">
        <is>
          <t>3. Nút "Tôi mang giúp được" hiển thị bình thường và bấm được</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IF($A34="","",IF(OR($N34="Yes",$S34="Yes",$X34="Yes",$AC34="Yes",$AH34="Yes"),"Yes","No"))</f>
        <v/>
      </c>
      <c r="AN37" s="430">
        <f>IF($A34="","",IFERROR(IF($AI34&lt;&gt;"",$AI34,IF($AD34&lt;&gt;"",$AD34,IF($Y34&lt;&gt;"",$Y34,IF($T34&lt;&gt;"",$T34,IF($O34&lt;&gt;"",$O34,""))))),""))</f>
        <v/>
      </c>
      <c r="AO37" s="430">
        <f>IFERROR(IF($AJ34&lt;&gt;"",$AJ34,IF($AE34&lt;&gt;"",$AE34,IF($Z34&lt;&gt;"",$Z34,IF($U34&lt;&gt;"",$U34,IF($P34&lt;&gt;"",$P34,""))))),"")</f>
        <v/>
      </c>
      <c r="AP37" s="431" t="inlineStr">
        <is>
          <t>Technique: EP-viewer-third-party (partition hợp lệ, đối chứng cho 2 partition bị cấm ở trên)</t>
        </is>
      </c>
    </row>
    <row r="38" ht="60" customHeight="1" s="225">
      <c r="A38" s="426">
        <f>IF(C38="","",$C$2&amp;"."&amp;COUNTA($C$8:C38)&amp;"")</f>
        <v/>
      </c>
      <c r="B38" s="426" t="inlineStr">
        <is>
          <t>REQ-ASN-008</t>
        </is>
      </c>
      <c r="C38" s="426" t="inlineStr">
        <is>
          <t>DOC-v1.0-01 §D7 (OPR-05) + DOC-v1.0-02 §3.3</t>
        </is>
      </c>
      <c r="D38" s="426" t="inlineStr">
        <is>
          <t>UI</t>
        </is>
      </c>
      <c r="E38" s="426" t="inlineStr">
        <is>
          <t>Medium</t>
        </is>
      </c>
      <c r="F38" s="427" t="inlineStr">
        <is>
          <t>Check tin do chính user đăng VẪN hiển thị bình thường trong danh sách Bảng tin</t>
        </is>
      </c>
      <c r="G38" s="427" t="inlineStr">
        <is>
          <t>User đã đăng ít nhất 1 tin đang ở trạng thái "Chờ ghép"</t>
        </is>
      </c>
      <c r="H38" s="427" t="inlineStr">
        <is>
          <t>1. Mở app FoxEco
2. Bấm tab "Bảng tin" tại bottom nav
3. Tìm tin do chính user đăng trong danh sách</t>
        </is>
      </c>
      <c r="I38" s="427" t="inlineStr">
        <is>
          <t>3. Tin do chính user đăng VẪN xuất hiện trong danh sách Bảng tin (chỉ nút "Tôi mang giúp được" ở Chi tiết tin bị ẩn/disable, tin KHÔNG bị ẩn khỏi feed)</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IF($A35="","",IF(OR($N35="Yes",$S35="Yes",$X35="Yes",$AC35="Yes",$AH35="Yes"),"Yes","No"))</f>
        <v/>
      </c>
      <c r="AN38" s="430">
        <f>IF($A35="","",IFERROR(IF($AI35&lt;&gt;"",$AI35,IF($AD35&lt;&gt;"",$AD35,IF($Y35&lt;&gt;"",$Y35,IF($T35&lt;&gt;"",$T35,IF($O35&lt;&gt;"",$O35,""))))),""))</f>
        <v/>
      </c>
      <c r="AO38" s="430">
        <f>IFERROR(IF($AJ35&lt;&gt;"",$AJ35,IF($AE35&lt;&gt;"",$AE35,IF($Z35&lt;&gt;"",$Z35,IF($U35&lt;&gt;"",$U35,IF($P35&lt;&gt;"",$P35,""))))),"")</f>
        <v/>
      </c>
      <c r="AP38" s="431" t="inlineStr">
        <is>
          <t>Đối chứng phân biệt phạm vi OPR-05: cấm ở tầng NÚT HÀNH ĐỘNG, không phải ẩn tin khỏi danh sách (xem Analyst Note Block "Danh sách tin đăng", test_scenario_map.md)</t>
        </is>
      </c>
    </row>
    <row r="39" ht="60" customHeight="1" s="225">
      <c r="A39" s="426">
        <f>IF(C39="","",$C$2&amp;"."&amp;COUNTA($C$8:C39)&amp;"")</f>
        <v/>
      </c>
      <c r="B39" s="426" t="inlineStr">
        <is>
          <t>REQ-ASN-004</t>
        </is>
      </c>
      <c r="C39" s="426" t="inlineStr">
        <is>
          <t>DOC-v1.0-01 §D3/§D4 (MTCH-01, BR-MTCH-01)</t>
        </is>
      </c>
      <c r="D39" s="426" t="inlineStr">
        <is>
          <t>Functional</t>
        </is>
      </c>
      <c r="E39" s="426" t="inlineStr">
        <is>
          <t>Medium</t>
        </is>
      </c>
      <c r="F39" s="427" t="inlineStr">
        <is>
          <t>Check Carrier bấm "Nhận giao" từ thông báo khớp tuyến → đơn chuyển "Đã ghép"</t>
        </is>
      </c>
      <c r="G39" s="427" t="inlineStr">
        <is>
          <t>Carrier đã đăng tuyến OFFER và vừa nhận thông báo khớp tuyến về 1 tin NEED phù hợp</t>
        </is>
      </c>
      <c r="H39" s="427" t="inlineStr">
        <is>
          <t>1. Mở app FoxEco bằng tài khoản Carrier, mở màn Thông báo
2. Bấm thông báo khớp tuyến để mở Chi tiết tin của tin NEED phù hợp
3. Bấm "Nhận giao" và xác nhận</t>
        </is>
      </c>
      <c r="I39" s="427" t="inlineStr">
        <is>
          <t>3. Đơn chuyển sang trạng thái "Đã ghép", liên hệ 2 bên được lộ và Carrier vào được màn Theo dõi đơn</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IF($A36="","",IF(OR($N36="Yes",$S36="Yes",$X36="Yes",$AC36="Yes",$AH36="Yes"),"Yes","No"))</f>
        <v/>
      </c>
      <c r="AN39" s="430">
        <f>IF($A36="","",IFERROR(IF($AI36&lt;&gt;"",$AI36,IF($AD36&lt;&gt;"",$AD36,IF($Y36&lt;&gt;"",$Y36,IF($T36&lt;&gt;"",$T36,IF($O36&lt;&gt;"",$O36,""))))),""))</f>
        <v/>
      </c>
      <c r="AO39" s="430">
        <f>IFERROR(IF($AJ36&lt;&gt;"",$AJ36,IF($AE36&lt;&gt;"",$AE36,IF($Z36&lt;&gt;"",$Z36,IF($U36&lt;&gt;"",$U36,IF($P36&lt;&gt;"",$P36,""))))),"")</f>
        <v/>
      </c>
      <c r="AP39" s="431" t="inlineStr">
        <is>
          <t>⚠ Thuộc nhánh auto-match tuyến OFFER↔NEED — `Project_rule.md` Phase 1 Scope liệt kê nhánh này là NGOÀI phạm vi Phase 1 (PM chưa trả lời dứt điểm). Giữ TC để không mất coverage `SC-ASN-007`, đánh dấu chờ PM chốt scope trước khi đưa vào vòng chạy</t>
        </is>
      </c>
    </row>
    <row r="40" ht="20" customHeight="1" s="225">
      <c r="A40" s="426" t="n"/>
      <c r="B40" s="432" t="inlineStr">
        <is>
          <t>Block Modal xác nhận mang giúp</t>
        </is>
      </c>
      <c r="C40" s="233" t="n"/>
      <c r="D40" s="233" t="n"/>
      <c r="E40" s="233" t="n"/>
      <c r="F40" s="233" t="n"/>
      <c r="G40" s="233" t="n"/>
      <c r="H40" s="233" t="n"/>
      <c r="I40" s="231" t="n"/>
      <c r="J40" s="426" t="n"/>
      <c r="K40" s="426" t="n"/>
      <c r="L40" s="426" t="n"/>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t="n"/>
      <c r="AN40" s="430" t="n"/>
      <c r="AO40" s="430" t="n"/>
      <c r="AP40" s="431" t="n"/>
    </row>
    <row r="41" ht="60" customHeight="1" s="225">
      <c r="A41" s="426">
        <f>IF(C41="","",$C$2&amp;"."&amp;COUNTA($C$8:C41)&amp;"")</f>
        <v/>
      </c>
      <c r="B41" s="426" t="inlineStr">
        <is>
          <t>REQ-ASN-002</t>
        </is>
      </c>
      <c r="C41" s="426" t="inlineStr">
        <is>
          <t>DOC-v1.0-01 §A5 (BR-CON-01/02) + DOC-v1.0-02 §4.2</t>
        </is>
      </c>
      <c r="D41" s="426" t="inlineStr">
        <is>
          <t>UI</t>
        </is>
      </c>
      <c r="E41" s="426" t="inlineStr">
        <is>
          <t>Medium</t>
        </is>
      </c>
      <c r="F41" s="427" t="inlineStr">
        <is>
          <t>Check đầy đủ + đúng 3 thành phần hiển thị tại modal "Xác nhận mang giúp"</t>
        </is>
      </c>
      <c r="G41" s="427" t="inlineStr">
        <is>
          <t>Đang ở Chi tiết tin của 1 tin "Chờ ghép", đã bấm nút "Tôi mang giúp được"</t>
        </is>
      </c>
      <c r="H41" s="427" t="inlineStr">
        <is>
          <t>1. Mở app FoxEco
2. Bấm tab "Bảng tin", mở Chi tiết tin của 1 tin "Chờ ghép"
3. Bấm "Tôi mang giúp được" và quan sát modal vừa hiện</t>
        </is>
      </c>
      <c r="I41" s="427" t="inlineStr">
        <is>
          <t>3. Modal hiển thị đủ 3 thành phần: (1) nội dung cảnh báo SĐT hai bên sẽ được lộ sau khi xác nhận, (2) nút "Huỷ", (3) nút "Xác nhận"</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IF($A38="","",IF(OR($N38="Yes",$S38="Yes",$X38="Yes",$AC38="Yes",$AH38="Yes"),"Yes","No"))</f>
        <v/>
      </c>
      <c r="AN41" s="430">
        <f>IF($A38="","",IFERROR(IF($AI38&lt;&gt;"",$AI38,IF($AD38&lt;&gt;"",$AD38,IF($Y38&lt;&gt;"",$Y38,IF($T38&lt;&gt;"",$T38,IF($O38&lt;&gt;"",$O38,""))))),""))</f>
        <v/>
      </c>
      <c r="AO41" s="430">
        <f>IFERROR(IF($AJ38&lt;&gt;"",$AJ38,IF($AE38&lt;&gt;"",$AE38,IF($Z38&lt;&gt;"",$Z38,IF($U38&lt;&gt;"",$U38,IF($P38&lt;&gt;"",$P38,""))))),"")</f>
        <v/>
      </c>
      <c r="AP41" s="431" t="inlineStr">
        <is>
          <t>Field/column completeness check — auto-derived (xem generate.md Step 3b)</t>
        </is>
      </c>
    </row>
    <row r="42" ht="60" customHeight="1" s="225">
      <c r="A42" s="426">
        <f>IF(C42="","",$C$2&amp;"."&amp;COUNTA($C$8:C42)&amp;"")</f>
        <v/>
      </c>
      <c r="B42" s="426" t="inlineStr">
        <is>
          <t>REQ-ASN-002</t>
        </is>
      </c>
      <c r="C42" s="426" t="inlineStr">
        <is>
          <t>DOC-v1.0-01 §A5 (BR-CON-01/02) + DOC-v1.0-02 §4.2</t>
        </is>
      </c>
      <c r="D42" s="426" t="inlineStr">
        <is>
          <t>Functional</t>
        </is>
      </c>
      <c r="E42" s="426" t="inlineStr">
        <is>
          <t>Medium</t>
        </is>
      </c>
      <c r="F42" s="427" t="inlineStr">
        <is>
          <t>Check bấm "Huỷ" trong modal xác nhận → đóng modal, đơn KHÔNG đổi trạng thái</t>
        </is>
      </c>
      <c r="G42" s="427" t="inlineStr">
        <is>
          <t>Modal "Xác nhận mang giúp" đang mở trên 1 tin "Chờ ghép"</t>
        </is>
      </c>
      <c r="H42" s="427" t="inlineStr">
        <is>
          <t>1. Mở app FoxEco
2. Bấm tab "Bảng tin", mở Chi tiết tin của 1 tin "Chờ ghép", bấm "Tôi mang giúp được"
3. Bấm nút "Huỷ" trong modal</t>
        </is>
      </c>
      <c r="I42" s="427" t="inlineStr">
        <is>
          <t>3. Modal đóng lại, quay về màn Chi tiết tin; đơn giữ nguyên trạng thái "Chờ ghép", SĐT hai bên KHÔNG bị lộ</t>
        </is>
      </c>
      <c r="J42" s="426" t="inlineStr">
        <is>
          <t>AI</t>
        </is>
      </c>
      <c r="K42" s="426" t="inlineStr">
        <is>
          <t>Pending</t>
        </is>
      </c>
      <c r="L42" s="426" t="inlineStr">
        <is>
          <t>No</t>
        </is>
      </c>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f>IF($A39="","",IF(OR($N39="Yes",$S39="Yes",$X39="Yes",$AC39="Yes",$AH39="Yes"),"Yes","No"))</f>
        <v/>
      </c>
      <c r="AN42" s="430">
        <f>IF($A39="","",IFERROR(IF($AI39&lt;&gt;"",$AI39,IF($AD39&lt;&gt;"",$AD39,IF($Y39&lt;&gt;"",$Y39,IF($T39&lt;&gt;"",$T39,IF($O39&lt;&gt;"",$O39,""))))),""))</f>
        <v/>
      </c>
      <c r="AO42" s="430">
        <f>IFERROR(IF($AJ39&lt;&gt;"",$AJ39,IF($AE39&lt;&gt;"",$AE39,IF($Z39&lt;&gt;"",$Z39,IF($U39&lt;&gt;"",$U39,IF($P39&lt;&gt;"",$P39,""))))),"")</f>
        <v/>
      </c>
      <c r="AP42" s="431" t="inlineStr">
        <is>
          <t>Technique: EP-cancel (partition không xác nhận)</t>
        </is>
      </c>
    </row>
    <row r="43" ht="60" customHeight="1" s="225">
      <c r="A43" s="426">
        <f>IF(C43="","",$C$2&amp;"."&amp;COUNTA($C$8:C43)&amp;"")</f>
        <v/>
      </c>
      <c r="B43" s="426" t="inlineStr">
        <is>
          <t>REQ-ASN-002</t>
        </is>
      </c>
      <c r="C43" s="426" t="inlineStr">
        <is>
          <t>DOC-v1.0-01 §A5 (BR-CON-01/02) + DOC-v1.0-02 §4.2</t>
        </is>
      </c>
      <c r="D43" s="426" t="inlineStr">
        <is>
          <t>Functional</t>
        </is>
      </c>
      <c r="E43" s="426" t="inlineStr">
        <is>
          <t>High</t>
        </is>
      </c>
      <c r="F43" s="427" t="inlineStr">
        <is>
          <t>Check bấm "Xác nhận" trong modal → đơn chuyển "Đã ghép" ngay, không cần chủ tin duyệt</t>
        </is>
      </c>
      <c r="G43" s="427" t="inlineStr">
        <is>
          <t>Modal "Xác nhận mang giúp" đang mở trên 1 tin "Chờ ghép"</t>
        </is>
      </c>
      <c r="H43" s="427" t="inlineStr">
        <is>
          <t>1. Mở app FoxEco bằng tài khoản Carrier
2. Bấm tab "Bảng tin", mở Chi tiết tin của 1 tin "Chờ ghép", bấm "Tôi mang giúp được"
3. Bấm nút "Xác nhận" trong modal</t>
        </is>
      </c>
      <c r="I43" s="427" t="inlineStr">
        <is>
          <t>3. Đơn chuyển sang trạng thái "Đã ghép" NGAY lập tức, không phát sinh bước chờ chủ tin duyệt</t>
        </is>
      </c>
      <c r="J43" s="426" t="inlineStr">
        <is>
          <t>AI</t>
        </is>
      </c>
      <c r="K43" s="426" t="inlineStr">
        <is>
          <t>Pending</t>
        </is>
      </c>
      <c r="L43" s="426" t="inlineStr">
        <is>
          <t>No</t>
        </is>
      </c>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f>IF($A40="","",IF(OR($N40="Yes",$S40="Yes",$X40="Yes",$AC40="Yes",$AH40="Yes"),"Yes","No"))</f>
        <v/>
      </c>
      <c r="AN43" s="430">
        <f>IF($A40="","",IFERROR(IF($AI40&lt;&gt;"",$AI40,IF($AD40&lt;&gt;"",$AD40,IF($Y40&lt;&gt;"",$Y40,IF($T40&lt;&gt;"",$T40,IF($O40&lt;&gt;"",$O40,""))))),""))</f>
        <v/>
      </c>
      <c r="AO43" s="430">
        <f>IFERROR(IF($AJ40&lt;&gt;"",$AJ40,IF($AE40&lt;&gt;"",$AE40,IF($Z40&lt;&gt;"",$Z40,IF($U40&lt;&gt;"",$U40,IF($P40&lt;&gt;"",$P40,""))))),"")</f>
        <v/>
      </c>
      <c r="AP43" s="431" t="inlineStr">
        <is>
          <t>Technique: ST-posted-matched (transition tại modal xác nhận) | EP-confirm (partition xác nhận, cặp với EP-cancel)</t>
        </is>
      </c>
    </row>
    <row r="44" ht="60" customHeight="1" s="225">
      <c r="A44" s="426">
        <f>IF(C44="","",$C$2&amp;"."&amp;COUNTA($C$8:C44)&amp;"")</f>
        <v/>
      </c>
      <c r="B44" s="426" t="inlineStr">
        <is>
          <t>REQ-ASN-002</t>
        </is>
      </c>
      <c r="C44" s="426" t="inlineStr">
        <is>
          <t>DOC-v1.0-01 §A5 (BR-CON-01/02) + DOC-v1.0-02 §4.2</t>
        </is>
      </c>
      <c r="D44" s="426" t="inlineStr">
        <is>
          <t>Functional</t>
        </is>
      </c>
      <c r="E44" s="426" t="inlineStr">
        <is>
          <t>High</t>
        </is>
      </c>
      <c r="F44" s="427" t="inlineStr">
        <is>
          <t>Check SĐT hai bên được lộ và nút "Gọi" khả dụng ngay sau khi ghép</t>
        </is>
      </c>
      <c r="G44" s="427" t="inlineStr">
        <is>
          <t>1 đơn vừa chuyển sang trạng thái "Đã ghép" (Carrier vừa bấm Xác nhận)</t>
        </is>
      </c>
      <c r="H44" s="427" t="inlineStr">
        <is>
          <t>1. Trên thiết bị Carrier: sau khi ghép, mở lại màn chi tiết/theo dõi của đơn vừa ghép
2. Quan sát phần liên hệ của Người gửi
3. Đổi sang thiết bị Sender, mở đơn tương ứng và quan sát phần liên hệ của Carrier</t>
        </is>
      </c>
      <c r="I44" s="427" t="inlineStr">
        <is>
          <t>3. Cả 2 phía đều thấy SĐT của đối phương và nút "Gọi" khả dụng — đúng rule BR-CON-02 (chỉ lộ SAU khi ghép, và chỉ cho đúng 2 người trong cặp ghép)</t>
        </is>
      </c>
      <c r="J44" s="426" t="inlineStr">
        <is>
          <t>AI</t>
        </is>
      </c>
      <c r="K44" s="426" t="inlineStr">
        <is>
          <t>Pending</t>
        </is>
      </c>
      <c r="L44" s="426" t="inlineStr">
        <is>
          <t>No</t>
        </is>
      </c>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f>IF($A41="","",IF(OR($N41="Yes",$S41="Yes",$X41="Yes",$AC41="Yes",$AH41="Yes"),"Yes","No"))</f>
        <v/>
      </c>
      <c r="AN44" s="430">
        <f>IF($A41="","",IFERROR(IF($AI41&lt;&gt;"",$AI41,IF($AD41&lt;&gt;"",$AD41,IF($Y41&lt;&gt;"",$Y41,IF($T41&lt;&gt;"",$T41,IF($O41&lt;&gt;"",$O41,""))))),""))</f>
        <v/>
      </c>
      <c r="AO44" s="430">
        <f>IFERROR(IF($AJ41&lt;&gt;"",$AJ41,IF($AE41&lt;&gt;"",$AE41,IF($Z41&lt;&gt;"",$Z41,IF($U41&lt;&gt;"",$U41,IF($P41&lt;&gt;"",$P41,""))))),"")</f>
        <v/>
      </c>
      <c r="AP44" s="431" t="n"/>
    </row>
    <row r="45" ht="60" customHeight="1" s="225">
      <c r="A45" s="426">
        <f>IF(C45="","",$C$2&amp;"."&amp;COUNTA($C$8:C45)&amp;"")</f>
        <v/>
      </c>
      <c r="B45" s="426" t="inlineStr">
        <is>
          <t>REQ-ASN-002</t>
        </is>
      </c>
      <c r="C45" s="426" t="inlineStr">
        <is>
          <t>DOC-v1.0-01 §A5 (BR-CON-01/02) + DOC-v1.0-02 §4.2</t>
        </is>
      </c>
      <c r="D45" s="426" t="inlineStr">
        <is>
          <t>Functional</t>
        </is>
      </c>
      <c r="E45" s="426" t="inlineStr">
        <is>
          <t>High</t>
        </is>
      </c>
      <c r="F45" s="427" t="inlineStr">
        <is>
          <t>Check cả 3 khung Người gửi/Người vận chuyển/Người nhận đổi trạng thái tức thời sau khi ghép</t>
        </is>
      </c>
      <c r="G45" s="427" t="inlineStr">
        <is>
          <t>3 tài khoản Sender / Carrier / Receiver của cùng 1 đơn đang mở app đồng thời; đơn đang ở "Chờ ghép"</t>
        </is>
      </c>
      <c r="H45" s="427" t="inlineStr">
        <is>
          <t>1. Trên thiết bị Carrier: mở Chi tiết tin, bấm "Tôi mang giúp được" rồi "Xác nhận"
2. Ngay sau đó quan sát màn đơn trên thiết bị Sender
3. Ngay sau đó quan sát màn đơn trên thiết bị Receiver</t>
        </is>
      </c>
      <c r="I45" s="427" t="inlineStr">
        <is>
          <t>3. Cả 3 khung (Người gửi / Người vận chuyển / Người nhận) đều hiển thị trạng thái "Đã ghép" tức thời, không cần thao tác tải lại thủ công</t>
        </is>
      </c>
      <c r="J45" s="426" t="inlineStr">
        <is>
          <t>AI</t>
        </is>
      </c>
      <c r="K45" s="426" t="inlineStr">
        <is>
          <t>Pending</t>
        </is>
      </c>
      <c r="L45" s="426" t="inlineStr">
        <is>
          <t>No</t>
        </is>
      </c>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f>IF($A42="","",IF(OR($N42="Yes",$S42="Yes",$X42="Yes",$AC42="Yes",$AH42="Yes"),"Yes","No"))</f>
        <v/>
      </c>
      <c r="AN45" s="430">
        <f>IF($A42="","",IFERROR(IF($AI42&lt;&gt;"",$AI42,IF($AD42&lt;&gt;"",$AD42,IF($Y42&lt;&gt;"",$Y42,IF($T42&lt;&gt;"",$T42,IF($O42&lt;&gt;"",$O42,""))))),""))</f>
        <v/>
      </c>
      <c r="AO45" s="430">
        <f>IFERROR(IF($AJ42&lt;&gt;"",$AJ42,IF($AE42&lt;&gt;"",$AE42,IF($Z42&lt;&gt;"",$Z42,IF($U42&lt;&gt;"",$U42,IF($P42&lt;&gt;"",$P42,""))))),"")</f>
        <v/>
      </c>
      <c r="AP45" s="431" t="n"/>
    </row>
    <row r="46" ht="60" customHeight="1" s="225">
      <c r="A46" s="426">
        <f>IF(C46="","",$C$2&amp;"."&amp;COUNTA($C$8:C46)&amp;"")</f>
        <v/>
      </c>
      <c r="B46" s="426" t="inlineStr">
        <is>
          <t>REQ-ASN-003</t>
        </is>
      </c>
      <c r="C46" s="426" t="inlineStr">
        <is>
          <t>DOC-v1.0-01 §D3/§D7 (ASN-03, OPR-03)</t>
        </is>
      </c>
      <c r="D46" s="426" t="inlineStr">
        <is>
          <t>Functional</t>
        </is>
      </c>
      <c r="E46" s="426" t="inlineStr">
        <is>
          <t>High</t>
        </is>
      </c>
      <c r="F46" s="427" t="inlineStr">
        <is>
          <t>Check 2 Carrier bấm "Tôi mang giúp được" gần đồng thời → chỉ 1 người ghép thành công</t>
        </is>
      </c>
      <c r="G46" s="427" t="inlineStr">
        <is>
          <t>2 tài khoản Carrier khác nhau cùng mở sẵn màn Chi tiết tin của CÙNG 1 tin đang "Chờ ghép"</t>
        </is>
      </c>
      <c r="H46" s="427" t="inlineStr">
        <is>
          <t>1. Trên cả 2 thiết bị Carrier: bấm "Tôi mang giúp được" để mở modal xác nhận
2. Bấm "Xác nhận" trên cả 2 thiết bị gần như đồng thời
3. Quan sát kết quả trên từng thiết bị</t>
        </is>
      </c>
      <c r="I46" s="427" t="inlineStr">
        <is>
          <t>3. Chỉ 1 Carrier ghép thành công (đơn chuyển "Đã ghép" đúng 1 lần, không tạo 2 bản ghi ghép); Carrier còn lại nhận thông báo tin đã có người nhận và KHÔNG được ghép</t>
        </is>
      </c>
      <c r="J46" s="426" t="inlineStr">
        <is>
          <t>AI</t>
        </is>
      </c>
      <c r="K46" s="426" t="inlineStr">
        <is>
          <t>Pending</t>
        </is>
      </c>
      <c r="L46" s="426" t="inlineStr">
        <is>
          <t>No</t>
        </is>
      </c>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f>IF($A43="","",IF(OR($N43="Yes",$S43="Yes",$X43="Yes",$AC43="Yes",$AH43="Yes"),"Yes","No"))</f>
        <v/>
      </c>
      <c r="AN46" s="430">
        <f>IF($A43="","",IFERROR(IF($AI43&lt;&gt;"",$AI43,IF($AD43&lt;&gt;"",$AD43,IF($Y43&lt;&gt;"",$Y43,IF($T43&lt;&gt;"",$T43,IF($O43&lt;&gt;"",$O43,""))))),""))</f>
        <v/>
      </c>
      <c r="AO46" s="430">
        <f>IFERROR(IF($AJ43&lt;&gt;"",$AJ43,IF($AE43&lt;&gt;"",$AE43,IF($Z43&lt;&gt;"",$Z43,IF($U43&lt;&gt;"",$U43,IF($P43&lt;&gt;"",$P43,""))))),"")</f>
        <v/>
      </c>
      <c r="AP46" s="431" t="inlineStr">
        <is>
          <t>Test integrity quan trọng nhất module (race condition / transaction lock) — cần chạy thủ công đa thiết bị, tham khảo `/vibe-multi`</t>
        </is>
      </c>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5">
    <mergeCell ref="A7:I7"/>
    <mergeCell ref="B22:I22"/>
    <mergeCell ref="AH5:AL5"/>
    <mergeCell ref="C2:E2"/>
    <mergeCell ref="A5:C5"/>
    <mergeCell ref="AC5:AG5"/>
    <mergeCell ref="J5:M5"/>
    <mergeCell ref="A3:B3"/>
    <mergeCell ref="G3:H3"/>
    <mergeCell ref="B8:I8"/>
    <mergeCell ref="N5:R5"/>
    <mergeCell ref="I3:J3"/>
    <mergeCell ref="A2:B2"/>
    <mergeCell ref="D5:I5"/>
    <mergeCell ref="B28:I28"/>
    <mergeCell ref="C3:E3"/>
    <mergeCell ref="X5:AB5"/>
    <mergeCell ref="B40:I40"/>
    <mergeCell ref="A4:B4"/>
    <mergeCell ref="G4:H4"/>
    <mergeCell ref="I4:J4"/>
    <mergeCell ref="AM5:AP5"/>
    <mergeCell ref="S5:W5"/>
    <mergeCell ref="C4:E4"/>
    <mergeCell ref="B32:I32"/>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5.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TC_07</t>
        </is>
      </c>
      <c r="D2" s="233" t="n"/>
      <c r="E2" s="231" t="n"/>
    </row>
    <row r="3" ht="15" customHeight="1" s="225">
      <c r="A3" s="414" t="inlineStr">
        <is>
          <t>Tên chức năng</t>
        </is>
      </c>
      <c r="B3" s="231" t="n"/>
      <c r="C3" s="415" t="inlineStr">
        <is>
          <t>Theo dõi đơn (3 vai trò)</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Theo dõi đơn (3 vai trò)</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Theo dõi đơn (Sender) — Trạng thái &amp; lộ trình</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REQ-DLV-003</t>
        </is>
      </c>
      <c r="C9" s="426" t="inlineStr">
        <is>
          <t>DOC-v1.0-02 §3.6 Table 9</t>
        </is>
      </c>
      <c r="D9" s="426" t="inlineStr">
        <is>
          <t>UI</t>
        </is>
      </c>
      <c r="E9" s="426" t="inlineStr">
        <is>
          <t>Medium</t>
        </is>
      </c>
      <c r="F9" s="427" t="inlineStr">
        <is>
          <t>Check đầy đủ + đúng 5 khối hiển thị tại màn Theo dõi đơn của Người gửi</t>
        </is>
      </c>
      <c r="G9" s="427" t="inlineStr">
        <is>
          <t>Đơn đang ở trạng thái "Đã ghép" (đã có Người vận chuyển nhận)</t>
        </is>
      </c>
      <c r="H9" s="427" t="inlineStr">
        <is>
          <t>1. Mở app FoxEco bằng tài khoản Người gửi (Sender)
2. Bấm tab "Hoạt động", mở đơn cần theo dõi để vào màn "Theo dõi đơn"
3. Quan sát toàn bộ màn Theo dõi đơn từ trên xuống dưới</t>
        </is>
      </c>
      <c r="I9" s="427" t="inlineStr">
        <is>
          <t>3. Màn hiển thị đủ 5 khối: (1) thanh 5 bước trạng thái "Chờ ghép → Lấy hàng → Đang giao → Đã giao → Hoàn thành", (2) Lộ trình (điểm lấy + điểm giao + khung "Bản đồ · ~X km"), (3) Liên hệ Người vận chuyển (tên + SĐT + nút "Gọi"), (4) Lịch sử (timeline mốc sự kiện), (5) nhãn trạng thái ở đáy màn</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t>
        </is>
      </c>
    </row>
    <row r="10" ht="60" customHeight="1" s="225">
      <c r="A10" s="426">
        <f>IF(C10="","",$C$2&amp;"."&amp;COUNTA($C$8:C10)&amp;"")</f>
        <v/>
      </c>
      <c r="B10" s="426" t="inlineStr">
        <is>
          <t>REQ-DLV-003</t>
        </is>
      </c>
      <c r="C10" s="426" t="inlineStr">
        <is>
          <t>DOC-v1.0-02 §3.6 Table 9</t>
        </is>
      </c>
      <c r="D10" s="426" t="inlineStr">
        <is>
          <t>UI</t>
        </is>
      </c>
      <c r="E10" s="426" t="inlineStr">
        <is>
          <t>Medium</t>
        </is>
      </c>
      <c r="F10" s="427" t="inlineStr">
        <is>
          <t>Check khối "Liên hệ Người vận chuyển" KHÔNG hiển thị khi đơn còn "Chờ ghép"</t>
        </is>
      </c>
      <c r="G10" s="427" t="inlineStr">
        <is>
          <t>Đơn đang ở trạng thái "Chờ ghép", chưa ai nhận</t>
        </is>
      </c>
      <c r="H10" s="427" t="inlineStr">
        <is>
          <t>1. Mở app FoxEco bằng tài khoản Người gửi (Sender)
2. Bấm tab "Hoạt động", mở đơn cần theo dõi để vào màn "Theo dõi đơn"
3. Quan sát vị trí khối "Liên hệ Người vận chuyển"</t>
        </is>
      </c>
      <c r="I10" s="427" t="inlineStr">
        <is>
          <t>3. Khối "Liên hệ Người vận chuyển" KHÔNG hiển thị (chỉ hiện sau khi ghép, theo BR-CON-02)</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Technique: EP-not-matched (cặp với EP-matched ở TC kế tiếp)</t>
        </is>
      </c>
    </row>
    <row r="11" ht="60" customHeight="1" s="225">
      <c r="A11" s="426">
        <f>IF(C11="","",$C$2&amp;"."&amp;COUNTA($C$8:C11)&amp;"")</f>
        <v/>
      </c>
      <c r="B11" s="426" t="inlineStr">
        <is>
          <t>REQ-DLV-003</t>
        </is>
      </c>
      <c r="C11" s="426" t="inlineStr">
        <is>
          <t>DOC-v1.0-02 §3.6 Table 9</t>
        </is>
      </c>
      <c r="D11" s="426" t="inlineStr">
        <is>
          <t>UI</t>
        </is>
      </c>
      <c r="E11" s="426" t="inlineStr">
        <is>
          <t>Medium</t>
        </is>
      </c>
      <c r="F11" s="427" t="inlineStr">
        <is>
          <t>Check khối "Liên hệ Người vận chuyển" hiển thị đúng dữ liệu sau khi đơn đã ghép</t>
        </is>
      </c>
      <c r="G11" s="427" t="inlineStr">
        <is>
          <t>Đơn vừa chuyển sang trạng thái "Đã ghép" với 1 Carrier đã biết trước tên + SĐT</t>
        </is>
      </c>
      <c r="H11" s="427" t="inlineStr">
        <is>
          <t>1. Mở app FoxEco bằng tài khoản Người gửi (Sender)
2. Bấm tab "Hoạt động", mở đơn cần theo dõi để vào màn "Theo dõi đơn"
3. Quan sát khối "Liên hệ Người vận chuyển"</t>
        </is>
      </c>
      <c r="I11" s="427" t="inlineStr">
        <is>
          <t>3. Khối hiển thị đúng tên + SĐT của Carrier đã ghép, kèm nút "Gọi" khả dụng</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inlineStr">
        <is>
          <t>Technique: EP-matched</t>
        </is>
      </c>
    </row>
    <row r="12" ht="20" customHeight="1" s="225">
      <c r="A12" s="426">
        <f>IF(C12="","",$C$2&amp;"."&amp;COUNTA($C$8:C12)&amp;"")</f>
        <v/>
      </c>
      <c r="B12" s="426" t="inlineStr">
        <is>
          <t>REQ-DLV-003</t>
        </is>
      </c>
      <c r="C12" s="426" t="inlineStr">
        <is>
          <t>Quan sát thực tế app STG (QA GiangDC2, chat 2026-07-30)</t>
        </is>
      </c>
      <c r="D12" s="426" t="inlineStr">
        <is>
          <t>UI</t>
        </is>
      </c>
      <c r="E12" s="426" t="inlineStr">
        <is>
          <t>Low</t>
        </is>
      </c>
      <c r="F12" s="427" t="inlineStr">
        <is>
          <t>Check icon quay lại tại màn Theo dõi đơn</t>
        </is>
      </c>
      <c r="G12" s="427" t="inlineStr">
        <is>
          <t>Tài khoản có ít nhất 1 đơn đang hoạt động</t>
        </is>
      </c>
      <c r="H12" s="427" t="inlineStr">
        <is>
          <t>1. Mở app FoxEco
2. Bấm tab "Hoạt động" tại bottom nav
3. Bấm vào 1 card đơn bất kỳ để mở màn Theo dõi đơn
4. Bấm icon quay lại (←) ở Header</t>
        </is>
      </c>
      <c r="I12" s="427" t="inlineStr">
        <is>
          <t>4. Điều hướng đúng về màn Hoạt động</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IF($A9="","",IF(OR($N9="Yes",$S9="Yes",$X9="Yes",$AC9="Yes",$AH9="Yes"),"Yes","No"))</f>
        <v/>
      </c>
      <c r="AN12" s="430">
        <f>IF($A9="","",IFERROR(IF($AI9&lt;&gt;"",$AI9,IF($AD9&lt;&gt;"",$AD9,IF($Y9&lt;&gt;"",$Y9,IF($T9&lt;&gt;"",$T9,IF($O9&lt;&gt;"",$O9,""))))),""))</f>
        <v/>
      </c>
      <c r="AO12" s="430">
        <f>IFERROR(IF($AJ9&lt;&gt;"",$AJ9,IF($AE9&lt;&gt;"",$AE9,IF($Z9&lt;&gt;"",$Z9,IF($U9&lt;&gt;"",$U9,IF($P9&lt;&gt;"",$P9,""))))),"")</f>
        <v/>
      </c>
      <c r="AP12" s="431" t="inlineStr">
        <is>
          <t>Technique: EP-back-icon. Bổ sung 2026-07-30 theo yêu cầu user (QA GiangDC2 xác nhận trực tiếp trên app STG: icon quay lại tồn tại và hoạt động đúng ở màn này) — phát hiện khi quét lại toàn bộ TC-MASTER, kiểm tra completeness icon Back cho từng màn hình.</t>
        </is>
      </c>
    </row>
    <row r="13" ht="20" customHeight="1" s="225">
      <c r="A13" s="426" t="n"/>
      <c r="B13" s="432" t="inlineStr">
        <is>
          <t>Block Theo dõi đơn (Carrier) — Liên hệ 2 phía &amp; nút hành động</t>
        </is>
      </c>
      <c r="C13" s="233" t="n"/>
      <c r="D13" s="233" t="n"/>
      <c r="E13" s="233" t="n"/>
      <c r="F13" s="233" t="n"/>
      <c r="G13" s="233" t="n"/>
      <c r="H13" s="233" t="n"/>
      <c r="I13" s="231" t="n"/>
      <c r="J13" s="426" t="n"/>
      <c r="K13" s="426" t="n"/>
      <c r="L13" s="426" t="n"/>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t="n"/>
      <c r="AN13" s="430" t="n"/>
      <c r="AO13" s="430" t="n"/>
      <c r="AP13" s="431" t="n"/>
    </row>
    <row r="14" ht="60" customHeight="1" s="225">
      <c r="A14" s="426">
        <f>IF(C14="","",$C$2&amp;"."&amp;COUNTA($C$8:C14)&amp;"")</f>
        <v/>
      </c>
      <c r="B14" s="426" t="inlineStr">
        <is>
          <t>REQ-DLV-003</t>
        </is>
      </c>
      <c r="C14" s="426" t="inlineStr">
        <is>
          <t>DOC-v1.0-02 §4.3 Table 11/12</t>
        </is>
      </c>
      <c r="D14" s="426" t="inlineStr">
        <is>
          <t>UI</t>
        </is>
      </c>
      <c r="E14" s="426" t="inlineStr">
        <is>
          <t>Medium</t>
        </is>
      </c>
      <c r="F14" s="427" t="inlineStr">
        <is>
          <t>Check đầy đủ + đúng 2 khối liên hệ hiển thị tại màn Theo dõi đơn của Người vận chuyển</t>
        </is>
      </c>
      <c r="G14" s="427" t="inlineStr">
        <is>
          <t>Đơn đang ở trạng thái "Đã ghép", user đăng nhập là Carrier của đơn</t>
        </is>
      </c>
      <c r="H14" s="427" t="inlineStr">
        <is>
          <t>1. Mở app FoxEco bằng tài khoản Người vận chuyển (Carrier)
2. Bấm tab "Hoạt động", mở đơn đang nhận để vào màn "Theo dõi đơn"
3. Quan sát vùng thông tin liên hệ trên màn Theo dõi đơn</t>
        </is>
      </c>
      <c r="I14" s="427" t="inlineStr">
        <is>
          <t>3. Hiển thị đủ 2 khối "NGƯỜI GỬI" và "NGƯỜI NHẬN", mỗi khối có đủ tên + SĐT + nút "Gọi" — vai trò trung gian phải liên hệ được cả 2 đầu</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IF($A13="","",IF(OR($N13="Yes",$S13="Yes",$X13="Yes",$AC13="Yes",$AH13="Yes"),"Yes","No"))</f>
        <v/>
      </c>
      <c r="AN14" s="430">
        <f>IF($A13="","",IFERROR(IF($AI13&lt;&gt;"",$AI13,IF($AD13&lt;&gt;"",$AD13,IF($Y13&lt;&gt;"",$Y13,IF($T13&lt;&gt;"",$T13,IF($O13&lt;&gt;"",$O13,""))))),""))</f>
        <v/>
      </c>
      <c r="AO14" s="430">
        <f>IFERROR(IF($AJ13&lt;&gt;"",$AJ13,IF($AE13&lt;&gt;"",$AE13,IF($Z13&lt;&gt;"",$Z13,IF($U13&lt;&gt;"",$U13,IF($P13&lt;&gt;"",$P13,""))))),"")</f>
        <v/>
      </c>
      <c r="AP14" s="431" t="inlineStr">
        <is>
          <t>Field/column completeness check — auto-derived (xem generate.md Step 3b)</t>
        </is>
      </c>
    </row>
    <row r="15" ht="60" customHeight="1" s="225">
      <c r="A15" s="426">
        <f>IF(C15="","",$C$2&amp;"."&amp;COUNTA($C$8:C15)&amp;"")</f>
        <v/>
      </c>
      <c r="B15" s="426" t="inlineStr">
        <is>
          <t>REQ-DLV-003</t>
        </is>
      </c>
      <c r="C15" s="426" t="inlineStr">
        <is>
          <t>DOC-v1.0-02 §4.3 Table 11/12</t>
        </is>
      </c>
      <c r="D15" s="426" t="inlineStr">
        <is>
          <t>UI</t>
        </is>
      </c>
      <c r="E15" s="426" t="inlineStr">
        <is>
          <t>Medium</t>
        </is>
      </c>
      <c r="F15" s="427" t="inlineStr">
        <is>
          <t>Check đầy đủ + đúng nhãn nút hành động của Carrier tại cả 3 trạng thái</t>
        </is>
      </c>
      <c r="G15" s="427" t="inlineStr">
        <is>
          <t>Có sẵn 3 đơn của cùng Carrier lần lượt ở 3 trạng thái: "Lấy hàng" (đã ghép), "Đang giao", "Đã giao"</t>
        </is>
      </c>
      <c r="H15" s="427" t="inlineStr">
        <is>
          <t>1. Mở app FoxEco bằng tài khoản Carrier
2. Bấm tab "Hoạt động", mở lần lượt từng đơn ở 3 trạng thái trên
3. Quan sát nút hành động ở đáy màn Theo dõi đơn của từng đơn</t>
        </is>
      </c>
      <c r="I15" s="427" t="inlineStr">
        <is>
          <t>3. Nút hành động hiển thị đúng theo từng trạng thái: (1) "Lấy hàng" → nút "✓ Tôi đã lấy hàng" (bấm được), (2) "Đang giao" → nút "✓ Đã giao cho người nhận" (bấm được), (3) "Đã giao" → chuyển thành NHÃN "✓ Đã giao · chờ người nhận xác nhận" (không bấm được)</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IF($A14="","",IF(OR($N14="Yes",$S14="Yes",$X14="Yes",$AC14="Yes",$AH14="Yes"),"Yes","No"))</f>
        <v/>
      </c>
      <c r="AN15" s="430">
        <f>IF($A14="","",IFERROR(IF($AI14&lt;&gt;"",$AI14,IF($AD14&lt;&gt;"",$AD14,IF($Y14&lt;&gt;"",$Y14,IF($T14&lt;&gt;"",$T14,IF($O14&lt;&gt;"",$O14,""))))),""))</f>
        <v/>
      </c>
      <c r="AO15" s="430">
        <f>IFERROR(IF($AJ14&lt;&gt;"",$AJ14,IF($AE14&lt;&gt;"",$AE14,IF($Z14&lt;&gt;"",$Z14,IF($U14&lt;&gt;"",$U14,IF($P14&lt;&gt;"",$P14,""))))),"")</f>
        <v/>
      </c>
      <c r="AP15" s="431" t="inlineStr">
        <is>
          <t>Field/column completeness check — auto-derived (xem generate.md Step 3b)</t>
        </is>
      </c>
    </row>
    <row r="16" ht="60" customHeight="1" s="225">
      <c r="A16" s="426">
        <f>IF(C16="","",$C$2&amp;"."&amp;COUNTA($C$8:C16)&amp;"")</f>
        <v/>
      </c>
      <c r="B16" s="426" t="inlineStr">
        <is>
          <t>REQ-DLV-003</t>
        </is>
      </c>
      <c r="C16" s="426" t="inlineStr">
        <is>
          <t>DOC-v1.0-02 §4.3 Table 11/12</t>
        </is>
      </c>
      <c r="D16" s="426" t="inlineStr">
        <is>
          <t>UI</t>
        </is>
      </c>
      <c r="E16" s="426" t="inlineStr">
        <is>
          <t>High</t>
        </is>
      </c>
      <c r="F16" s="427" t="inlineStr">
        <is>
          <t>Check nút hành động của Carrier chuyển thành nhãn không bấm được khi đơn ở "Đã giao"</t>
        </is>
      </c>
      <c r="G16" s="427" t="inlineStr">
        <is>
          <t>Đơn đang ở trạng thái "Đã giao" (DELIVERED), Carrier đã bấm "Đã giao cho người nhận" trước đó</t>
        </is>
      </c>
      <c r="H16" s="427" t="inlineStr">
        <is>
          <t>1. Mở app FoxEco bằng tài khoản Người vận chuyển (Carrier)
2. Bấm tab "Hoạt động", mở đơn đang nhận để vào màn "Theo dõi đơn"
3. Bấm thử vào vùng nhãn hành động ở đáy màn</t>
        </is>
      </c>
      <c r="I16" s="427" t="inlineStr">
        <is>
          <t>3. Vùng hành động hiển thị nhãn "✓ Đã giao · chờ người nhận xác nhận" và KHÔNG phản hồi khi bấm — quyền chốt đơn đã chuyển sang Người nhận</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IF($A15="","",IF(OR($N15="Yes",$S15="Yes",$X15="Yes",$AC15="Yes",$AH15="Yes"),"Yes","No"))</f>
        <v/>
      </c>
      <c r="AN16" s="430">
        <f>IF($A15="","",IFERROR(IF($AI15&lt;&gt;"",$AI15,IF($AD15&lt;&gt;"",$AD15,IF($Y15&lt;&gt;"",$Y15,IF($T15&lt;&gt;"",$T15,IF($O15&lt;&gt;"",$O15,""))))),""))</f>
        <v/>
      </c>
      <c r="AO16" s="430">
        <f>IFERROR(IF($AJ15&lt;&gt;"",$AJ15,IF($AE15&lt;&gt;"",$AE15,IF($Z15&lt;&gt;"",$Z15,IF($U15&lt;&gt;"",$U15,IF($P15&lt;&gt;"",$P15,""))))),"")</f>
        <v/>
      </c>
      <c r="AP16" s="431" t="n"/>
    </row>
    <row r="17" ht="20" customHeight="1" s="225">
      <c r="A17" s="426" t="n"/>
      <c r="B17" s="432" t="inlineStr">
        <is>
          <t>Block Theo dõi đơn (Receiver) — Liên hệ &amp; nút xác nhận</t>
        </is>
      </c>
      <c r="C17" s="233" t="n"/>
      <c r="D17" s="233" t="n"/>
      <c r="E17" s="233" t="n"/>
      <c r="F17" s="233" t="n"/>
      <c r="G17" s="233" t="n"/>
      <c r="H17" s="233" t="n"/>
      <c r="I17" s="231" t="n"/>
      <c r="J17" s="426" t="n"/>
      <c r="K17" s="426" t="n"/>
      <c r="L17" s="426" t="n"/>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t="n"/>
      <c r="AN17" s="430" t="n"/>
      <c r="AO17" s="430" t="n"/>
      <c r="AP17" s="431" t="n"/>
    </row>
    <row r="18" ht="60" customHeight="1" s="225">
      <c r="A18" s="426">
        <f>IF(C18="","",$C$2&amp;"."&amp;COUNTA($C$8:C18)&amp;"")</f>
        <v/>
      </c>
      <c r="B18" s="426" t="inlineStr">
        <is>
          <t>REQ-DLV-003</t>
        </is>
      </c>
      <c r="C18" s="426" t="inlineStr">
        <is>
          <t>DOC-v1.0-02 §5.2 Table 14</t>
        </is>
      </c>
      <c r="D18" s="426" t="inlineStr">
        <is>
          <t>UI</t>
        </is>
      </c>
      <c r="E18" s="426" t="inlineStr">
        <is>
          <t>Medium</t>
        </is>
      </c>
      <c r="F18" s="427" t="inlineStr">
        <is>
          <t>Check đầy đủ + đúng 2 khối hiển thị tại màn Theo dõi đơn của Người nhận sau khi ghép</t>
        </is>
      </c>
      <c r="G18" s="427" t="inlineStr">
        <is>
          <t>Đơn đang ở trạng thái "Đã ghép", user đăng nhập là Receiver của đơn</t>
        </is>
      </c>
      <c r="H18" s="427" t="inlineStr">
        <is>
          <t>1. Mở app FoxEco bằng tài khoản Người nhận (Receiver)
2. Bấm tab "Hoạt động", mở đơn cần theo dõi để vào màn "Theo dõi đơn"
3. Quan sát vùng liên hệ và vùng nút hành động</t>
        </is>
      </c>
      <c r="I18" s="427" t="inlineStr">
        <is>
          <t>3. Hiển thị đủ: (1) khối "NGƯỜI GIAO HÀNG" gồm tên Carrier + SĐT + nút "Gọi" — KHÔNG hiển thị lại thông tin Người gửi, (2) nút CTA ở đáy màn đang ở trạng thái bị động</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IF($A17="","",IF(OR($N17="Yes",$S17="Yes",$X17="Yes",$AC17="Yes",$AH17="Yes"),"Yes","No"))</f>
        <v/>
      </c>
      <c r="AN18" s="430">
        <f>IF($A17="","",IFERROR(IF($AI17&lt;&gt;"",$AI17,IF($AD17&lt;&gt;"",$AD17,IF($Y17&lt;&gt;"",$Y17,IF($T17&lt;&gt;"",$T17,IF($O17&lt;&gt;"",$O17,""))))),""))</f>
        <v/>
      </c>
      <c r="AO18" s="430">
        <f>IFERROR(IF($AJ17&lt;&gt;"",$AJ17,IF($AE17&lt;&gt;"",$AE17,IF($Z17&lt;&gt;"",$Z17,IF($U17&lt;&gt;"",$U17,IF($P17&lt;&gt;"",$P17,""))))),"")</f>
        <v/>
      </c>
      <c r="AP18" s="431" t="inlineStr">
        <is>
          <t>Field/column completeness check — auto-derived (xem generate.md Step 3b)</t>
        </is>
      </c>
    </row>
    <row r="19" ht="60" customHeight="1" s="225">
      <c r="A19" s="426">
        <f>IF(C19="","",$C$2&amp;"."&amp;COUNTA($C$8:C19)&amp;"")</f>
        <v/>
      </c>
      <c r="B19" s="426" t="inlineStr">
        <is>
          <t>REQ-DLV-003</t>
        </is>
      </c>
      <c r="C19" s="426" t="inlineStr">
        <is>
          <t>DOC-v1.0-02 §5.2 Table 14</t>
        </is>
      </c>
      <c r="D19" s="426" t="inlineStr">
        <is>
          <t>UI</t>
        </is>
      </c>
      <c r="E19" s="426" t="inlineStr">
        <is>
          <t>High</t>
        </is>
      </c>
      <c r="F19" s="427" t="inlineStr">
        <is>
          <t>Check nút "Xác nhận đã nhận hàng" bị động khi đơn đang "Chờ ghép"</t>
        </is>
      </c>
      <c r="G19" s="427" t="inlineStr">
        <is>
          <t>Đơn đang ở trạng thái "Chờ ghép", user đăng nhập là Receiver của đơn</t>
        </is>
      </c>
      <c r="H19" s="427" t="inlineStr">
        <is>
          <t>1. Mở app FoxEco bằng tài khoản Người nhận (Receiver)
2. Bấm tab "Hoạt động", mở đơn cần theo dõi để vào màn "Theo dõi đơn"
3. Quan sát và bấm thử nút CTA ở đáy màn</t>
        </is>
      </c>
      <c r="I19" s="427" t="inlineStr">
        <is>
          <t>3. Nút CTA ở trạng thái bị động (không bấm được), đơn không đổi trạng thái</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IF($A18="","",IF(OR($N18="Yes",$S18="Yes",$X18="Yes",$AC18="Yes",$AH18="Yes"),"Yes","No"))</f>
        <v/>
      </c>
      <c r="AN19" s="430">
        <f>IF($A18="","",IFERROR(IF($AI18&lt;&gt;"",$AI18,IF($AD18&lt;&gt;"",$AD18,IF($Y18&lt;&gt;"",$Y18,IF($T18&lt;&gt;"",$T18,IF($O18&lt;&gt;"",$O18,""))))),""))</f>
        <v/>
      </c>
      <c r="AO19" s="430">
        <f>IFERROR(IF($AJ18&lt;&gt;"",$AJ18,IF($AE18&lt;&gt;"",$AE18,IF($Z18&lt;&gt;"",$Z18,IF($U18&lt;&gt;"",$U18,IF($P18&lt;&gt;"",$P18,""))))),"")</f>
        <v/>
      </c>
      <c r="AP19" s="431" t="inlineStr">
        <is>
          <t>Technique: EP-posted</t>
        </is>
      </c>
    </row>
    <row r="20" ht="60" customHeight="1" s="225">
      <c r="A20" s="426">
        <f>IF(C20="","",$C$2&amp;"."&amp;COUNTA($C$8:C20)&amp;"")</f>
        <v/>
      </c>
      <c r="B20" s="426" t="inlineStr">
        <is>
          <t>REQ-DLV-003</t>
        </is>
      </c>
      <c r="C20" s="426" t="inlineStr">
        <is>
          <t>DOC-v1.0-02 §5.2 Table 14</t>
        </is>
      </c>
      <c r="D20" s="426" t="inlineStr">
        <is>
          <t>UI</t>
        </is>
      </c>
      <c r="E20" s="426" t="inlineStr">
        <is>
          <t>High</t>
        </is>
      </c>
      <c r="F20" s="427" t="inlineStr">
        <is>
          <t>Check nút "Xác nhận đã nhận hàng" bị động khi đơn đang "Lấy hàng" (đã ghép)</t>
        </is>
      </c>
      <c r="G20" s="427" t="inlineStr">
        <is>
          <t>Đơn đang ở trạng thái "Đã ghép" (bước stepper "Lấy hàng"), user đăng nhập là Receiver</t>
        </is>
      </c>
      <c r="H20" s="427" t="inlineStr">
        <is>
          <t>1. Mở app FoxEco bằng tài khoản Người nhận (Receiver)
2. Bấm tab "Hoạt động", mở đơn cần theo dõi để vào màn "Theo dõi đơn"
3. Quan sát và bấm thử nút CTA ở đáy màn</t>
        </is>
      </c>
      <c r="I20" s="427" t="inlineStr">
        <is>
          <t>3. Nút CTA ở trạng thái bị động (không bấm được), đơn không đổi trạng thái</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IF($A19="","",IF(OR($N19="Yes",$S19="Yes",$X19="Yes",$AC19="Yes",$AH19="Yes"),"Yes","No"))</f>
        <v/>
      </c>
      <c r="AN20" s="430">
        <f>IF($A19="","",IFERROR(IF($AI19&lt;&gt;"",$AI19,IF($AD19&lt;&gt;"",$AD19,IF($Y19&lt;&gt;"",$Y19,IF($T19&lt;&gt;"",$T19,IF($O19&lt;&gt;"",$O19,""))))),""))</f>
        <v/>
      </c>
      <c r="AO20" s="430">
        <f>IFERROR(IF($AJ19&lt;&gt;"",$AJ19,IF($AE19&lt;&gt;"",$AE19,IF($Z19&lt;&gt;"",$Z19,IF($U19&lt;&gt;"",$U19,IF($P19&lt;&gt;"",$P19,""))))),"")</f>
        <v/>
      </c>
      <c r="AP20" s="431" t="inlineStr">
        <is>
          <t>Technique: EP-matched</t>
        </is>
      </c>
    </row>
    <row r="21" ht="60" customHeight="1" s="225">
      <c r="A21" s="426">
        <f>IF(C21="","",$C$2&amp;"."&amp;COUNTA($C$8:C21)&amp;"")</f>
        <v/>
      </c>
      <c r="B21" s="426" t="inlineStr">
        <is>
          <t>REQ-DLV-003</t>
        </is>
      </c>
      <c r="C21" s="426" t="inlineStr">
        <is>
          <t>DOC-v1.0-02 §5.2 Table 14</t>
        </is>
      </c>
      <c r="D21" s="426" t="inlineStr">
        <is>
          <t>UI</t>
        </is>
      </c>
      <c r="E21" s="426" t="inlineStr">
        <is>
          <t>High</t>
        </is>
      </c>
      <c r="F21" s="427" t="inlineStr">
        <is>
          <t>Check nút "Xác nhận đã nhận hàng" bị động khi đơn đang "Đang giao"</t>
        </is>
      </c>
      <c r="G21" s="427" t="inlineStr">
        <is>
          <t>Đơn đang ở trạng thái "Đang giao" (IN_TRANSIT), user đăng nhập là Receiver</t>
        </is>
      </c>
      <c r="H21" s="427" t="inlineStr">
        <is>
          <t>1. Mở app FoxEco bằng tài khoản Người nhận (Receiver)
2. Bấm tab "Hoạt động", mở đơn cần theo dõi để vào màn "Theo dõi đơn"
3. Quan sát và bấm thử nút CTA ở đáy màn</t>
        </is>
      </c>
      <c r="I21" s="427" t="inlineStr">
        <is>
          <t>3. Nút CTA ở trạng thái bị động (không bấm được), đơn không đổi trạng thái</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IF($A20="","",IF(OR($N20="Yes",$S20="Yes",$X20="Yes",$AC20="Yes",$AH20="Yes"),"Yes","No"))</f>
        <v/>
      </c>
      <c r="AN21" s="430">
        <f>IF($A20="","",IFERROR(IF($AI20&lt;&gt;"",$AI20,IF($AD20&lt;&gt;"",$AD20,IF($Y20&lt;&gt;"",$Y20,IF($T20&lt;&gt;"",$T20,IF($O20&lt;&gt;"",$O20,""))))),""))</f>
        <v/>
      </c>
      <c r="AO21" s="430">
        <f>IFERROR(IF($AJ20&lt;&gt;"",$AJ20,IF($AE20&lt;&gt;"",$AE20,IF($Z20&lt;&gt;"",$Z20,IF($U20&lt;&gt;"",$U20,IF($P20&lt;&gt;"",$P20,""))))),"")</f>
        <v/>
      </c>
      <c r="AP21" s="431" t="inlineStr">
        <is>
          <t>Technique: EP-in-transit</t>
        </is>
      </c>
    </row>
    <row r="22" ht="60" customHeight="1" s="225">
      <c r="A22" s="426">
        <f>IF(C22="","",$C$2&amp;"."&amp;COUNTA($C$8:C22)&amp;"")</f>
        <v/>
      </c>
      <c r="B22" s="426" t="inlineStr">
        <is>
          <t>REQ-DLV-003</t>
        </is>
      </c>
      <c r="C22" s="426" t="inlineStr">
        <is>
          <t>DOC-v1.0-02 §5.2 Table 14</t>
        </is>
      </c>
      <c r="D22" s="426" t="inlineStr">
        <is>
          <t>UI</t>
        </is>
      </c>
      <c r="E22" s="426" t="inlineStr">
        <is>
          <t>High</t>
        </is>
      </c>
      <c r="F22" s="427" t="inlineStr">
        <is>
          <t>Check nút "✓ Xác nhận đã nhận hàng" kích hoạt (cam, bấm được) khi đơn = "Đã giao"</t>
        </is>
      </c>
      <c r="G22" s="427" t="inlineStr">
        <is>
          <t>Đơn đang ở trạng thái "Đã giao" (DELIVERED), user đăng nhập là Receiver</t>
        </is>
      </c>
      <c r="H22" s="427" t="inlineStr">
        <is>
          <t>1. Mở app FoxEco bằng tài khoản Người nhận (Receiver)
2. Bấm tab "Hoạt động", mở đơn cần theo dõi để vào màn "Theo dõi đơn"
3. Quan sát nút CTA ở đáy màn</t>
        </is>
      </c>
      <c r="I22" s="427" t="inlineStr">
        <is>
          <t>3. Nút hiển thị nhãn "✓ Xác nhận đã nhận hàng" ở trạng thái kích hoạt (nền cam, bấm được) — đây là partition DUY NHẤT nút này active</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IF($A21="","",IF(OR($N21="Yes",$S21="Yes",$X21="Yes",$AC21="Yes",$AH21="Yes"),"Yes","No"))</f>
        <v/>
      </c>
      <c r="AN22" s="430">
        <f>IF($A21="","",IFERROR(IF($AI21&lt;&gt;"",$AI21,IF($AD21&lt;&gt;"",$AD21,IF($Y21&lt;&gt;"",$Y21,IF($T21&lt;&gt;"",$T21,IF($O21&lt;&gt;"",$O21,""))))),""))</f>
        <v/>
      </c>
      <c r="AO22" s="430">
        <f>IFERROR(IF($AJ21&lt;&gt;"",$AJ21,IF($AE21&lt;&gt;"",$AE21,IF($Z21&lt;&gt;"",$Z21,IF($U21&lt;&gt;"",$U21,IF($P21&lt;&gt;"",$P21,""))))),"")</f>
        <v/>
      </c>
      <c r="AP22" s="431" t="inlineStr">
        <is>
          <t>Technique: EP-delivered (partition hợp lệ duy nhất, đối chứng cho 3 partition bị động ở trên)</t>
        </is>
      </c>
    </row>
    <row r="23" ht="20" customHeight="1" s="225">
      <c r="A23" s="426" t="n"/>
      <c r="B23" s="432" t="inlineStr">
        <is>
          <t>Block Chuyển trạng thái Lấy hàng → Đang giao → Đã giao (Carrier)</t>
        </is>
      </c>
      <c r="C23" s="233" t="n"/>
      <c r="D23" s="233" t="n"/>
      <c r="E23" s="233" t="n"/>
      <c r="F23" s="233" t="n"/>
      <c r="G23" s="233" t="n"/>
      <c r="H23" s="233" t="n"/>
      <c r="I23" s="231" t="n"/>
      <c r="J23" s="426" t="n"/>
      <c r="K23" s="426" t="n"/>
      <c r="L23" s="426" t="n"/>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t="n"/>
      <c r="AN23" s="430" t="n"/>
      <c r="AO23" s="430" t="n"/>
      <c r="AP23" s="431" t="n"/>
    </row>
    <row r="24" ht="60" customHeight="1" s="225">
      <c r="A24" s="426">
        <f>IF(C24="","",$C$2&amp;"."&amp;COUNTA($C$8:C24)&amp;"")</f>
        <v/>
      </c>
      <c r="B24" s="426" t="inlineStr">
        <is>
          <t>REQ-DLV-006</t>
        </is>
      </c>
      <c r="C24" s="426" t="inlineStr">
        <is>
          <t>DOC-v1.0-01 §D1b (US-D09)</t>
        </is>
      </c>
      <c r="D24" s="426" t="inlineStr">
        <is>
          <t>Functional</t>
        </is>
      </c>
      <c r="E24" s="426" t="inlineStr">
        <is>
          <t>High</t>
        </is>
      </c>
      <c r="F24" s="427" t="inlineStr">
        <is>
          <t>Check Carrier bấm "Tôi đã lấy hàng" và xác nhận popup → đơn chuyển "Đang giao"</t>
        </is>
      </c>
      <c r="G24" s="427" t="inlineStr">
        <is>
          <t>Đơn đang ở trạng thái "Đã ghép" (bước "Lấy hàng"), user đăng nhập là Carrier của đơn</t>
        </is>
      </c>
      <c r="H24" s="427" t="inlineStr">
        <is>
          <t>1. Mở app FoxEco bằng tài khoản Người vận chuyển (Carrier)
2. Bấm tab "Hoạt động", mở đơn đang nhận để vào màn "Theo dõi đơn"
3. Bấm nút "✓ Tôi đã lấy hàng", đọc popup "Xác nhận" rồi bấm "Xác nhận"</t>
        </is>
      </c>
      <c r="I24" s="427" t="inlineStr">
        <is>
          <t>3. Popup "Xác nhận" hiển thị nội dung "Bạn xác nhận đã lấy hàng từ người gửi và bắt đầu giao?"; sau khi bấm "Xác nhận", đơn chuyển sang trạng thái "Đang giao" và thanh 5 bước tiến sang bước tương ứng</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IF($A23="","",IF(OR($N23="Yes",$S23="Yes",$X23="Yes",$AC23="Yes",$AH23="Yes"),"Yes","No"))</f>
        <v/>
      </c>
      <c r="AN24" s="430">
        <f>IF($A23="","",IFERROR(IF($AI23&lt;&gt;"",$AI23,IF($AD23&lt;&gt;"",$AD23,IF($Y23&lt;&gt;"",$Y23,IF($T23&lt;&gt;"",$T23,IF($O23&lt;&gt;"",$O23,""))))),""))</f>
        <v/>
      </c>
      <c r="AO24" s="430">
        <f>IFERROR(IF($AJ23&lt;&gt;"",$AJ23,IF($AE23&lt;&gt;"",$AE23,IF($Z23&lt;&gt;"",$Z23,IF($U23&lt;&gt;"",$U23,IF($P23&lt;&gt;"",$P23,""))))),"")</f>
        <v/>
      </c>
      <c r="AP24" s="431" t="inlineStr">
        <is>
          <t>Technique: ST-matched-intransit</t>
        </is>
      </c>
    </row>
    <row r="25" ht="60" customHeight="1" s="225">
      <c r="A25" s="426">
        <f>IF(C25="","",$C$2&amp;"."&amp;COUNTA($C$8:C25)&amp;"")</f>
        <v/>
      </c>
      <c r="B25" s="426" t="inlineStr">
        <is>
          <t>REQ-DLV-006</t>
        </is>
      </c>
      <c r="C25" s="426" t="inlineStr">
        <is>
          <t>DOC-v1.0-01 §D1b (US-D09)</t>
        </is>
      </c>
      <c r="D25" s="426" t="inlineStr">
        <is>
          <t>Functional</t>
        </is>
      </c>
      <c r="E25" s="426" t="inlineStr">
        <is>
          <t>Medium</t>
        </is>
      </c>
      <c r="F25" s="427" t="inlineStr">
        <is>
          <t>Check bấm "Huỷ" trên popup xác nhận lấy hàng → đơn KHÔNG đổi trạng thái</t>
        </is>
      </c>
      <c r="G25" s="427" t="inlineStr">
        <is>
          <t>Đơn đang ở trạng thái "Đã ghép", popup xác nhận lấy hàng vừa được mở</t>
        </is>
      </c>
      <c r="H25" s="427" t="inlineStr">
        <is>
          <t>1. Mở app FoxEco bằng tài khoản Người vận chuyển (Carrier)
2. Bấm tab "Hoạt động", mở đơn đang nhận để vào màn "Theo dõi đơn"
3. Bấm nút "✓ Tôi đã lấy hàng" để mở popup, sau đó bấm "Huỷ"</t>
        </is>
      </c>
      <c r="I25" s="427" t="inlineStr">
        <is>
          <t>3. Popup đóng lại, đơn giữ nguyên trạng thái "Đã ghép" và nút "✓ Tôi đã lấy hàng" vẫn còn khả dụng</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IF($A24="","",IF(OR($N24="Yes",$S24="Yes",$X24="Yes",$AC24="Yes",$AH24="Yes"),"Yes","No"))</f>
        <v/>
      </c>
      <c r="AN25" s="430">
        <f>IF($A24="","",IFERROR(IF($AI24&lt;&gt;"",$AI24,IF($AD24&lt;&gt;"",$AD24,IF($Y24&lt;&gt;"",$Y24,IF($T24&lt;&gt;"",$T24,IF($O24&lt;&gt;"",$O24,""))))),""))</f>
        <v/>
      </c>
      <c r="AO25" s="430">
        <f>IFERROR(IF($AJ24&lt;&gt;"",$AJ24,IF($AE24&lt;&gt;"",$AE24,IF($Z24&lt;&gt;"",$Z24,IF($U24&lt;&gt;"",$U24,IF($P24&lt;&gt;"",$P24,""))))),"")</f>
        <v/>
      </c>
      <c r="AP25" s="431" t="inlineStr">
        <is>
          <t>Technique: EP-cancel (popup lấy hàng)</t>
        </is>
      </c>
    </row>
    <row r="26" ht="60" customHeight="1" s="225">
      <c r="A26" s="426">
        <f>IF(C26="","",$C$2&amp;"."&amp;COUNTA($C$8:C26)&amp;"")</f>
        <v/>
      </c>
      <c r="B26" s="426" t="inlineStr">
        <is>
          <t>REQ-DLV-006</t>
        </is>
      </c>
      <c r="C26" s="426" t="inlineStr">
        <is>
          <t>DOC-v1.0-01 §D1b (US-D09)</t>
        </is>
      </c>
      <c r="D26" s="426" t="inlineStr">
        <is>
          <t>Functional</t>
        </is>
      </c>
      <c r="E26" s="426" t="inlineStr">
        <is>
          <t>High</t>
        </is>
      </c>
      <c r="F26" s="427" t="inlineStr">
        <is>
          <t>Check Carrier bấm "Đã giao cho người nhận" và xác nhận popup → đơn chuyển "Đã giao"</t>
        </is>
      </c>
      <c r="G26" s="427" t="inlineStr">
        <is>
          <t>Đơn đang ở trạng thái "Đang giao" (IN_TRANSIT), user đăng nhập là Carrier của đơn</t>
        </is>
      </c>
      <c r="H26" s="427" t="inlineStr">
        <is>
          <t>1. Mở app FoxEco bằng tài khoản Người vận chuyển (Carrier)
2. Bấm tab "Hoạt động", mở đơn đang nhận để vào màn "Theo dõi đơn"
3. Bấm nút "✓ Đã giao cho người nhận", đọc popup "Xác nhận" rồi bấm "Xác nhận"</t>
        </is>
      </c>
      <c r="I26" s="427" t="inlineStr">
        <is>
          <t>3. Popup "Xác nhận" hiển thị nội dung "Bạn xác nhận đã giao hàng tận tay người nhận?"; sau khi bấm "Xác nhận", đơn chuyển sang trạng thái "Đã giao"</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IF($A25="","",IF(OR($N25="Yes",$S25="Yes",$X25="Yes",$AC25="Yes",$AH25="Yes"),"Yes","No"))</f>
        <v/>
      </c>
      <c r="AN26" s="430">
        <f>IF($A25="","",IFERROR(IF($AI25&lt;&gt;"",$AI25,IF($AD25&lt;&gt;"",$AD25,IF($Y25&lt;&gt;"",$Y25,IF($T25&lt;&gt;"",$T25,IF($O25&lt;&gt;"",$O25,""))))),""))</f>
        <v/>
      </c>
      <c r="AO26" s="430">
        <f>IFERROR(IF($AJ25&lt;&gt;"",$AJ25,IF($AE25&lt;&gt;"",$AE25,IF($Z25&lt;&gt;"",$Z25,IF($U25&lt;&gt;"",$U25,IF($P25&lt;&gt;"",$P25,""))))),"")</f>
        <v/>
      </c>
      <c r="AP26" s="431" t="inlineStr">
        <is>
          <t>Technique: ST-intransit-delivered</t>
        </is>
      </c>
    </row>
    <row r="27" ht="60" customHeight="1" s="225">
      <c r="A27" s="426">
        <f>IF(C27="","",$C$2&amp;"."&amp;COUNTA($C$8:C27)&amp;"")</f>
        <v/>
      </c>
      <c r="B27" s="426" t="inlineStr">
        <is>
          <t>REQ-DLV-006</t>
        </is>
      </c>
      <c r="C27" s="426" t="inlineStr">
        <is>
          <t>DOC-v1.0-01 §D1b (US-D09)</t>
        </is>
      </c>
      <c r="D27" s="426" t="inlineStr">
        <is>
          <t>Functional</t>
        </is>
      </c>
      <c r="E27" s="426" t="inlineStr">
        <is>
          <t>Medium</t>
        </is>
      </c>
      <c r="F27" s="427" t="inlineStr">
        <is>
          <t>Check bấm "Huỷ" trên popup xác nhận giao hàng → đơn KHÔNG đổi trạng thái</t>
        </is>
      </c>
      <c r="G27" s="427" t="inlineStr">
        <is>
          <t>Đơn đang ở trạng thái "Đang giao", popup xác nhận giao hàng vừa được mở</t>
        </is>
      </c>
      <c r="H27" s="427" t="inlineStr">
        <is>
          <t>1. Mở app FoxEco bằng tài khoản Người vận chuyển (Carrier)
2. Bấm tab "Hoạt động", mở đơn đang nhận để vào màn "Theo dõi đơn"
3. Bấm nút "✓ Đã giao cho người nhận" để mở popup, sau đó bấm "Huỷ"</t>
        </is>
      </c>
      <c r="I27" s="427" t="inlineStr">
        <is>
          <t>3. Popup đóng lại, đơn giữ nguyên trạng thái "Đang giao"</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IF($A26="","",IF(OR($N26="Yes",$S26="Yes",$X26="Yes",$AC26="Yes",$AH26="Yes"),"Yes","No"))</f>
        <v/>
      </c>
      <c r="AN27" s="430">
        <f>IF($A26="","",IFERROR(IF($AI26&lt;&gt;"",$AI26,IF($AD26&lt;&gt;"",$AD26,IF($Y26&lt;&gt;"",$Y26,IF($T26&lt;&gt;"",$T26,IF($O26&lt;&gt;"",$O26,""))))),""))</f>
        <v/>
      </c>
      <c r="AO27" s="430">
        <f>IFERROR(IF($AJ26&lt;&gt;"",$AJ26,IF($AE26&lt;&gt;"",$AE26,IF($Z26&lt;&gt;"",$Z26,IF($U26&lt;&gt;"",$U26,IF($P26&lt;&gt;"",$P26,""))))),"")</f>
        <v/>
      </c>
      <c r="AP27" s="431" t="inlineStr">
        <is>
          <t>Technique: EP-cancel (popup giao hàng)</t>
        </is>
      </c>
    </row>
    <row r="28" ht="60" customHeight="1" s="225">
      <c r="A28" s="426">
        <f>IF(C28="","",$C$2&amp;"."&amp;COUNTA($C$8:C28)&amp;"")</f>
        <v/>
      </c>
      <c r="B28" s="426" t="inlineStr">
        <is>
          <t>REQ-DLV-006</t>
        </is>
      </c>
      <c r="C28" s="426" t="inlineStr">
        <is>
          <t>DOC-v1.0-01 §D1b (US-D09)</t>
        </is>
      </c>
      <c r="D28" s="426" t="inlineStr">
        <is>
          <t>Functional</t>
        </is>
      </c>
      <c r="E28" s="426" t="inlineStr">
        <is>
          <t>High</t>
        </is>
      </c>
      <c r="F28" s="427" t="inlineStr">
        <is>
          <t>Check KHÔNG thể bấm "Đã giao cho người nhận" trước khi bấm "Tôi đã lấy hàng"</t>
        </is>
      </c>
      <c r="G28" s="427" t="inlineStr">
        <is>
          <t>Đơn đang ở trạng thái "Đã ghép" (MATCHED), Carrier CHƯA bấm "Tôi đã lấy hàng"</t>
        </is>
      </c>
      <c r="H28" s="427" t="inlineStr">
        <is>
          <t>1. Mở app FoxEco bằng tài khoản Người vận chuyển (Carrier)
2. Bấm tab "Hoạt động", mở đơn đang nhận để vào màn "Theo dõi đơn"
3. Tìm và thử bấm nút "✓ Đã giao cho người nhận" trên màn Theo dõi đơn</t>
        </is>
      </c>
      <c r="I28" s="427" t="inlineStr">
        <is>
          <t>3. Nút "✓ Đã giao cho người nhận" chưa xuất hiện (hoặc disable) — chỉ có nút "✓ Tôi đã lấy hàng"; đơn giữ nguyên "Đã ghép", không nhảy tắt sang "Đã giao"</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IF($A27="","",IF(OR($N27="Yes",$S27="Yes",$X27="Yes",$AC27="Yes",$AH27="Yes"),"Yes","No"))</f>
        <v/>
      </c>
      <c r="AN28" s="430">
        <f>IF($A27="","",IFERROR(IF($AI27&lt;&gt;"",$AI27,IF($AD27&lt;&gt;"",$AD27,IF($Y27&lt;&gt;"",$Y27,IF($T27&lt;&gt;"",$T27,IF($O27&lt;&gt;"",$O27,""))))),""))</f>
        <v/>
      </c>
      <c r="AO28" s="430">
        <f>IFERROR(IF($AJ27&lt;&gt;"",$AJ27,IF($AE27&lt;&gt;"",$AE27,IF($Z27&lt;&gt;"",$Z27,IF($U27&lt;&gt;"",$U27,IF($P27&lt;&gt;"",$P27,""))))),"")</f>
        <v/>
      </c>
      <c r="AP28" s="431" t="inlineStr">
        <is>
          <t>Technique: ST-invalid-matched-delivered (transition bỏ bước, phải bị chặn)</t>
        </is>
      </c>
    </row>
    <row r="29" ht="20" customHeight="1" s="225">
      <c r="A29" s="426" t="n"/>
      <c r="B29" s="432" t="inlineStr">
        <is>
          <t>Block Xác nhận đã nhận hàng → Hoàn thành (Receiver)</t>
        </is>
      </c>
      <c r="C29" s="233" t="n"/>
      <c r="D29" s="233" t="n"/>
      <c r="E29" s="233" t="n"/>
      <c r="F29" s="233" t="n"/>
      <c r="G29" s="233" t="n"/>
      <c r="H29" s="233" t="n"/>
      <c r="I29" s="231" t="n"/>
      <c r="J29" s="426" t="n"/>
      <c r="K29" s="426" t="n"/>
      <c r="L29" s="426" t="n"/>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t="n"/>
      <c r="AN29" s="430" t="n"/>
      <c r="AO29" s="430" t="n"/>
      <c r="AP29" s="431" t="n"/>
    </row>
    <row r="30" ht="60" customHeight="1" s="225">
      <c r="A30" s="426">
        <f>IF(C30="","",$C$2&amp;"."&amp;COUNTA($C$8:C30)&amp;"")</f>
        <v/>
      </c>
      <c r="B30" s="426" t="inlineStr">
        <is>
          <t>REQ-DLV-003, REQ-DLV-006</t>
        </is>
      </c>
      <c r="C30" s="426" t="inlineStr">
        <is>
          <t>DOC-v1.0-01 §D3/§D4/§A5 (DLV-03, BR-CNF-04, BR-INT-03)</t>
        </is>
      </c>
      <c r="D30" s="426" t="inlineStr">
        <is>
          <t>UI</t>
        </is>
      </c>
      <c r="E30" s="426" t="inlineStr">
        <is>
          <t>Medium</t>
        </is>
      </c>
      <c r="F30" s="427" t="inlineStr">
        <is>
          <t>Check đầy đủ + đúng 3 thành phần hiển thị tại popup "Xác nhận" đã nhận hàng</t>
        </is>
      </c>
      <c r="G30" s="427" t="inlineStr">
        <is>
          <t>Đơn đang ở trạng thái "Đã giao", user đăng nhập là Receiver và vừa bấm "✓ Xác nhận đã nhận hàng"</t>
        </is>
      </c>
      <c r="H30" s="427" t="inlineStr">
        <is>
          <t>1. Mở app FoxEco bằng tài khoản Người nhận (Receiver)
2. Bấm tab "Hoạt động", mở đơn cần theo dõi để vào màn "Theo dõi đơn"
3. Bấm nút "✓ Xác nhận đã nhận hàng" và quan sát popup vừa hiện</t>
        </is>
      </c>
      <c r="I30" s="427" t="inlineStr">
        <is>
          <t>3. Popup hiển thị đủ 3 thành phần: (1) tiêu đề "Xác nhận", (2) nội dung "Bạn xác nhận đã nhận được hàng từ người vận chuyển?", (3) 2 nút "Huỷ" và "Xác nhận"</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IF($A29="","",IF(OR($N29="Yes",$S29="Yes",$X29="Yes",$AC29="Yes",$AH29="Yes"),"Yes","No"))</f>
        <v/>
      </c>
      <c r="AN30" s="430">
        <f>IF($A29="","",IFERROR(IF($AI29&lt;&gt;"",$AI29,IF($AD29&lt;&gt;"",$AD29,IF($Y29&lt;&gt;"",$Y29,IF($T29&lt;&gt;"",$T29,IF($O29&lt;&gt;"",$O29,""))))),""))</f>
        <v/>
      </c>
      <c r="AO30" s="430">
        <f>IFERROR(IF($AJ29&lt;&gt;"",$AJ29,IF($AE29&lt;&gt;"",$AE29,IF($Z29&lt;&gt;"",$Z29,IF($U29&lt;&gt;"",$U29,IF($P29&lt;&gt;"",$P29,""))))),"")</f>
        <v/>
      </c>
      <c r="AP30" s="431" t="inlineStr">
        <is>
          <t>Field/column completeness check — auto-derived (xem generate.md Step 3b) | UI chính thức v1.0 là modal đơn giản (C-DLV-03 Resolved 2026-07-27) — form đầy đủ (ảnh bằng chứng/điểm uy tín) out of scope, KHÔNG assert</t>
        </is>
      </c>
    </row>
    <row r="31" ht="60" customHeight="1" s="225">
      <c r="A31" s="426">
        <f>IF(C31="","",$C$2&amp;"."&amp;COUNTA($C$8:C31)&amp;"")</f>
        <v/>
      </c>
      <c r="B31" s="426" t="inlineStr">
        <is>
          <t>REQ-DLV-003, REQ-DLV-006</t>
        </is>
      </c>
      <c r="C31" s="426" t="inlineStr">
        <is>
          <t>DOC-v1.0-01 §D3/§D4/§A5 (DLV-03, BR-CNF-04, BR-INT-03)</t>
        </is>
      </c>
      <c r="D31" s="426" t="inlineStr">
        <is>
          <t>Functional</t>
        </is>
      </c>
      <c r="E31" s="426" t="inlineStr">
        <is>
          <t>High</t>
        </is>
      </c>
      <c r="F31" s="427" t="inlineStr">
        <is>
          <t>Check Receiver xác nhận đã nhận hàng → đơn chuyển "Hoàn thành" ngay lập tức</t>
        </is>
      </c>
      <c r="G31" s="427" t="inlineStr">
        <is>
          <t>Đơn đang ở trạng thái "Đã giao", user đăng nhập là Receiver của đơn</t>
        </is>
      </c>
      <c r="H31" s="427" t="inlineStr">
        <is>
          <t>1. Mở app FoxEco bằng tài khoản Người nhận (Receiver)
2. Bấm tab "Hoạt động", mở đơn cần theo dõi để vào màn "Theo dõi đơn"
3. Bấm nút "✓ Xác nhận đã nhận hàng" rồi bấm "Xác nhận" trong popup</t>
        </is>
      </c>
      <c r="I31" s="427" t="inlineStr">
        <is>
          <t>3. Đơn chuyển sang trạng thái "Hoàn thành" NGAY lập tức (không phát sinh bước chờ duyệt nào), thanh 5 bước tiến tới bước cuối</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IF($A30="","",IF(OR($N30="Yes",$S30="Yes",$X30="Yes",$AC30="Yes",$AH30="Yes"),"Yes","No"))</f>
        <v/>
      </c>
      <c r="AN31" s="430">
        <f>IF($A30="","",IFERROR(IF($AI30&lt;&gt;"",$AI30,IF($AD30&lt;&gt;"",$AD30,IF($Y30&lt;&gt;"",$Y30,IF($T30&lt;&gt;"",$T30,IF($O30&lt;&gt;"",$O30,""))))),""))</f>
        <v/>
      </c>
      <c r="AO31" s="430">
        <f>IFERROR(IF($AJ30&lt;&gt;"",$AJ30,IF($AE30&lt;&gt;"",$AE30,IF($Z30&lt;&gt;"",$Z30,IF($U30&lt;&gt;"",$U30,IF($P30&lt;&gt;"",$P30,""))))),"")</f>
        <v/>
      </c>
      <c r="AP31" s="431" t="inlineStr">
        <is>
          <t>Technique: ST-delivered-completed | Actor được quyền chốt đơn = Receiver-only (C-DLV-01 Resolved)</t>
        </is>
      </c>
    </row>
    <row r="32" ht="60" customHeight="1" s="225">
      <c r="A32" s="426">
        <f>IF(C32="","",$C$2&amp;"."&amp;COUNTA($C$8:C32)&amp;"")</f>
        <v/>
      </c>
      <c r="B32" s="426" t="inlineStr">
        <is>
          <t>REQ-DLV-003</t>
        </is>
      </c>
      <c r="C32" s="426" t="inlineStr">
        <is>
          <t>DOC-v1.0-01 §D3/§D4/§A5 (DLV-03, BR-CNF-04, BR-INT-03)</t>
        </is>
      </c>
      <c r="D32" s="426" t="inlineStr">
        <is>
          <t>Functional</t>
        </is>
      </c>
      <c r="E32" s="426" t="inlineStr">
        <is>
          <t>Medium</t>
        </is>
      </c>
      <c r="F32" s="427" t="inlineStr">
        <is>
          <t>Check bấm "Huỷ" trên popup xác nhận đã nhận hàng → đơn KHÔNG đổi trạng thái</t>
        </is>
      </c>
      <c r="G32" s="427" t="inlineStr">
        <is>
          <t>Đơn đang ở trạng thái "Đã giao", popup xác nhận đã nhận hàng vừa được mở</t>
        </is>
      </c>
      <c r="H32" s="427" t="inlineStr">
        <is>
          <t>1. Mở app FoxEco bằng tài khoản Người nhận (Receiver)
2. Bấm tab "Hoạt động", mở đơn cần theo dõi để vào màn "Theo dõi đơn"
3. Bấm nút "✓ Xác nhận đã nhận hàng" để mở popup, sau đó bấm "Huỷ"</t>
        </is>
      </c>
      <c r="I32" s="427" t="inlineStr">
        <is>
          <t>3. Popup đóng lại, đơn giữ nguyên trạng thái "Đã giao" và nút "✓ Xác nhận đã nhận hàng" vẫn khả dụng</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IF($A31="","",IF(OR($N31="Yes",$S31="Yes",$X31="Yes",$AC31="Yes",$AH31="Yes"),"Yes","No"))</f>
        <v/>
      </c>
      <c r="AN32" s="430">
        <f>IF($A31="","",IFERROR(IF($AI31&lt;&gt;"",$AI31,IF($AD31&lt;&gt;"",$AD31,IF($Y31&lt;&gt;"",$Y31,IF($T31&lt;&gt;"",$T31,IF($O31&lt;&gt;"",$O31,""))))),""))</f>
        <v/>
      </c>
      <c r="AO32" s="430">
        <f>IFERROR(IF($AJ31&lt;&gt;"",$AJ31,IF($AE31&lt;&gt;"",$AE31,IF($Z31&lt;&gt;"",$Z31,IF($U31&lt;&gt;"",$U31,IF($P31&lt;&gt;"",$P31,""))))),"")</f>
        <v/>
      </c>
      <c r="AP32" s="431" t="inlineStr">
        <is>
          <t>Technique: EP-cancel (popup xác nhận đã nhận hàng)</t>
        </is>
      </c>
    </row>
    <row r="33" ht="60" customHeight="1" s="225">
      <c r="A33" s="426">
        <f>IF(C33="","",$C$2&amp;"."&amp;COUNTA($C$8:C33)&amp;"")</f>
        <v/>
      </c>
      <c r="B33" s="426" t="inlineStr">
        <is>
          <t>REQ-DLV-003</t>
        </is>
      </c>
      <c r="C33" s="426" t="inlineStr">
        <is>
          <t>DOC-v1.0-02 §5.2 Table 14</t>
        </is>
      </c>
      <c r="D33" s="426" t="inlineStr">
        <is>
          <t>UI</t>
        </is>
      </c>
      <c r="E33" s="426" t="inlineStr">
        <is>
          <t>Medium</t>
        </is>
      </c>
      <c r="F33" s="427" t="inlineStr">
        <is>
          <t>Check Lịch sử ghi mốc "Hoàn thành &amp; đã đánh giá" sau khi Receiver xác nhận</t>
        </is>
      </c>
      <c r="G33" s="427" t="inlineStr">
        <is>
          <t>Đơn vừa chuyển sang trạng thái "Hoàn thành" do Receiver xác nhận</t>
        </is>
      </c>
      <c r="H33" s="427" t="inlineStr">
        <is>
          <t>1. Mở app FoxEco bằng tài khoản Người nhận (Receiver)
2. Bấm tab "Hoạt động", mở đơn cần theo dõi để vào màn "Theo dõi đơn"
3. Cuộn xuống khối "Lịch sử" trên màn Theo dõi đơn</t>
        </is>
      </c>
      <c r="I33" s="427" t="inlineStr">
        <is>
          <t>3. Khối "Lịch sử" ghi thêm mốc "Hoàn thành &amp; đã đánh giá" kèm timestamp, nối tiếp đúng thứ tự sau mốc "Đã giao"</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IF($A32="","",IF(OR($N32="Yes",$S32="Yes",$X32="Yes",$AC32="Yes",$AH32="Yes"),"Yes","No"))</f>
        <v/>
      </c>
      <c r="AN33" s="430">
        <f>IF($A32="","",IFERROR(IF($AI32&lt;&gt;"",$AI32,IF($AD32&lt;&gt;"",$AD32,IF($Y32&lt;&gt;"",$Y32,IF($T32&lt;&gt;"",$T32,IF($O32&lt;&gt;"",$O32,""))))),""))</f>
        <v/>
      </c>
      <c r="AO33" s="430">
        <f>IFERROR(IF($AJ32&lt;&gt;"",$AJ32,IF($AE32&lt;&gt;"",$AE32,IF($Z32&lt;&gt;"",$Z32,IF($U32&lt;&gt;"",$U32,IF($P32&lt;&gt;"",$P32,""))))),"")</f>
        <v/>
      </c>
      <c r="AP33" s="431" t="n"/>
    </row>
    <row r="34" ht="60" customHeight="1" s="225">
      <c r="A34" s="426">
        <f>IF(C34="","",$C$2&amp;"."&amp;COUNTA($C$8:C34)&amp;"")</f>
        <v/>
      </c>
      <c r="B34" s="426" t="inlineStr">
        <is>
          <t>REQ-DLV-003</t>
        </is>
      </c>
      <c r="C34" s="426" t="inlineStr">
        <is>
          <t>DOC-v1.0-01 §D3/§D4/§A5 (DLV-03, BR-CNF-04, BR-INT-03)</t>
        </is>
      </c>
      <c r="D34" s="426" t="inlineStr">
        <is>
          <t>Functional</t>
        </is>
      </c>
      <c r="E34" s="426" t="inlineStr">
        <is>
          <t>High</t>
        </is>
      </c>
      <c r="F34" s="427" t="inlineStr">
        <is>
          <t>Check màn của Sender và Carrier tự chuyển "Hoàn thành" khi Receiver xác nhận</t>
        </is>
      </c>
      <c r="G34" s="427" t="inlineStr">
        <is>
          <t>3 tài khoản Sender / Carrier / Receiver của cùng 1 đơn đang mở sẵn màn Theo dõi đơn; đơn đang ở "Đã giao"</t>
        </is>
      </c>
      <c r="H34" s="427" t="inlineStr">
        <is>
          <t>1. Trên thiết bị Receiver: bấm "✓ Xác nhận đã nhận hàng" rồi "Xác nhận"
2. Ngay sau đó quan sát màn Theo dõi đơn đang mở trên thiết bị Sender
3. Ngay sau đó quan sát màn Theo dõi đơn đang mở trên thiết bị Carrier</t>
        </is>
      </c>
      <c r="I34" s="427" t="inlineStr">
        <is>
          <t>3. Cả màn Sender lẫn màn Carrier đều tự cập nhật sang trạng thái "Hoàn thành" mà KHÔNG cần thao tác tải lại thủ công</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IF($A33="","",IF(OR($N33="Yes",$S33="Yes",$X33="Yes",$AC33="Yes",$AH33="Yes"),"Yes","No"))</f>
        <v/>
      </c>
      <c r="AN34" s="430">
        <f>IF($A33="","",IFERROR(IF($AI33&lt;&gt;"",$AI33,IF($AD33&lt;&gt;"",$AD33,IF($Y33&lt;&gt;"",$Y33,IF($T33&lt;&gt;"",$T33,IF($O33&lt;&gt;"",$O33,""))))),""))</f>
        <v/>
      </c>
      <c r="AO34" s="430">
        <f>IFERROR(IF($AJ33&lt;&gt;"",$AJ33,IF($AE33&lt;&gt;"",$AE33,IF($Z33&lt;&gt;"",$Z33,IF($U33&lt;&gt;"",$U33,IF($P33&lt;&gt;"",$P33,""))))),"")</f>
        <v/>
      </c>
      <c r="AP34" s="431" t="n"/>
    </row>
    <row r="35" ht="20" customHeight="1" s="225">
      <c r="A35" s="426" t="n"/>
      <c r="B35" s="432" t="inlineStr">
        <is>
          <t>Block Ma trận nhãn nút theo trạng thái × vai trò</t>
        </is>
      </c>
      <c r="C35" s="233" t="n"/>
      <c r="D35" s="233" t="n"/>
      <c r="E35" s="233" t="n"/>
      <c r="F35" s="233" t="n"/>
      <c r="G35" s="233" t="n"/>
      <c r="H35" s="233" t="n"/>
      <c r="I35" s="231" t="n"/>
      <c r="J35" s="426" t="n"/>
      <c r="K35" s="426" t="n"/>
      <c r="L35" s="426" t="n"/>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n"/>
    </row>
    <row r="36" ht="60" customHeight="1" s="225">
      <c r="A36" s="426">
        <f>IF(C36="","",$C$2&amp;"."&amp;COUNTA($C$8:C36)&amp;"")</f>
        <v/>
      </c>
      <c r="B36" s="426" t="inlineStr">
        <is>
          <t>REQ-DLV-003</t>
        </is>
      </c>
      <c r="C36" s="426" t="inlineStr">
        <is>
          <t>Quan sát thực tế app STG + ảnh DOC-v1.0-04 (ma trận nhãn nút)</t>
        </is>
      </c>
      <c r="D36" s="426" t="inlineStr">
        <is>
          <t>UI</t>
        </is>
      </c>
      <c r="E36" s="426" t="inlineStr">
        <is>
          <t>Low</t>
        </is>
      </c>
      <c r="F36" s="427" t="inlineStr">
        <is>
          <t>Check nhãn CTA của Người gửi khi đơn đang "Chờ ghép"</t>
        </is>
      </c>
      <c r="G36" s="427" t="inlineStr">
        <is>
          <t>Đơn đang ở trạng thái "Chờ ghép", user đăng nhập là Sender của đơn</t>
        </is>
      </c>
      <c r="H36" s="427" t="inlineStr">
        <is>
          <t>1. Mở app FoxEco bằng tài khoản Người gửi (Sender)
2. Bấm tab "Hoạt động", mở đơn cần theo dõi để vào màn "Theo dõi đơn"
3. Quan sát nhãn CTA ở đáy màn</t>
        </is>
      </c>
      <c r="I36" s="427" t="inlineStr">
        <is>
          <t>3. Hiển thị nhãn "Đang chờ người vận chuyển nhận đơn" ở trạng thái disable, kèm 2 nút "Chỉnh sửa" và "Huỷ đơn"</t>
        </is>
      </c>
      <c r="J36" s="426" t="inlineStr">
        <is>
          <t>AI</t>
        </is>
      </c>
      <c r="K36" s="426" t="inlineStr">
        <is>
          <t>Pending</t>
        </is>
      </c>
      <c r="L36" s="426" t="inlineStr">
        <is>
          <t>No</t>
        </is>
      </c>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f>IF($A35="","",IF(OR($N35="Yes",$S35="Yes",$X35="Yes",$AC35="Yes",$AH35="Yes"),"Yes","No"))</f>
        <v/>
      </c>
      <c r="AN36" s="430">
        <f>IF($A35="","",IFERROR(IF($AI35&lt;&gt;"",$AI35,IF($AD35&lt;&gt;"",$AD35,IF($Y35&lt;&gt;"",$Y35,IF($T35&lt;&gt;"",$T35,IF($O35&lt;&gt;"",$O35,""))))),""))</f>
        <v/>
      </c>
      <c r="AO36" s="430">
        <f>IFERROR(IF($AJ35&lt;&gt;"",$AJ35,IF($AE35&lt;&gt;"",$AE35,IF($Z35&lt;&gt;"",$Z35,IF($U35&lt;&gt;"",$U35,IF($P35&lt;&gt;"",$P35,""))))),"")</f>
        <v/>
      </c>
      <c r="AP36" s="431" t="inlineStr">
        <is>
          <t>Technique: EP-sender-posted | Mở rộng theo Block Definition ma trận nhãn (hàng "Chờ ghép"), ngoài Given gốc của SC-DLV-012 (bắt đầu từ "Đã ghép")</t>
        </is>
      </c>
    </row>
    <row r="37" ht="60" customHeight="1" s="225">
      <c r="A37" s="426">
        <f>IF(C37="","",$C$2&amp;"."&amp;COUNTA($C$8:C37)&amp;"")</f>
        <v/>
      </c>
      <c r="B37" s="426" t="inlineStr">
        <is>
          <t>REQ-DLV-003</t>
        </is>
      </c>
      <c r="C37" s="426" t="inlineStr">
        <is>
          <t>Quan sát thực tế app STG + ảnh DOC-v1.0-04 (ma trận nhãn nút)</t>
        </is>
      </c>
      <c r="D37" s="426" t="inlineStr">
        <is>
          <t>UI</t>
        </is>
      </c>
      <c r="E37" s="426" t="inlineStr">
        <is>
          <t>Low</t>
        </is>
      </c>
      <c r="F37" s="427" t="inlineStr">
        <is>
          <t>Check nhãn CTA của Người nhận khi đơn đang "Chờ ghép"</t>
        </is>
      </c>
      <c r="G37" s="427" t="inlineStr">
        <is>
          <t>Đơn đang ở trạng thái "Chờ ghép", user đăng nhập là Receiver của đơn</t>
        </is>
      </c>
      <c r="H37" s="427" t="inlineStr">
        <is>
          <t>1. Mở app FoxEco bằng tài khoản Người nhận (Receiver)
2. Bấm tab "Hoạt động", mở đơn cần theo dõi để vào màn "Theo dõi đơn"
3. Quan sát nhãn CTA ở đáy màn</t>
        </is>
      </c>
      <c r="I37" s="427" t="inlineStr">
        <is>
          <t>3. Hiển thị nhãn "Đang chờ người vận chuyển nhận đơn" ở trạng thái disable, kèm nút "Huỷ đơn"</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IF($A36="","",IF(OR($N36="Yes",$S36="Yes",$X36="Yes",$AC36="Yes",$AH36="Yes"),"Yes","No"))</f>
        <v/>
      </c>
      <c r="AN37" s="430">
        <f>IF($A36="","",IFERROR(IF($AI36&lt;&gt;"",$AI36,IF($AD36&lt;&gt;"",$AD36,IF($Y36&lt;&gt;"",$Y36,IF($T36&lt;&gt;"",$T36,IF($O36&lt;&gt;"",$O36,""))))),""))</f>
        <v/>
      </c>
      <c r="AO37" s="430">
        <f>IFERROR(IF($AJ36&lt;&gt;"",$AJ36,IF($AE36&lt;&gt;"",$AE36,IF($Z36&lt;&gt;"",$Z36,IF($U36&lt;&gt;"",$U36,IF($P36&lt;&gt;"",$P36,""))))),"")</f>
        <v/>
      </c>
      <c r="AP37" s="431" t="inlineStr">
        <is>
          <t>Technique: EP-receiver-posted | Mở rộng theo Block Definition ma trận nhãn (hàng "Chờ ghép")</t>
        </is>
      </c>
    </row>
    <row r="38" ht="60" customHeight="1" s="225">
      <c r="A38" s="426">
        <f>IF(C38="","",$C$2&amp;"."&amp;COUNTA($C$8:C38)&amp;"")</f>
        <v/>
      </c>
      <c r="B38" s="426" t="inlineStr">
        <is>
          <t>REQ-DLV-003</t>
        </is>
      </c>
      <c r="C38" s="426" t="inlineStr">
        <is>
          <t>Quan sát thực tế app STG + ảnh DOC-v1.0-04 (ma trận nhãn nút)</t>
        </is>
      </c>
      <c r="D38" s="426" t="inlineStr">
        <is>
          <t>UI</t>
        </is>
      </c>
      <c r="E38" s="426" t="inlineStr">
        <is>
          <t>Medium</t>
        </is>
      </c>
      <c r="F38" s="427" t="inlineStr">
        <is>
          <t>Check nhãn CTA của Người gửi khi đơn đang "Đã ghép"</t>
        </is>
      </c>
      <c r="G38" s="427" t="inlineStr">
        <is>
          <t>Đơn đang ở trạng thái "Đã ghép", user đăng nhập là Sender của đơn</t>
        </is>
      </c>
      <c r="H38" s="427" t="inlineStr">
        <is>
          <t>1. Mở app FoxEco bằng tài khoản Người gửi (Sender)
2. Bấm tab "Hoạt động", mở đơn cần theo dõi để vào màn "Theo dõi đơn"
3. Quan sát nhãn CTA ở đáy màn</t>
        </is>
      </c>
      <c r="I38" s="427" t="inlineStr">
        <is>
          <t>3. Hiển thị nhãn "Đã ghép · chờ shipper lấy hàng" ở trạng thái disable, kèm nút "Huỷ đơn"</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IF($A37="","",IF(OR($N37="Yes",$S37="Yes",$X37="Yes",$AC37="Yes",$AH37="Yes"),"Yes","No"))</f>
        <v/>
      </c>
      <c r="AN38" s="430">
        <f>IF($A37="","",IFERROR(IF($AI37&lt;&gt;"",$AI37,IF($AD37&lt;&gt;"",$AD37,IF($Y37&lt;&gt;"",$Y37,IF($T37&lt;&gt;"",$T37,IF($O37&lt;&gt;"",$O37,""))))),""))</f>
        <v/>
      </c>
      <c r="AO38" s="430">
        <f>IFERROR(IF($AJ37&lt;&gt;"",$AJ37,IF($AE37&lt;&gt;"",$AE37,IF($Z37&lt;&gt;"",$Z37,IF($U37&lt;&gt;"",$U37,IF($P37&lt;&gt;"",$P37,""))))),"")</f>
        <v/>
      </c>
      <c r="AP38" s="431" t="inlineStr">
        <is>
          <t>Technique: EP-sender-matched</t>
        </is>
      </c>
    </row>
    <row r="39" ht="60" customHeight="1" s="225">
      <c r="A39" s="426">
        <f>IF(C39="","",$C$2&amp;"."&amp;COUNTA($C$8:C39)&amp;"")</f>
        <v/>
      </c>
      <c r="B39" s="426" t="inlineStr">
        <is>
          <t>REQ-DLV-003</t>
        </is>
      </c>
      <c r="C39" s="426" t="inlineStr">
        <is>
          <t>Quan sát thực tế app STG + ảnh DOC-v1.0-04 (ma trận nhãn nút)</t>
        </is>
      </c>
      <c r="D39" s="426" t="inlineStr">
        <is>
          <t>UI</t>
        </is>
      </c>
      <c r="E39" s="426" t="inlineStr">
        <is>
          <t>Medium</t>
        </is>
      </c>
      <c r="F39" s="427" t="inlineStr">
        <is>
          <t>Check nhãn CTA của Người nhận khi đơn đang "Đã ghép"</t>
        </is>
      </c>
      <c r="G39" s="427" t="inlineStr">
        <is>
          <t>Đơn đang ở trạng thái "Đã ghép", user đăng nhập là Receiver của đơn</t>
        </is>
      </c>
      <c r="H39" s="427" t="inlineStr">
        <is>
          <t>1. Mở app FoxEco bằng tài khoản Người nhận (Receiver)
2. Bấm tab "Hoạt động", mở đơn cần theo dõi để vào màn "Theo dõi đơn"
3. Quan sát nhãn CTA ở đáy màn</t>
        </is>
      </c>
      <c r="I39" s="427" t="inlineStr">
        <is>
          <t>3. Hiển thị nhãn "Đã có người vận chuyển · chờ lấy hàng" ở trạng thái disable, kèm nút "Huỷ đơn"</t>
        </is>
      </c>
      <c r="J39" s="426" t="inlineStr">
        <is>
          <t>AI</t>
        </is>
      </c>
      <c r="K39" s="426" t="inlineStr">
        <is>
          <t>Pending</t>
        </is>
      </c>
      <c r="L39" s="426" t="inlineStr">
        <is>
          <t>No</t>
        </is>
      </c>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f>IF($A38="","",IF(OR($N38="Yes",$S38="Yes",$X38="Yes",$AC38="Yes",$AH38="Yes"),"Yes","No"))</f>
        <v/>
      </c>
      <c r="AN39" s="430">
        <f>IF($A38="","",IFERROR(IF($AI38&lt;&gt;"",$AI38,IF($AD38&lt;&gt;"",$AD38,IF($Y38&lt;&gt;"",$Y38,IF($T38&lt;&gt;"",$T38,IF($O38&lt;&gt;"",$O38,""))))),""))</f>
        <v/>
      </c>
      <c r="AO39" s="430">
        <f>IFERROR(IF($AJ38&lt;&gt;"",$AJ38,IF($AE38&lt;&gt;"",$AE38,IF($Z38&lt;&gt;"",$Z38,IF($U38&lt;&gt;"",$U38,IF($P38&lt;&gt;"",$P38,""))))),"")</f>
        <v/>
      </c>
      <c r="AP39" s="431" t="inlineStr">
        <is>
          <t>Technique: EP-receiver-matched</t>
        </is>
      </c>
    </row>
    <row r="40" ht="60" customHeight="1" s="225">
      <c r="A40" s="426">
        <f>IF(C40="","",$C$2&amp;"."&amp;COUNTA($C$8:C40)&amp;"")</f>
        <v/>
      </c>
      <c r="B40" s="426" t="inlineStr">
        <is>
          <t>REQ-DLV-003</t>
        </is>
      </c>
      <c r="C40" s="426" t="inlineStr">
        <is>
          <t>Quan sát thực tế app STG + ảnh DOC-v1.0-04 (ma trận nhãn nút)</t>
        </is>
      </c>
      <c r="D40" s="426" t="inlineStr">
        <is>
          <t>UI</t>
        </is>
      </c>
      <c r="E40" s="426" t="inlineStr">
        <is>
          <t>Medium</t>
        </is>
      </c>
      <c r="F40" s="427" t="inlineStr">
        <is>
          <t>Check nhãn CTA của Người gửi khi đơn đang "Đang giao"</t>
        </is>
      </c>
      <c r="G40" s="427" t="inlineStr">
        <is>
          <t>Đơn đang ở trạng thái "Đang giao", user đăng nhập là Sender của đơn</t>
        </is>
      </c>
      <c r="H40" s="427" t="inlineStr">
        <is>
          <t>1. Mở app FoxEco bằng tài khoản Người gửi (Sender)
2. Bấm tab "Hoạt động", mở đơn cần theo dõi để vào màn "Theo dõi đơn"
3. Quan sát nhãn CTA ở đáy màn</t>
        </is>
      </c>
      <c r="I40" s="427" t="inlineStr">
        <is>
          <t>3. Hiển thị nhãn "Đang giao đến người nhận" ở trạng thái disable</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IF($A39="","",IF(OR($N39="Yes",$S39="Yes",$X39="Yes",$AC39="Yes",$AH39="Yes"),"Yes","No"))</f>
        <v/>
      </c>
      <c r="AN40" s="430">
        <f>IF($A39="","",IFERROR(IF($AI39&lt;&gt;"",$AI39,IF($AD39&lt;&gt;"",$AD39,IF($Y39&lt;&gt;"",$Y39,IF($T39&lt;&gt;"",$T39,IF($O39&lt;&gt;"",$O39,""))))),""))</f>
        <v/>
      </c>
      <c r="AO40" s="430">
        <f>IFERROR(IF($AJ39&lt;&gt;"",$AJ39,IF($AE39&lt;&gt;"",$AE39,IF($Z39&lt;&gt;"",$Z39,IF($U39&lt;&gt;"",$U39,IF($P39&lt;&gt;"",$P39,""))))),"")</f>
        <v/>
      </c>
      <c r="AP40" s="431" t="inlineStr">
        <is>
          <t>Technique: EP-sender-in-transit</t>
        </is>
      </c>
    </row>
    <row r="41" ht="60" customHeight="1" s="225">
      <c r="A41" s="426">
        <f>IF(C41="","",$C$2&amp;"."&amp;COUNTA($C$8:C41)&amp;"")</f>
        <v/>
      </c>
      <c r="B41" s="426" t="inlineStr">
        <is>
          <t>REQ-DLV-003</t>
        </is>
      </c>
      <c r="C41" s="426" t="inlineStr">
        <is>
          <t>Quan sát thực tế app STG + ảnh DOC-v1.0-04 (ma trận nhãn nút)</t>
        </is>
      </c>
      <c r="D41" s="426" t="inlineStr">
        <is>
          <t>UI</t>
        </is>
      </c>
      <c r="E41" s="426" t="inlineStr">
        <is>
          <t>Medium</t>
        </is>
      </c>
      <c r="F41" s="427" t="inlineStr">
        <is>
          <t>Check nhãn CTA của Người nhận khi đơn đang "Đang giao"</t>
        </is>
      </c>
      <c r="G41" s="427" t="inlineStr">
        <is>
          <t>Đơn đang ở trạng thái "Đang giao", user đăng nhập là Receiver của đơn</t>
        </is>
      </c>
      <c r="H41" s="427" t="inlineStr">
        <is>
          <t>1. Mở app FoxEco bằng tài khoản Người nhận (Receiver)
2. Bấm tab "Hoạt động", mở đơn cần theo dõi để vào màn "Theo dõi đơn"
3. Quan sát nhãn CTA ở đáy màn</t>
        </is>
      </c>
      <c r="I41" s="427" t="inlineStr">
        <is>
          <t>3. Hiển thị nhãn "✓ Đơn đang trên đường đến bạn" ở trạng thái disable</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IF($A40="","",IF(OR($N40="Yes",$S40="Yes",$X40="Yes",$AC40="Yes",$AH40="Yes"),"Yes","No"))</f>
        <v/>
      </c>
      <c r="AN41" s="430">
        <f>IF($A40="","",IFERROR(IF($AI40&lt;&gt;"",$AI40,IF($AD40&lt;&gt;"",$AD40,IF($Y40&lt;&gt;"",$Y40,IF($T40&lt;&gt;"",$T40,IF($O40&lt;&gt;"",$O40,""))))),""))</f>
        <v/>
      </c>
      <c r="AO41" s="430">
        <f>IFERROR(IF($AJ40&lt;&gt;"",$AJ40,IF($AE40&lt;&gt;"",$AE40,IF($Z40&lt;&gt;"",$Z40,IF($U40&lt;&gt;"",$U40,IF($P40&lt;&gt;"",$P40,""))))),"")</f>
        <v/>
      </c>
      <c r="AP41" s="431" t="inlineStr">
        <is>
          <t>Technique: EP-receiver-in-transit</t>
        </is>
      </c>
    </row>
    <row r="42" ht="60" customHeight="1" s="225">
      <c r="A42" s="426">
        <f>IF(C42="","",$C$2&amp;"."&amp;COUNTA($C$8:C42)&amp;"")</f>
        <v/>
      </c>
      <c r="B42" s="426" t="inlineStr">
        <is>
          <t>REQ-DLV-003</t>
        </is>
      </c>
      <c r="C42" s="426" t="inlineStr">
        <is>
          <t>Quan sát thực tế app STG + ảnh DOC-v1.0-04 (ma trận nhãn nút)</t>
        </is>
      </c>
      <c r="D42" s="426" t="inlineStr">
        <is>
          <t>UI</t>
        </is>
      </c>
      <c r="E42" s="426" t="inlineStr">
        <is>
          <t>High</t>
        </is>
      </c>
      <c r="F42" s="427" t="inlineStr">
        <is>
          <t>Check tại "Đã giao": Người gửi thấy nhãn disable "Đã giao · chờ người nhận xác nhận"</t>
        </is>
      </c>
      <c r="G42" s="427" t="inlineStr">
        <is>
          <t>Đơn đang ở trạng thái "Đã giao", user đăng nhập là Sender của đơn</t>
        </is>
      </c>
      <c r="H42" s="427" t="inlineStr">
        <is>
          <t>1. Mở app FoxEco bằng tài khoản Người gửi (Sender)
2. Bấm tab "Hoạt động", mở đơn cần theo dõi để vào màn "Theo dõi đơn"
3. Quan sát và bấm thử nhãn CTA ở đáy màn</t>
        </is>
      </c>
      <c r="I42" s="427" t="inlineStr">
        <is>
          <t>3. Hiển thị nhãn "✓ Đã giao · chờ người nhận xác nhận" ở trạng thái disable — Sender KHÔNG chốt được đơn</t>
        </is>
      </c>
      <c r="J42" s="426" t="inlineStr">
        <is>
          <t>AI</t>
        </is>
      </c>
      <c r="K42" s="426" t="inlineStr">
        <is>
          <t>Pending</t>
        </is>
      </c>
      <c r="L42" s="426" t="inlineStr">
        <is>
          <t>No</t>
        </is>
      </c>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f>IF($A41="","",IF(OR($N41="Yes",$S41="Yes",$X41="Yes",$AC41="Yes",$AH41="Yes"),"Yes","No"))</f>
        <v/>
      </c>
      <c r="AN42" s="430">
        <f>IF($A41="","",IFERROR(IF($AI41&lt;&gt;"",$AI41,IF($AD41&lt;&gt;"",$AD41,IF($Y41&lt;&gt;"",$Y41,IF($T41&lt;&gt;"",$T41,IF($O41&lt;&gt;"",$O41,""))))),""))</f>
        <v/>
      </c>
      <c r="AO42" s="430">
        <f>IFERROR(IF($AJ41&lt;&gt;"",$AJ41,IF($AE41&lt;&gt;"",$AE41,IF($Z41&lt;&gt;"",$Z41,IF($U41&lt;&gt;"",$U41,IF($P41&lt;&gt;"",$P41,""))))),"")</f>
        <v/>
      </c>
      <c r="AP42" s="431" t="inlineStr">
        <is>
          <t>Technique: EP-sender-delivered</t>
        </is>
      </c>
    </row>
    <row r="43" ht="60" customHeight="1" s="225">
      <c r="A43" s="426">
        <f>IF(C43="","",$C$2&amp;"."&amp;COUNTA($C$8:C43)&amp;"")</f>
        <v/>
      </c>
      <c r="B43" s="426" t="inlineStr">
        <is>
          <t>REQ-DLV-003</t>
        </is>
      </c>
      <c r="C43" s="426" t="inlineStr">
        <is>
          <t>Quan sát thực tế app STG + ảnh DOC-v1.0-04 (ma trận nhãn nút)</t>
        </is>
      </c>
      <c r="D43" s="426" t="inlineStr">
        <is>
          <t>UI</t>
        </is>
      </c>
      <c r="E43" s="426" t="inlineStr">
        <is>
          <t>High</t>
        </is>
      </c>
      <c r="F43" s="427" t="inlineStr">
        <is>
          <t>Check tại "Đã giao": Người vận chuyển thấy nhãn disable "Đã giao · chờ người nhận xác nhận"</t>
        </is>
      </c>
      <c r="G43" s="427" t="inlineStr">
        <is>
          <t>Đơn đang ở trạng thái "Đã giao", user đăng nhập là Carrier của đơn</t>
        </is>
      </c>
      <c r="H43" s="427" t="inlineStr">
        <is>
          <t>1. Mở app FoxEco bằng tài khoản Người vận chuyển (Carrier)
2. Bấm tab "Hoạt động", mở đơn đang nhận để vào màn "Theo dõi đơn"
3. Quan sát và bấm thử nhãn CTA ở đáy màn</t>
        </is>
      </c>
      <c r="I43" s="427" t="inlineStr">
        <is>
          <t>3. Hiển thị nhãn "✓ Đã giao · chờ người nhận xác nhận" ở trạng thái disable — Carrier KHÔNG chốt được đơn</t>
        </is>
      </c>
      <c r="J43" s="426" t="inlineStr">
        <is>
          <t>AI</t>
        </is>
      </c>
      <c r="K43" s="426" t="inlineStr">
        <is>
          <t>Pending</t>
        </is>
      </c>
      <c r="L43" s="426" t="inlineStr">
        <is>
          <t>No</t>
        </is>
      </c>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f>IF($A42="","",IF(OR($N42="Yes",$S42="Yes",$X42="Yes",$AC42="Yes",$AH42="Yes"),"Yes","No"))</f>
        <v/>
      </c>
      <c r="AN43" s="430">
        <f>IF($A42="","",IFERROR(IF($AI42&lt;&gt;"",$AI42,IF($AD42&lt;&gt;"",$AD42,IF($Y42&lt;&gt;"",$Y42,IF($T42&lt;&gt;"",$T42,IF($O42&lt;&gt;"",$O42,""))))),""))</f>
        <v/>
      </c>
      <c r="AO43" s="430">
        <f>IFERROR(IF($AJ42&lt;&gt;"",$AJ42,IF($AE42&lt;&gt;"",$AE42,IF($Z42&lt;&gt;"",$Z42,IF($U42&lt;&gt;"",$U42,IF($P42&lt;&gt;"",$P42,""))))),"")</f>
        <v/>
      </c>
      <c r="AP43" s="431" t="inlineStr">
        <is>
          <t>Technique: EP-carrier-delivered</t>
        </is>
      </c>
    </row>
    <row r="44" ht="60" customHeight="1" s="225">
      <c r="A44" s="426">
        <f>IF(C44="","",$C$2&amp;"."&amp;COUNTA($C$8:C44)&amp;"")</f>
        <v/>
      </c>
      <c r="B44" s="426" t="inlineStr">
        <is>
          <t>REQ-DLV-003</t>
        </is>
      </c>
      <c r="C44" s="426" t="inlineStr">
        <is>
          <t>Quan sát thực tế app STG + ảnh DOC-v1.0-04 (ma trận nhãn nút)</t>
        </is>
      </c>
      <c r="D44" s="426" t="inlineStr">
        <is>
          <t>UI</t>
        </is>
      </c>
      <c r="E44" s="426" t="inlineStr">
        <is>
          <t>High</t>
        </is>
      </c>
      <c r="F44" s="427" t="inlineStr">
        <is>
          <t>Check tại "Đã giao": chỉ Người nhận có nút enable "Xác nhận đã nhận hàng"</t>
        </is>
      </c>
      <c r="G44" s="427" t="inlineStr">
        <is>
          <t>Đơn đang ở trạng thái "Đã giao"; có sẵn cả 3 tài khoản Sender / Carrier / Receiver của đơn</t>
        </is>
      </c>
      <c r="H44" s="427" t="inlineStr">
        <is>
          <t>1. Mở app FoxEco lần lượt bằng cả 3 tài khoản Sender, Carrier, Receiver của cùng đơn
2. Với mỗi tài khoản, mở màn Theo dõi đơn của đơn đó
3. Đối chiếu trạng thái nút CTA giữa 3 vai trò</t>
        </is>
      </c>
      <c r="I44" s="427" t="inlineStr">
        <is>
          <t>3. Chỉ tài khoản Receiver có nút "Xác nhận đã nhận hàng" ở trạng thái enable; Sender và Carrier đều chỉ thấy nhãn disable — đúng rule Receiver-only (C-DLV-01)</t>
        </is>
      </c>
      <c r="J44" s="426" t="inlineStr">
        <is>
          <t>AI</t>
        </is>
      </c>
      <c r="K44" s="426" t="inlineStr">
        <is>
          <t>Pending</t>
        </is>
      </c>
      <c r="L44" s="426" t="inlineStr">
        <is>
          <t>No</t>
        </is>
      </c>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f>IF($A43="","",IF(OR($N43="Yes",$S43="Yes",$X43="Yes",$AC43="Yes",$AH43="Yes"),"Yes","No"))</f>
        <v/>
      </c>
      <c r="AN44" s="430">
        <f>IF($A43="","",IFERROR(IF($AI43&lt;&gt;"",$AI43,IF($AD43&lt;&gt;"",$AD43,IF($Y43&lt;&gt;"",$Y43,IF($T43&lt;&gt;"",$T43,IF($O43&lt;&gt;"",$O43,""))))),""))</f>
        <v/>
      </c>
      <c r="AO44" s="430">
        <f>IFERROR(IF($AJ43&lt;&gt;"",$AJ43,IF($AE43&lt;&gt;"",$AE43,IF($Z43&lt;&gt;"",$Z43,IF($U43&lt;&gt;"",$U43,IF($P43&lt;&gt;"",$P43,""))))),"")</f>
        <v/>
      </c>
      <c r="AP44" s="431" t="inlineStr">
        <is>
          <t>Technique: EP-receiver-delivered (partition enable duy nhất) | Rule nghiệp vụ cốt lõi module DLV</t>
        </is>
      </c>
    </row>
    <row r="45" ht="60" customHeight="1" s="225">
      <c r="A45" s="426">
        <f>IF(C45="","",$C$2&amp;"."&amp;COUNTA($C$8:C45)&amp;"")</f>
        <v/>
      </c>
      <c r="B45" s="426" t="inlineStr">
        <is>
          <t>REQ-DLV-003</t>
        </is>
      </c>
      <c r="C45" s="426" t="inlineStr">
        <is>
          <t>Quan sát thực tế app STG + ảnh DOC-v1.0-04 (ma trận nhãn nút)</t>
        </is>
      </c>
      <c r="D45" s="426" t="inlineStr">
        <is>
          <t>UI</t>
        </is>
      </c>
      <c r="E45" s="426" t="inlineStr">
        <is>
          <t>Low</t>
        </is>
      </c>
      <c r="F45" s="427" t="inlineStr">
        <is>
          <t>Check nhãn CTA của Người vận chuyển sau khi đơn "Hoàn thành"</t>
        </is>
      </c>
      <c r="G45" s="427" t="inlineStr">
        <is>
          <t>Đơn vừa chuyển sang trạng thái "Hoàn thành", user đăng nhập là Carrier của đơn</t>
        </is>
      </c>
      <c r="H45" s="427" t="inlineStr">
        <is>
          <t>1. Mở app FoxEco bằng tài khoản Người vận chuyển (Carrier)
2. Bấm tab "Hoạt động", mở đơn đang nhận để vào màn "Theo dõi đơn"
3. Quan sát nhãn CTA ở đáy màn</t>
        </is>
      </c>
      <c r="I45" s="427" t="inlineStr">
        <is>
          <t>3. Hiển thị nhãn "✓ Đơn đã hoàn thành ✓" ở trạng thái disable — không còn hành động nào khác</t>
        </is>
      </c>
      <c r="J45" s="426" t="inlineStr">
        <is>
          <t>AI</t>
        </is>
      </c>
      <c r="K45" s="426" t="inlineStr">
        <is>
          <t>Pending</t>
        </is>
      </c>
      <c r="L45" s="426" t="inlineStr">
        <is>
          <t>No</t>
        </is>
      </c>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f>IF($A44="","",IF(OR($N44="Yes",$S44="Yes",$X44="Yes",$AC44="Yes",$AH44="Yes"),"Yes","No"))</f>
        <v/>
      </c>
      <c r="AN45" s="430">
        <f>IF($A44="","",IFERROR(IF($AI44&lt;&gt;"",$AI44,IF($AD44&lt;&gt;"",$AD44,IF($Y44&lt;&gt;"",$Y44,IF($T44&lt;&gt;"",$T44,IF($O44&lt;&gt;"",$O44,""))))),""))</f>
        <v/>
      </c>
      <c r="AO45" s="430">
        <f>IFERROR(IF($AJ44&lt;&gt;"",$AJ44,IF($AE44&lt;&gt;"",$AE44,IF($Z44&lt;&gt;"",$Z44,IF($U44&lt;&gt;"",$U44,IF($P44&lt;&gt;"",$P44,""))))),"")</f>
        <v/>
      </c>
      <c r="AP45" s="431" t="inlineStr">
        <is>
          <t>Technique: EP-carrier-completed</t>
        </is>
      </c>
    </row>
    <row r="46" ht="60" customHeight="1" s="225">
      <c r="A46" s="426">
        <f>IF(C46="","",$C$2&amp;"."&amp;COUNTA($C$8:C46)&amp;"")</f>
        <v/>
      </c>
      <c r="B46" s="426" t="inlineStr">
        <is>
          <t>REQ-DLV-003</t>
        </is>
      </c>
      <c r="C46" s="426" t="inlineStr">
        <is>
          <t>Quan sát thực tế app STG + ảnh DOC-v1.0-04 (ma trận nhãn nút)</t>
        </is>
      </c>
      <c r="D46" s="426" t="inlineStr">
        <is>
          <t>UI</t>
        </is>
      </c>
      <c r="E46" s="426" t="inlineStr">
        <is>
          <t>Low</t>
        </is>
      </c>
      <c r="F46" s="427" t="inlineStr">
        <is>
          <t>Check nhãn CTA của Người nhận sau khi đơn "Hoàn thành"</t>
        </is>
      </c>
      <c r="G46" s="427" t="inlineStr">
        <is>
          <t>Đơn vừa chuyển sang trạng thái "Hoàn thành", user đăng nhập là Receiver của đơn</t>
        </is>
      </c>
      <c r="H46" s="427" t="inlineStr">
        <is>
          <t>1. Mở app FoxEco bằng tài khoản Người nhận (Receiver)
2. Bấm tab "Hoạt động", mở đơn cần theo dõi để vào màn "Theo dõi đơn"
3. Quan sát nhãn CTA ở đáy màn</t>
        </is>
      </c>
      <c r="I46" s="427" t="inlineStr">
        <is>
          <t>3. Hiển thị nhãn "Đơn đã hoàn thành ✓" ở trạng thái disable — không còn hành động nào khác</t>
        </is>
      </c>
      <c r="J46" s="426" t="inlineStr">
        <is>
          <t>AI</t>
        </is>
      </c>
      <c r="K46" s="426" t="inlineStr">
        <is>
          <t>Pending</t>
        </is>
      </c>
      <c r="L46" s="426" t="inlineStr">
        <is>
          <t>No</t>
        </is>
      </c>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f>IF($A45="","",IF(OR($N45="Yes",$S45="Yes",$X45="Yes",$AC45="Yes",$AH45="Yes"),"Yes","No"))</f>
        <v/>
      </c>
      <c r="AN46" s="430">
        <f>IF($A45="","",IFERROR(IF($AI45&lt;&gt;"",$AI45,IF($AD45&lt;&gt;"",$AD45,IF($Y45&lt;&gt;"",$Y45,IF($T45&lt;&gt;"",$T45,IF($O45&lt;&gt;"",$O45,""))))),""))</f>
        <v/>
      </c>
      <c r="AO46" s="430">
        <f>IFERROR(IF($AJ45&lt;&gt;"",$AJ45,IF($AE45&lt;&gt;"",$AE45,IF($Z45&lt;&gt;"",$Z45,IF($U45&lt;&gt;"",$U45,IF($P45&lt;&gt;"",$P45,""))))),"")</f>
        <v/>
      </c>
      <c r="AP46" s="431" t="inlineStr">
        <is>
          <t>Technique: EP-receiver-completed | Nhãn của Sender ở bước Hoàn thành ("Cảm ơn người vận chuyển") thuộc SC-GIFT-004 — để dành fragment Tặng quà, không lặp tại đây</t>
        </is>
      </c>
    </row>
    <row r="47" ht="20" customHeight="1" s="225">
      <c r="A47" s="426" t="n"/>
      <c r="B47" s="432" t="inlineStr">
        <is>
          <t>Block Chặn huỷ sau khi đã lấy hàng</t>
        </is>
      </c>
      <c r="C47" s="233" t="n"/>
      <c r="D47" s="233" t="n"/>
      <c r="E47" s="233" t="n"/>
      <c r="F47" s="233" t="n"/>
      <c r="G47" s="233" t="n"/>
      <c r="H47" s="233" t="n"/>
      <c r="I47" s="231"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ht="60" customHeight="1" s="225">
      <c r="A48" s="426">
        <f>IF(C48="","",$C$2&amp;"."&amp;COUNTA($C$8:C48)&amp;"")</f>
        <v/>
      </c>
      <c r="B48" s="426" t="inlineStr">
        <is>
          <t>REQ-DLV-005</t>
        </is>
      </c>
      <c r="C48" s="426" t="inlineStr">
        <is>
          <t>DOC-v1.0-01 §D4 (BR-ASN-03)</t>
        </is>
      </c>
      <c r="D48" s="426" t="inlineStr">
        <is>
          <t>Functional</t>
        </is>
      </c>
      <c r="E48" s="426" t="inlineStr">
        <is>
          <t>High</t>
        </is>
      </c>
      <c r="F48" s="427" t="inlineStr">
        <is>
          <t>Check Người gửi KHÔNG còn nút "Huỷ đơn" khi đơn đã "Đang giao"</t>
        </is>
      </c>
      <c r="G48" s="427" t="inlineStr">
        <is>
          <t>Đơn đã chuyển sang "Đang giao" (Carrier đã bấm "Tôi đã lấy hàng"), user đăng nhập là Sender</t>
        </is>
      </c>
      <c r="H48" s="427" t="inlineStr">
        <is>
          <t>1. Mở app FoxEco bằng tài khoản Người gửi (Sender)
2. Bấm tab "Hoạt động", mở đơn cần theo dõi để vào màn "Theo dõi đơn"
3. Tìm nút "Huỷ đơn" trên màn Theo dõi đơn</t>
        </is>
      </c>
      <c r="I48" s="427" t="inlineStr">
        <is>
          <t>3. Nút "Huỷ đơn" KHÔNG còn hiển thị (hoặc disable) — đường huỷ thường bị khoá sau khi hàng đã được lấy</t>
        </is>
      </c>
      <c r="J48" s="426" t="inlineStr">
        <is>
          <t>AI</t>
        </is>
      </c>
      <c r="K48" s="426" t="inlineStr">
        <is>
          <t>Pending</t>
        </is>
      </c>
      <c r="L48" s="426" t="inlineStr">
        <is>
          <t>No</t>
        </is>
      </c>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f>IF($A47="","",IF(OR($N47="Yes",$S47="Yes",$X47="Yes",$AC47="Yes",$AH47="Yes"),"Yes","No"))</f>
        <v/>
      </c>
      <c r="AN48" s="430">
        <f>IF($A47="","",IFERROR(IF($AI47&lt;&gt;"",$AI47,IF($AD47&lt;&gt;"",$AD47,IF($Y47&lt;&gt;"",$Y47,IF($T47&lt;&gt;"",$T47,IF($O47&lt;&gt;"",$O47,""))))),""))</f>
        <v/>
      </c>
      <c r="AO48" s="430">
        <f>IFERROR(IF($AJ47&lt;&gt;"",$AJ47,IF($AE47&lt;&gt;"",$AE47,IF($Z47&lt;&gt;"",$Z47,IF($U47&lt;&gt;"",$U47,IF($P47&lt;&gt;"",$P47,""))))),"")</f>
        <v/>
      </c>
      <c r="AP48" s="431" t="inlineStr">
        <is>
          <t>Technique: EP-sender-blocked | Màn "Báo sự cố" (lối thoát thay thế) xác nhận Out of scope v1.0 — C-CNL-01 Resolved/Deferred → TC này CHỈ verify đường huỷ thường bị khoá, không assert sự tồn tại màn Báo sự cố</t>
        </is>
      </c>
    </row>
    <row r="49" ht="60" customHeight="1" s="225">
      <c r="A49" s="426">
        <f>IF(C49="","",$C$2&amp;"."&amp;COUNTA($C$8:C49)&amp;"")</f>
        <v/>
      </c>
      <c r="B49" s="426" t="inlineStr">
        <is>
          <t>REQ-DLV-005</t>
        </is>
      </c>
      <c r="C49" s="426" t="inlineStr">
        <is>
          <t>DOC-v1.0-01 §D4 (BR-ASN-03)</t>
        </is>
      </c>
      <c r="D49" s="426" t="inlineStr">
        <is>
          <t>Functional</t>
        </is>
      </c>
      <c r="E49" s="426" t="inlineStr">
        <is>
          <t>High</t>
        </is>
      </c>
      <c r="F49" s="427" t="inlineStr">
        <is>
          <t>Check Người vận chuyển KHÔNG còn nút "Huỷ nhận đơn" khi đơn đã "Đang giao"</t>
        </is>
      </c>
      <c r="G49" s="427" t="inlineStr">
        <is>
          <t>Đơn đã chuyển sang "Đang giao", user đăng nhập là Carrier của đơn</t>
        </is>
      </c>
      <c r="H49" s="427" t="inlineStr">
        <is>
          <t>1. Mở app FoxEco bằng tài khoản Người vận chuyển (Carrier)
2. Bấm tab "Hoạt động", mở đơn đang nhận để vào màn "Theo dõi đơn"
3. Tìm nút "✕ Huỷ nhận đơn" trên màn Theo dõi đơn</t>
        </is>
      </c>
      <c r="I49" s="427" t="inlineStr">
        <is>
          <t>3. Nút "✕ Huỷ nhận đơn" KHÔNG còn hiển thị (hoặc disable) — Carrier không bỏ đơn giữa đường bằng đường huỷ thường</t>
        </is>
      </c>
      <c r="J49" s="426" t="inlineStr">
        <is>
          <t>AI</t>
        </is>
      </c>
      <c r="K49" s="426" t="inlineStr">
        <is>
          <t>Pending</t>
        </is>
      </c>
      <c r="L49" s="426" t="inlineStr">
        <is>
          <t>No</t>
        </is>
      </c>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f>IF($A48="","",IF(OR($N48="Yes",$S48="Yes",$X48="Yes",$AC48="Yes",$AH48="Yes"),"Yes","No"))</f>
        <v/>
      </c>
      <c r="AN49" s="430">
        <f>IF($A48="","",IFERROR(IF($AI48&lt;&gt;"",$AI48,IF($AD48&lt;&gt;"",$AD48,IF($Y48&lt;&gt;"",$Y48,IF($T48&lt;&gt;"",$T48,IF($O48&lt;&gt;"",$O48,""))))),""))</f>
        <v/>
      </c>
      <c r="AO49" s="430">
        <f>IFERROR(IF($AJ48&lt;&gt;"",$AJ48,IF($AE48&lt;&gt;"",$AE48,IF($Z48&lt;&gt;"",$Z48,IF($U48&lt;&gt;"",$U48,IF($P48&lt;&gt;"",$P48,""))))),"")</f>
        <v/>
      </c>
      <c r="AP49" s="431" t="inlineStr">
        <is>
          <t>Technique: EP-carrier-blocked</t>
        </is>
      </c>
    </row>
    <row r="50" ht="20" customHeight="1" s="225">
      <c r="A50" s="426" t="n"/>
      <c r="B50" s="432" t="inlineStr">
        <is>
          <t>Block Escalate khi quá hạn xác nhận nhận hàng</t>
        </is>
      </c>
      <c r="C50" s="233" t="n"/>
      <c r="D50" s="233" t="n"/>
      <c r="E50" s="233" t="n"/>
      <c r="F50" s="233" t="n"/>
      <c r="G50" s="233" t="n"/>
      <c r="H50" s="233" t="n"/>
      <c r="I50" s="231"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ht="60" customHeight="1" s="225">
      <c r="A51" s="426">
        <f>IF(C51="","",$C$2&amp;"."&amp;COUNTA($C$8:C51)&amp;"")</f>
        <v/>
      </c>
      <c r="B51" s="426" t="inlineStr">
        <is>
          <t>REQ-DLV-003</t>
        </is>
      </c>
      <c r="C51" s="426" t="inlineStr">
        <is>
          <t>DOC-v1.0-01 §D3/§D4/§A5 (DLV-03, BR-CNF-04, BR-INT-03)</t>
        </is>
      </c>
      <c r="D51" s="426" t="inlineStr">
        <is>
          <t>Functional</t>
        </is>
      </c>
      <c r="E51" s="426" t="inlineStr">
        <is>
          <t>Medium</t>
        </is>
      </c>
      <c r="F51" s="427" t="inlineStr">
        <is>
          <t>Check hệ thống CHƯA gửi nhắc khi đơn ở "Đã giao" chưa quá 2 giờ</t>
        </is>
      </c>
      <c r="G51" s="427" t="inlineStr">
        <is>
          <t>Đơn ở trạng thái "Đã giao" được 1 giờ 55 phút, Receiver chưa xác nhận</t>
        </is>
      </c>
      <c r="H51" s="427" t="inlineStr">
        <is>
          <t>1. Đưa 1 đơn về trạng thái "Đã giao" và ghi nhận thời điểm chuyển trạng thái
2. Chờ tới mốc 1 giờ 55 phút (hoặc mock thời gian hệ thống tới mốc này)
3. Kiểm tra danh sách thông báo của Receiver</t>
        </is>
      </c>
      <c r="I51" s="427" t="inlineStr">
        <is>
          <t>3. Receiver CHƯA nhận được thông báo nhắc xác nhận nhận hàng</t>
        </is>
      </c>
      <c r="J51" s="426" t="inlineStr">
        <is>
          <t>AI</t>
        </is>
      </c>
      <c r="K51" s="426" t="inlineStr">
        <is>
          <t>Pending</t>
        </is>
      </c>
      <c r="L51" s="426" t="inlineStr">
        <is>
          <t>No</t>
        </is>
      </c>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f>IF($A50="","",IF(OR($N50="Yes",$S50="Yes",$X50="Yes",$AC50="Yes",$AH50="Yes"),"Yes","No"))</f>
        <v/>
      </c>
      <c r="AN51" s="430">
        <f>IF($A50="","",IFERROR(IF($AI50&lt;&gt;"",$AI50,IF($AD50&lt;&gt;"",$AD50,IF($Y50&lt;&gt;"",$Y50,IF($T50&lt;&gt;"",$T50,IF($O50&lt;&gt;"",$O50,""))))),""))</f>
        <v/>
      </c>
      <c r="AO51" s="430">
        <f>IFERROR(IF($AJ50&lt;&gt;"",$AJ50,IF($AE50&lt;&gt;"",$AE50,IF($Z50&lt;&gt;"",$Z50,IF($U50&lt;&gt;"",$U50,IF($P50&lt;&gt;"",$P50,""))))),"")</f>
        <v/>
      </c>
      <c r="AP51" s="431" t="inlineStr">
        <is>
          <t>Technique: BVA-under-threshold (2h − ε) | Cần bổ sung test data trong catalog (chưa có cấu hình mock thời gian/ngưỡng escalate)</t>
        </is>
      </c>
    </row>
    <row r="52" ht="60" customHeight="1" s="225">
      <c r="A52" s="426">
        <f>IF(C52="","",$C$2&amp;"."&amp;COUNTA($C$8:C52)&amp;"")</f>
        <v/>
      </c>
      <c r="B52" s="426" t="inlineStr">
        <is>
          <t>REQ-DLV-003</t>
        </is>
      </c>
      <c r="C52" s="426" t="inlineStr">
        <is>
          <t>DOC-v1.0-01 §D3/§D4/§A5 (DLV-03, BR-CNF-04, BR-INT-03)</t>
        </is>
      </c>
      <c r="D52" s="426" t="inlineStr">
        <is>
          <t>Functional</t>
        </is>
      </c>
      <c r="E52" s="426" t="inlineStr">
        <is>
          <t>Medium</t>
        </is>
      </c>
      <c r="F52" s="427" t="inlineStr">
        <is>
          <t>Check hệ thống gửi nhắc khi đơn ở "Đã giao" quá 2 giờ mà chưa xác nhận</t>
        </is>
      </c>
      <c r="G52" s="427" t="inlineStr">
        <is>
          <t>Đơn ở trạng thái "Đã giao" quá 2 giờ, Receiver chưa xác nhận</t>
        </is>
      </c>
      <c r="H52" s="427" t="inlineStr">
        <is>
          <t>1. Đưa 1 đơn về trạng thái "Đã giao" và ghi nhận thời điểm chuyển trạng thái
2. Chờ vượt mốc 2 giờ (hoặc mock thời gian hệ thống vượt mốc này)
3. Kiểm tra danh sách thông báo của Receiver</t>
        </is>
      </c>
      <c r="I52" s="427" t="inlineStr">
        <is>
          <t>3. Receiver nhận được thông báo nhắc xác nhận đã nhận hàng</t>
        </is>
      </c>
      <c r="J52" s="426" t="inlineStr">
        <is>
          <t>AI</t>
        </is>
      </c>
      <c r="K52" s="426" t="inlineStr">
        <is>
          <t>Pending</t>
        </is>
      </c>
      <c r="L52" s="426" t="inlineStr">
        <is>
          <t>No</t>
        </is>
      </c>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f>IF($A51="","",IF(OR($N51="Yes",$S51="Yes",$X51="Yes",$AC51="Yes",$AH51="Yes"),"Yes","No"))</f>
        <v/>
      </c>
      <c r="AN52" s="430">
        <f>IF($A51="","",IFERROR(IF($AI51&lt;&gt;"",$AI51,IF($AD51&lt;&gt;"",$AD51,IF($Y51&lt;&gt;"",$Y51,IF($T51&lt;&gt;"",$T51,IF($O51&lt;&gt;"",$O51,""))))),""))</f>
        <v/>
      </c>
      <c r="AO52" s="430">
        <f>IFERROR(IF($AJ51&lt;&gt;"",$AJ51,IF($AE51&lt;&gt;"",$AE51,IF($Z51&lt;&gt;"",$Z51,IF($U51&lt;&gt;"",$U51,IF($P51&lt;&gt;"",$P51,""))))),"")</f>
        <v/>
      </c>
      <c r="AP52" s="431" t="inlineStr">
        <is>
          <t>Technique: BVA-at-threshold (2h) | Cần bổ sung test data trong catalog</t>
        </is>
      </c>
    </row>
    <row r="53" ht="60" customHeight="1" s="225">
      <c r="A53" s="426">
        <f>IF(C53="","",$C$2&amp;"."&amp;COUNTA($C$8:C53)&amp;"")</f>
        <v/>
      </c>
      <c r="B53" s="426" t="inlineStr">
        <is>
          <t>REQ-DLV-003</t>
        </is>
      </c>
      <c r="C53" s="426" t="inlineStr">
        <is>
          <t>DOC-v1.0-01 §D3/§D4/§A5 (DLV-03, BR-CNF-04, BR-INT-03)</t>
        </is>
      </c>
      <c r="D53" s="426" t="inlineStr">
        <is>
          <t>Functional</t>
        </is>
      </c>
      <c r="E53" s="426" t="inlineStr">
        <is>
          <t>Medium</t>
        </is>
      </c>
      <c r="F53" s="427" t="inlineStr">
        <is>
          <t>Check đơn được chuyển sang admin hỗ trợ khi quá thêm 2 giờ vẫn chưa xác nhận</t>
        </is>
      </c>
      <c r="G53" s="427" t="inlineStr">
        <is>
          <t>Đơn ở trạng thái "Đã giao" quá 4 giờ (đã qua 1 lần nhắc), Receiver vẫn chưa xác nhận</t>
        </is>
      </c>
      <c r="H53" s="427" t="inlineStr">
        <is>
          <t>1. Đưa 1 đơn về trạng thái "Đã giao", chờ vượt mốc 2 giờ để hệ thống gửi nhắc
2. Tiếp tục chờ vượt thêm 2 giờ (tổng 4 giờ) mà không xác nhận
3. Kiểm tra trạng thái escalate của đơn</t>
        </is>
      </c>
      <c r="I53" s="427" t="inlineStr">
        <is>
          <t>3. Đơn được đánh dấu chuyển sang admin hỗ trợ theo đúng rule escalate 2 mốc</t>
        </is>
      </c>
      <c r="J53" s="426" t="inlineStr">
        <is>
          <t>AI</t>
        </is>
      </c>
      <c r="K53" s="426" t="inlineStr">
        <is>
          <t>Pending</t>
        </is>
      </c>
      <c r="L53" s="426" t="inlineStr">
        <is>
          <t>No</t>
        </is>
      </c>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f>IF($A52="","",IF(OR($N52="Yes",$S52="Yes",$X52="Yes",$AC52="Yes",$AH52="Yes"),"Yes","No"))</f>
        <v/>
      </c>
      <c r="AN53" s="430">
        <f>IF($A52="","",IFERROR(IF($AI52&lt;&gt;"",$AI52,IF($AD52&lt;&gt;"",$AD52,IF($Y52&lt;&gt;"",$Y52,IF($T52&lt;&gt;"",$T52,IF($O52&lt;&gt;"",$O52,""))))),""))</f>
        <v/>
      </c>
      <c r="AO53" s="430">
        <f>IFERROR(IF($AJ52&lt;&gt;"",$AJ52,IF($AE52&lt;&gt;"",$AE52,IF($Z52&lt;&gt;"",$Z52,IF($U52&lt;&gt;"",$U52,IF($P52&lt;&gt;"",$P52,""))))),"")</f>
        <v/>
      </c>
      <c r="AP53" s="431" t="inlineStr">
        <is>
          <t>Technique: BVA-over-threshold (4h) | Cần bổ sung test data trong catalog | ⚠ Cần xác nhận UI/kênh hiển thị trạng thái escalate với BA trước khi chạy</t>
        </is>
      </c>
    </row>
    <row r="54" ht="20" customHeight="1" s="225">
      <c r="A54" s="426" t="n"/>
      <c r="B54" s="432" t="inlineStr">
        <is>
          <t>Block Nhánh phụ — Ảnh bằng chứng, chia sẻ vị trí, chi phí đối soát</t>
        </is>
      </c>
      <c r="C54" s="233" t="n"/>
      <c r="D54" s="233" t="n"/>
      <c r="E54" s="233" t="n"/>
      <c r="F54" s="233" t="n"/>
      <c r="G54" s="233" t="n"/>
      <c r="H54" s="233" t="n"/>
      <c r="I54" s="231"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ht="60" customHeight="1" s="225">
      <c r="A55" s="426">
        <f>IF(C55="","",$C$2&amp;"."&amp;COUNTA($C$8:C55)&amp;"")</f>
        <v/>
      </c>
      <c r="B55" s="426" t="inlineStr">
        <is>
          <t>REQ-DLV-001</t>
        </is>
      </c>
      <c r="C55" s="426" t="inlineStr">
        <is>
          <t>DOC-v1.0-01 §D3/§D4 (PUP-03, BR-CNF-01)</t>
        </is>
      </c>
      <c r="D55" s="426" t="inlineStr">
        <is>
          <t>Functional</t>
        </is>
      </c>
      <c r="E55" s="426" t="inlineStr">
        <is>
          <t>Medium</t>
        </is>
      </c>
      <c r="F55" s="427" t="inlineStr">
        <is>
          <t>Check Carrier chụp ảnh hàng lúc nhận rồi xác nhận lấy hàng → ảnh được lưu</t>
        </is>
      </c>
      <c r="G55" s="427" t="inlineStr">
        <is>
          <t>Đơn đang ở trạng thái "Đã ghép", Carrier chuẩn bị bấm "Tôi đã lấy hàng"</t>
        </is>
      </c>
      <c r="H55" s="427" t="inlineStr">
        <is>
          <t>1. Mở app FoxEco bằng tài khoản Người vận chuyển (Carrier)
2. Bấm tab "Hoạt động", mở đơn đang nhận để vào màn "Theo dõi đơn"
3. Chụp 1 ảnh hàng ở bước lấy hàng, sau đó bấm "✓ Tôi đã lấy hàng" và xác nhận</t>
        </is>
      </c>
      <c r="I55" s="427" t="inlineStr">
        <is>
          <t>3. Ảnh vừa chụp được lưu lại cùng đơn và đơn chuyển sang "Đang giao"</t>
        </is>
      </c>
      <c r="J55" s="426" t="inlineStr">
        <is>
          <t>AI</t>
        </is>
      </c>
      <c r="K55" s="426" t="inlineStr">
        <is>
          <t>Pending</t>
        </is>
      </c>
      <c r="L55" s="426" t="inlineStr">
        <is>
          <t>No</t>
        </is>
      </c>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f>IF($A54="","",IF(OR($N54="Yes",$S54="Yes",$X54="Yes",$AC54="Yes",$AH54="Yes"),"Yes","No"))</f>
        <v/>
      </c>
      <c r="AN55" s="430">
        <f>IF($A54="","",IFERROR(IF($AI54&lt;&gt;"",$AI54,IF($AD54&lt;&gt;"",$AD54,IF($Y54&lt;&gt;"",$Y54,IF($T54&lt;&gt;"",$T54,IF($O54&lt;&gt;"",$O54,""))))),""))</f>
        <v/>
      </c>
      <c r="AO55" s="430">
        <f>IFERROR(IF($AJ54&lt;&gt;"",$AJ54,IF($AE54&lt;&gt;"",$AE54,IF($Z54&lt;&gt;"",$Z54,IF($U54&lt;&gt;"",$U54,IF($P54&lt;&gt;"",$P54,""))))),"")</f>
        <v/>
      </c>
      <c r="AP55" s="431" t="inlineStr">
        <is>
          <t>Technique: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6" ht="60" customHeight="1" s="225">
      <c r="A56" s="426">
        <f>IF(C56="","",$C$2&amp;"."&amp;COUNTA($C$8:C56)&amp;"")</f>
        <v/>
      </c>
      <c r="B56" s="426" t="inlineStr">
        <is>
          <t>REQ-DLV-001</t>
        </is>
      </c>
      <c r="C56" s="426" t="inlineStr">
        <is>
          <t>DOC-v1.0-01 §D3/§D4 (PUP-03, BR-CNF-01)</t>
        </is>
      </c>
      <c r="D56" s="426" t="inlineStr">
        <is>
          <t>Functional</t>
        </is>
      </c>
      <c r="E56" s="426" t="inlineStr">
        <is>
          <t>Medium</t>
        </is>
      </c>
      <c r="F56" s="427" t="inlineStr">
        <is>
          <t>Check ảnh chụp lúc nhận hàng được gắn vào Lịch sử làm bằng chứng</t>
        </is>
      </c>
      <c r="G56" s="427" t="inlineStr">
        <is>
          <t>Carrier vừa chụp ảnh và xác nhận lấy hàng thành công cho 1 đơn</t>
        </is>
      </c>
      <c r="H56" s="427" t="inlineStr">
        <is>
          <t>1. Mở app FoxEco bằng tài khoản Người vận chuyển (Carrier)
2. Bấm tab "Hoạt động", mở đơn đang nhận để vào màn "Theo dõi đơn"
3. Cuộn xuống khối "Lịch sử" và mở mốc "Lấy hàng"</t>
        </is>
      </c>
      <c r="I56" s="427" t="inlineStr">
        <is>
          <t>3. Mốc "Lấy hàng" trong Lịch sử có đính kèm đúng ảnh Carrier vừa chụp, xem lại được</t>
        </is>
      </c>
      <c r="J56" s="426" t="inlineStr">
        <is>
          <t>AI</t>
        </is>
      </c>
      <c r="K56" s="426" t="inlineStr">
        <is>
          <t>Pending</t>
        </is>
      </c>
      <c r="L56" s="426" t="inlineStr">
        <is>
          <t>No</t>
        </is>
      </c>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f>IF($A55="","",IF(OR($N55="Yes",$S55="Yes",$X55="Yes",$AC55="Yes",$AH55="Yes"),"Yes","No"))</f>
        <v/>
      </c>
      <c r="AN56" s="430">
        <f>IF($A55="","",IFERROR(IF($AI55&lt;&gt;"",$AI55,IF($AD55&lt;&gt;"",$AD55,IF($Y55&lt;&gt;"",$Y55,IF($T55&lt;&gt;"",$T55,IF($O55&lt;&gt;"",$O55,""))))),""))</f>
        <v/>
      </c>
      <c r="AO56" s="430">
        <f>IFERROR(IF($AJ55&lt;&gt;"",$AJ55,IF($AE55&lt;&gt;"",$AE55,IF($Z55&lt;&gt;"",$Z55,IF($U55&lt;&gt;"",$U55,IF($P55&lt;&gt;"",$P55,""))))),"")</f>
        <v/>
      </c>
      <c r="AP56" s="431" t="inlineStr">
        <is>
          <t>⚠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7" ht="60" customHeight="1" s="225">
      <c r="A57" s="426">
        <f>IF(C57="","",$C$2&amp;"."&amp;COUNTA($C$8:C57)&amp;"")</f>
        <v/>
      </c>
      <c r="B57" s="426" t="inlineStr">
        <is>
          <t>REQ-DLV-001</t>
        </is>
      </c>
      <c r="C57" s="426" t="inlineStr">
        <is>
          <t>DOC-v1.0-01 §D3/§D4 (PUP-03, BR-CNF-01)</t>
        </is>
      </c>
      <c r="D57" s="426" t="inlineStr">
        <is>
          <t>Functional</t>
        </is>
      </c>
      <c r="E57" s="426" t="inlineStr">
        <is>
          <t>Low</t>
        </is>
      </c>
      <c r="F57" s="427" t="inlineStr">
        <is>
          <t>Check bỏ qua chụp ảnh vẫn chuyển được trạng thái sang "Đang giao"</t>
        </is>
      </c>
      <c r="G57" s="427" t="inlineStr">
        <is>
          <t>Đơn đang ở trạng thái "Đã ghép", Carrier KHÔNG chụp ảnh nào</t>
        </is>
      </c>
      <c r="H57" s="427" t="inlineStr">
        <is>
          <t>1. Mở app FoxEco bằng tài khoản Người vận chuyển (Carrier)
2. Bấm tab "Hoạt động", mở đơn đang nhận để vào màn "Theo dõi đơn"
3. Bấm thẳng "✓ Tôi đã lấy hàng" mà không chụp ảnh, rồi bấm "Xác nhận" trong popup</t>
        </is>
      </c>
      <c r="I57" s="427" t="inlineStr">
        <is>
          <t>3. Đơn chuyển sang "Đang giao" bình thường — ảnh là tuỳ chọn, không phải điều kiện bắt buộc</t>
        </is>
      </c>
      <c r="J57" s="426" t="inlineStr">
        <is>
          <t>AI</t>
        </is>
      </c>
      <c r="K57" s="426" t="inlineStr">
        <is>
          <t>Pending</t>
        </is>
      </c>
      <c r="L57" s="426" t="inlineStr">
        <is>
          <t>No</t>
        </is>
      </c>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f>IF($A56="","",IF(OR($N56="Yes",$S56="Yes",$X56="Yes",$AC56="Yes",$AH56="Yes"),"Yes","No"))</f>
        <v/>
      </c>
      <c r="AN57" s="430">
        <f>IF($A56="","",IFERROR(IF($AI56&lt;&gt;"",$AI56,IF($AD56&lt;&gt;"",$AD56,IF($Y56&lt;&gt;"",$Y56,IF($T56&lt;&gt;"",$T56,IF($O56&lt;&gt;"",$O56,""))))),""))</f>
        <v/>
      </c>
      <c r="AO57" s="430">
        <f>IFERROR(IF($AJ56&lt;&gt;"",$AJ56,IF($AE56&lt;&gt;"",$AE56,IF($Z56&lt;&gt;"",$Z56,IF($U56&lt;&gt;"",$U56,IF($P56&lt;&gt;"",$P56,""))))),"")</f>
        <v/>
      </c>
      <c r="AP57" s="431" t="inlineStr">
        <is>
          <t>Technique: EP-no-photo (cặp với EP-with-photo)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8" ht="60" customHeight="1" s="225">
      <c r="A58" s="426">
        <f>IF(C58="","",$C$2&amp;"."&amp;COUNTA($C$8:C58)&amp;"")</f>
        <v/>
      </c>
      <c r="B58" s="426" t="inlineStr">
        <is>
          <t>REQ-DLV-002</t>
        </is>
      </c>
      <c r="C58" s="426" t="inlineStr">
        <is>
          <t>DOC-v1.0-01 §D3 (GPS-01)</t>
        </is>
      </c>
      <c r="D58" s="426" t="inlineStr">
        <is>
          <t>Functional</t>
        </is>
      </c>
      <c r="E58" s="426" t="inlineStr">
        <is>
          <t>Low</t>
        </is>
      </c>
      <c r="F58" s="427" t="inlineStr">
        <is>
          <t>Check Carrier bật chia sẻ vị trí khi đang giao → Sender/Receiver xem được vị trí</t>
        </is>
      </c>
      <c r="G58" s="427" t="inlineStr">
        <is>
          <t>Đơn đang ở trạng thái "Đang giao", Carrier chủ động bật chia sẻ vị trí</t>
        </is>
      </c>
      <c r="H58" s="427" t="inlineStr">
        <is>
          <t>1. Trên thiết bị Carrier: mở màn Theo dõi đơn của đơn đang "Đang giao", bật chia sẻ vị trí
2. Chuyển sang thiết bị Sender, mở màn Theo dõi đơn của đơn đó
3. Chuyển sang thiết bị Receiver, mở màn Theo dõi đơn của đơn đó</t>
        </is>
      </c>
      <c r="I58" s="427" t="inlineStr">
        <is>
          <t>3. Cả Sender lẫn Receiver đều xem được vị trí tạm thời của Carrier trên màn Theo dõi đơn</t>
        </is>
      </c>
      <c r="J58" s="426" t="inlineStr">
        <is>
          <t>AI</t>
        </is>
      </c>
      <c r="K58" s="426" t="inlineStr">
        <is>
          <t>Pending</t>
        </is>
      </c>
      <c r="L58" s="426" t="inlineStr">
        <is>
          <t>No</t>
        </is>
      </c>
      <c r="M58" s="426" t="n"/>
      <c r="N58" s="428" t="n"/>
      <c r="O58" s="428" t="n"/>
      <c r="P58" s="428" t="n"/>
      <c r="Q58" s="428" t="n"/>
      <c r="R58" s="428" t="n"/>
      <c r="S58" s="428" t="n"/>
      <c r="T58" s="428" t="n"/>
      <c r="U58" s="428" t="n"/>
      <c r="V58" s="428" t="n"/>
      <c r="W58" s="428" t="n"/>
      <c r="X58" s="428" t="n"/>
      <c r="Y58" s="428" t="n"/>
      <c r="Z58" s="428" t="n"/>
      <c r="AA58" s="428" t="n"/>
      <c r="AB58" s="429" t="n"/>
      <c r="AC58" s="429" t="n"/>
      <c r="AD58" s="429" t="n"/>
      <c r="AE58" s="429" t="n"/>
      <c r="AF58" s="429" t="n"/>
      <c r="AG58" s="429" t="n"/>
      <c r="AH58" s="429" t="n"/>
      <c r="AI58" s="429" t="n"/>
      <c r="AJ58" s="429" t="n"/>
      <c r="AK58" s="429" t="n"/>
      <c r="AL58" s="429" t="n"/>
      <c r="AM58" s="430">
        <f>IF($A57="","",IF(OR($N57="Yes",$S57="Yes",$X57="Yes",$AC57="Yes",$AH57="Yes"),"Yes","No"))</f>
        <v/>
      </c>
      <c r="AN58" s="430">
        <f>IF($A57="","",IFERROR(IF($AI57&lt;&gt;"",$AI57,IF($AD57&lt;&gt;"",$AD57,IF($Y57&lt;&gt;"",$Y57,IF($T57&lt;&gt;"",$T57,IF($O57&lt;&gt;"",$O57,""))))),""))</f>
        <v/>
      </c>
      <c r="AO58" s="430">
        <f>IFERROR(IF($AJ57&lt;&gt;"",$AJ57,IF($AE57&lt;&gt;"",$AE57,IF($Z57&lt;&gt;"",$Z57,IF($U57&lt;&gt;"",$U57,IF($P57&lt;&gt;"",$P57,""))))),"")</f>
        <v/>
      </c>
      <c r="AP58" s="431" t="inlineStr">
        <is>
          <t>⚠ C-DLV-02 Open — mặc định bật/tắt chia sẻ vị trí CHƯA được BA chốt; Given cố ý giả định user CHỦ ĐỘNG bật, KHÔNG assert giá trị mặc định.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59" ht="60" customHeight="1" s="225">
      <c r="A59" s="426">
        <f>IF(C59="","",$C$2&amp;"."&amp;COUNTA($C$8:C59)&amp;"")</f>
        <v/>
      </c>
      <c r="B59" s="426" t="inlineStr">
        <is>
          <t>REQ-DLV-002</t>
        </is>
      </c>
      <c r="C59" s="426" t="inlineStr">
        <is>
          <t>DOC-v1.0-01 §D3 (GPS-01)</t>
        </is>
      </c>
      <c r="D59" s="426" t="inlineStr">
        <is>
          <t>Functional</t>
        </is>
      </c>
      <c r="E59" s="426" t="inlineStr">
        <is>
          <t>Low</t>
        </is>
      </c>
      <c r="F59" s="427" t="inlineStr">
        <is>
          <t>Check dữ liệu vị trí bị xoá sau khi đơn chuyển "Hoàn thành"</t>
        </is>
      </c>
      <c r="G59" s="427" t="inlineStr">
        <is>
          <t>Đơn đã bật chia sẻ vị trí trong lúc "Đang giao", sau đó chuyển sang "Hoàn thành"</t>
        </is>
      </c>
      <c r="H59" s="427" t="inlineStr">
        <is>
          <t>1. Bật chia sẻ vị trí khi đơn đang "Đang giao"
2. Hoàn tất đơn (Receiver xác nhận đã nhận hàng → "Hoàn thành")
3. Mở lại màn Theo dõi đơn bằng tài khoản Sender và Receiver</t>
        </is>
      </c>
      <c r="I59" s="427" t="inlineStr">
        <is>
          <t>3. Dữ liệu vị trí không còn hiển thị trên màn Theo dõi đơn của bất kỳ vai trò nào</t>
        </is>
      </c>
      <c r="J59" s="426" t="inlineStr">
        <is>
          <t>AI</t>
        </is>
      </c>
      <c r="K59" s="426" t="inlineStr">
        <is>
          <t>Pending</t>
        </is>
      </c>
      <c r="L59" s="426" t="inlineStr">
        <is>
          <t>No</t>
        </is>
      </c>
      <c r="M59" s="426" t="n"/>
      <c r="N59" s="428" t="n"/>
      <c r="O59" s="428" t="n"/>
      <c r="P59" s="428" t="n"/>
      <c r="Q59" s="428" t="n"/>
      <c r="R59" s="428" t="n"/>
      <c r="S59" s="428" t="n"/>
      <c r="T59" s="428" t="n"/>
      <c r="U59" s="428" t="n"/>
      <c r="V59" s="428" t="n"/>
      <c r="W59" s="428" t="n"/>
      <c r="X59" s="428" t="n"/>
      <c r="Y59" s="428" t="n"/>
      <c r="Z59" s="428" t="n"/>
      <c r="AA59" s="428" t="n"/>
      <c r="AB59" s="429" t="n"/>
      <c r="AC59" s="429" t="n"/>
      <c r="AD59" s="429" t="n"/>
      <c r="AE59" s="429" t="n"/>
      <c r="AF59" s="429" t="n"/>
      <c r="AG59" s="429" t="n"/>
      <c r="AH59" s="429" t="n"/>
      <c r="AI59" s="429" t="n"/>
      <c r="AJ59" s="429" t="n"/>
      <c r="AK59" s="429" t="n"/>
      <c r="AL59" s="429" t="n"/>
      <c r="AM59" s="430">
        <f>IF($A58="","",IF(OR($N58="Yes",$S58="Yes",$X58="Yes",$AC58="Yes",$AH58="Yes"),"Yes","No"))</f>
        <v/>
      </c>
      <c r="AN59" s="430">
        <f>IF($A58="","",IFERROR(IF($AI58&lt;&gt;"",$AI58,IF($AD58&lt;&gt;"",$AD58,IF($Y58&lt;&gt;"",$Y58,IF($T58&lt;&gt;"",$T58,IF($O58&lt;&gt;"",$O58,""))))),""))</f>
        <v/>
      </c>
      <c r="AO59" s="430">
        <f>IFERROR(IF($AJ58&lt;&gt;"",$AJ58,IF($AE58&lt;&gt;"",$AE58,IF($Z58&lt;&gt;"",$Z58,IF($U58&lt;&gt;"",$U58,IF($P58&lt;&gt;"",$P58,""))))),"")</f>
        <v/>
      </c>
      <c r="AP59" s="431" t="inlineStr">
        <is>
          <t>Technique: EP-closed-completed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0" ht="60" customHeight="1" s="225">
      <c r="A60" s="426">
        <f>IF(C60="","",$C$2&amp;"."&amp;COUNTA($C$8:C60)&amp;"")</f>
        <v/>
      </c>
      <c r="B60" s="426" t="inlineStr">
        <is>
          <t>REQ-DLV-002</t>
        </is>
      </c>
      <c r="C60" s="426" t="inlineStr">
        <is>
          <t>DOC-v1.0-01 §D3 (GPS-01)</t>
        </is>
      </c>
      <c r="D60" s="426" t="inlineStr">
        <is>
          <t>Functional</t>
        </is>
      </c>
      <c r="E60" s="426" t="inlineStr">
        <is>
          <t>Low</t>
        </is>
      </c>
      <c r="F60" s="427" t="inlineStr">
        <is>
          <t>Check dữ liệu vị trí bị xoá sau khi đơn bị huỷ</t>
        </is>
      </c>
      <c r="G60" s="427" t="inlineStr">
        <is>
          <t>Đơn đã bật chia sẻ vị trí, sau đó đơn bị huỷ (CANCELLED)</t>
        </is>
      </c>
      <c r="H60" s="427" t="inlineStr">
        <is>
          <t>1. Bật chia sẻ vị trí khi đơn đang được giao
2. Huỷ đơn để đơn chuyển sang trạng thái đã huỷ
3. Mở lại màn Theo dõi đơn bằng tài khoản Sender và Receiver</t>
        </is>
      </c>
      <c r="I60" s="427" t="inlineStr">
        <is>
          <t>3. Dữ liệu vị trí không còn hiển thị trên màn Theo dõi đơn của bất kỳ vai trò nào</t>
        </is>
      </c>
      <c r="J60" s="426" t="inlineStr">
        <is>
          <t>AI</t>
        </is>
      </c>
      <c r="K60" s="426" t="inlineStr">
        <is>
          <t>Pending</t>
        </is>
      </c>
      <c r="L60" s="426" t="inlineStr">
        <is>
          <t>No</t>
        </is>
      </c>
      <c r="M60" s="426" t="n"/>
      <c r="N60" s="428" t="n"/>
      <c r="O60" s="428" t="n"/>
      <c r="P60" s="428" t="n"/>
      <c r="Q60" s="428" t="n"/>
      <c r="R60" s="428" t="n"/>
      <c r="S60" s="428" t="n"/>
      <c r="T60" s="428" t="n"/>
      <c r="U60" s="428" t="n"/>
      <c r="V60" s="428" t="n"/>
      <c r="W60" s="428" t="n"/>
      <c r="X60" s="428" t="n"/>
      <c r="Y60" s="428" t="n"/>
      <c r="Z60" s="428" t="n"/>
      <c r="AA60" s="428" t="n"/>
      <c r="AB60" s="429" t="n"/>
      <c r="AC60" s="429" t="n"/>
      <c r="AD60" s="429" t="n"/>
      <c r="AE60" s="429" t="n"/>
      <c r="AF60" s="429" t="n"/>
      <c r="AG60" s="429" t="n"/>
      <c r="AH60" s="429" t="n"/>
      <c r="AI60" s="429" t="n"/>
      <c r="AJ60" s="429" t="n"/>
      <c r="AK60" s="429" t="n"/>
      <c r="AL60" s="429" t="n"/>
      <c r="AM60" s="430">
        <f>IF($A59="","",IF(OR($N59="Yes",$S59="Yes",$X59="Yes",$AC59="Yes",$AH59="Yes"),"Yes","No"))</f>
        <v/>
      </c>
      <c r="AN60" s="430">
        <f>IF($A59="","",IFERROR(IF($AI59&lt;&gt;"",$AI59,IF($AD59&lt;&gt;"",$AD59,IF($Y59&lt;&gt;"",$Y59,IF($T59&lt;&gt;"",$T59,IF($O59&lt;&gt;"",$O59,""))))),""))</f>
        <v/>
      </c>
      <c r="AO60" s="430">
        <f>IFERROR(IF($AJ59&lt;&gt;"",$AJ59,IF($AE59&lt;&gt;"",$AE59,IF($Z59&lt;&gt;"",$Z59,IF($U59&lt;&gt;"",$U59,IF($P59&lt;&gt;"",$P59,""))))),"")</f>
        <v/>
      </c>
      <c r="AP60" s="431" t="inlineStr">
        <is>
          <t>Technique: EP-closed-cancelled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1" ht="60" customHeight="1" s="225">
      <c r="A61" s="426">
        <f>IF(C61="","",$C$2&amp;"."&amp;COUNTA($C$8:C61)&amp;"")</f>
        <v/>
      </c>
      <c r="B61" s="426" t="inlineStr">
        <is>
          <t>REQ-DLV-004</t>
        </is>
      </c>
      <c r="C61" s="426" t="inlineStr">
        <is>
          <t>DOC-v1.0-01 §D3/§D4 (COST-01, BR-COST-01)</t>
        </is>
      </c>
      <c r="D61" s="426" t="inlineStr">
        <is>
          <t>Functional</t>
        </is>
      </c>
      <c r="E61" s="426" t="inlineStr">
        <is>
          <t>Low</t>
        </is>
      </c>
      <c r="F61" s="427" t="inlineStr">
        <is>
          <t>Check app KHÔNG kích hoạt luồng thanh toán khi ghi nhận chi phí đối soát</t>
        </is>
      </c>
      <c r="G61" s="427" t="inlineStr">
        <is>
          <t>Đơn đã hoàn tất; 2 bên muốn ghi nhận số tiền tham khảo đã đối soát offline</t>
        </is>
      </c>
      <c r="H61" s="427" t="inlineStr">
        <is>
          <t>1. Mở màn Theo dõi đơn của 1 đơn đã "Hoàn thành"
2. Tìm chức năng ghi nhận chi phí đối soát (nếu có trên UI) và nhập 1 số tiền tham khảo
3. Quan sát toàn bộ luồng sau khi lưu</t>
        </is>
      </c>
      <c r="I61" s="427" t="inlineStr">
        <is>
          <t>3. Giá trị được lưu như bản ghi THAM KHẢO; app KHÔNG mở bất kỳ luồng thanh toán/cổng thanh toán nào — đúng cam kết "không thanh toán trong app"</t>
        </is>
      </c>
      <c r="J61" s="426" t="inlineStr">
        <is>
          <t>AI</t>
        </is>
      </c>
      <c r="K61" s="426" t="inlineStr">
        <is>
          <t>Pending</t>
        </is>
      </c>
      <c r="L61" s="426" t="inlineStr">
        <is>
          <t>No</t>
        </is>
      </c>
      <c r="M61" s="426" t="n"/>
      <c r="N61" s="428" t="n"/>
      <c r="O61" s="428" t="n"/>
      <c r="P61" s="428" t="n"/>
      <c r="Q61" s="428" t="n"/>
      <c r="R61" s="428" t="n"/>
      <c r="S61" s="428" t="n"/>
      <c r="T61" s="428" t="n"/>
      <c r="U61" s="428" t="n"/>
      <c r="V61" s="428" t="n"/>
      <c r="W61" s="428" t="n"/>
      <c r="X61" s="428" t="n"/>
      <c r="Y61" s="428" t="n"/>
      <c r="Z61" s="428" t="n"/>
      <c r="AA61" s="428" t="n"/>
      <c r="AB61" s="429" t="n"/>
      <c r="AC61" s="429" t="n"/>
      <c r="AD61" s="429" t="n"/>
      <c r="AE61" s="429" t="n"/>
      <c r="AF61" s="429" t="n"/>
      <c r="AG61" s="429" t="n"/>
      <c r="AH61" s="429" t="n"/>
      <c r="AI61" s="429" t="n"/>
      <c r="AJ61" s="429" t="n"/>
      <c r="AK61" s="429" t="n"/>
      <c r="AL61" s="429" t="n"/>
      <c r="AM61" s="430">
        <f>IF($A60="","",IF(OR($N60="Yes",$S60="Yes",$X60="Yes",$AC60="Yes",$AH60="Yes"),"Yes","No"))</f>
        <v/>
      </c>
      <c r="AN61" s="430">
        <f>IF($A60="","",IFERROR(IF($AI60&lt;&gt;"",$AI60,IF($AD60&lt;&gt;"",$AD60,IF($Y60&lt;&gt;"",$Y60,IF($T60&lt;&gt;"",$T60,IF($O60&lt;&gt;"",$O60,""))))),""))</f>
        <v/>
      </c>
      <c r="AO61" s="430">
        <f>IFERROR(IF($AJ60&lt;&gt;"",$AJ60,IF($AE60&lt;&gt;"",$AE60,IF($Z60&lt;&gt;"",$Z60,IF($U60&lt;&gt;"",$U60,IF($P60&lt;&gt;"",$P60,""))))),"")</f>
        <v/>
      </c>
      <c r="AP61" s="431" t="inlineStr">
        <is>
          <t>⚠ Chưa có UI minh hoạ cụ thể cho field ghi nhận chi phí (Analyst Note SC-DLV-008) → TC viết ở mức rule (không kích hoạt thanh toán), KHÔNG assert vị trí/nhãn field. Cần vibe-test xác nhận UI trước khi chi tiết hoá. | ⚠ Nhánh phụ DLV — `Project_rule.md` Phase 1 Scope liệt kê ảnh bằng chứng/GPS/chi phí/báo sự cố là NGOÀI phạm vi Phase 1 (PM chưa trả lời dứt điểm). Giữ TC để không mất coverage scenario, đánh dấu chờ PM chốt scope trước khi đưa vào vòng chạy</t>
        </is>
      </c>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9">
    <mergeCell ref="A7:I7"/>
    <mergeCell ref="B47:I47"/>
    <mergeCell ref="B54:I54"/>
    <mergeCell ref="AH5:AL5"/>
    <mergeCell ref="C2:E2"/>
    <mergeCell ref="A5:C5"/>
    <mergeCell ref="B23:I23"/>
    <mergeCell ref="AC5:AG5"/>
    <mergeCell ref="J5:M5"/>
    <mergeCell ref="A3:B3"/>
    <mergeCell ref="G3:H3"/>
    <mergeCell ref="B8:I8"/>
    <mergeCell ref="N5:R5"/>
    <mergeCell ref="I3:J3"/>
    <mergeCell ref="B17:I17"/>
    <mergeCell ref="B13:I13"/>
    <mergeCell ref="A2:B2"/>
    <mergeCell ref="B29:I29"/>
    <mergeCell ref="D5:I5"/>
    <mergeCell ref="C3:E3"/>
    <mergeCell ref="X5:AB5"/>
    <mergeCell ref="A4:B4"/>
    <mergeCell ref="G4:H4"/>
    <mergeCell ref="I4:J4"/>
    <mergeCell ref="AM5:AP5"/>
    <mergeCell ref="S5:W5"/>
    <mergeCell ref="C4:E4"/>
    <mergeCell ref="B35:I35"/>
    <mergeCell ref="B50:I50"/>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6.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TC_08</t>
        </is>
      </c>
      <c r="D2" s="233" t="n"/>
      <c r="E2" s="231" t="n"/>
    </row>
    <row r="3" ht="15" customHeight="1" s="225">
      <c r="A3" s="414" t="inlineStr">
        <is>
          <t>Tên chức năng</t>
        </is>
      </c>
      <c r="B3" s="231" t="n"/>
      <c r="C3" s="415" t="inlineStr">
        <is>
          <t>Huỷ đơn</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Huỷ đơn</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Popup Huỷ đơn — Form lý do bắt buộc</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REQ-CNL-001</t>
        </is>
      </c>
      <c r="C9" s="426" t="inlineStr">
        <is>
          <t>DOC-v1.0-01 §D1b (US-D16) + ảnh DOC-v1.0-04 (popup Huỷ nhận đơn)</t>
        </is>
      </c>
      <c r="D9" s="426" t="inlineStr">
        <is>
          <t>UI</t>
        </is>
      </c>
      <c r="E9" s="426" t="inlineStr">
        <is>
          <t>Medium</t>
        </is>
      </c>
      <c r="F9" s="427" t="inlineStr">
        <is>
          <t>Check đầy đủ + đúng 4 thành phần hiển thị tại popup "Huỷ nhận đơn" của Người vận chuyển</t>
        </is>
      </c>
      <c r="G9" s="427" t="inlineStr">
        <is>
          <t>Đơn đang ở trạng thái "Đã ghép" (chưa chuyển "Đang giao"); user đăng nhập là Sender, Carrier, hoặc Receiver của đơn</t>
        </is>
      </c>
      <c r="H9" s="427" t="inlineStr">
        <is>
          <t>1. Mở app FoxEco bằng tài khoản Sender/Carrier/Receiver
2. Bấm tab "Hoạt động", mở đơn đang nhận (trạng thái "Đã ghép") để vào màn "Theo dõi đơn"
3. Bấm "✕ Huỷ nhận đơn" và quan sát popup vừa hiện</t>
        </is>
      </c>
      <c r="I9" s="427" t="inlineStr">
        <is>
          <t>3. Popup hiển thị đủ 4 thành phần: (1) title "Huỷ nhận đơn", (2) nội dung "Bạn chắc chắn muốn huỷ nhận giao đơn này? Đơn sẽ được trả lại bảng tin để người khác nhận.", (3) label "Lý do huỷ *" kèm placeholder "Nhập lý do bạn muốn huỷ nhận đơn (VD: đổi lịch, không cần gửi nữa...)", (4) 2 nút "Huỷ" và "Xác nhận" — trong đó "Xác nhận" đang ở trạng thái disable (xám)</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Field/column completeness check — auto-derived (xem generate.md Step 3b) | Text verbatim xác nhận qua ảnh Figma DOC-v1.0-04 (hash 6fa300d1…, 5f681a4a…)</t>
        </is>
      </c>
    </row>
    <row r="10" ht="60" customHeight="1" s="225">
      <c r="A10" s="426">
        <f>IF(C10="","",$C$2&amp;"."&amp;COUNTA($C$8:C10)&amp;"")</f>
        <v/>
      </c>
      <c r="B10" s="426" t="inlineStr">
        <is>
          <t>REQ-CNL-001</t>
        </is>
      </c>
      <c r="C10" s="426" t="inlineStr">
        <is>
          <t>DOC-v1.0-01 §D3/§D4/§A5/§D1b (CNL-01, BR-CNL-01, BR-INT-05, US-D16)</t>
        </is>
      </c>
      <c r="D10" s="426" t="inlineStr">
        <is>
          <t>UI</t>
        </is>
      </c>
      <c r="E10" s="426" t="inlineStr">
        <is>
          <t>High</t>
        </is>
      </c>
      <c r="F10" s="427" t="inlineStr">
        <is>
          <t>Check nút "Xác nhận" bị khoá khi chưa nhập Lý do huỷ</t>
        </is>
      </c>
      <c r="G10" s="427" t="inlineStr">
        <is>
          <t>Popup "Huỷ nhận đơn" vừa mở, ô Lý do huỷ đang trống (chưa từng nhập gì)</t>
        </is>
      </c>
      <c r="H10" s="427" t="inlineStr">
        <is>
          <t>1. Mở app FoxEco bằng tài khoản Người vận chuyển (Carrier)
2. Bấm tab "Hoạt động", mở đơn đang nhận (trạng thái "Đã ghép") để vào màn "Theo dõi đơn"
3. Bấm "✕ Huỷ nhận đơn" để mở popup, quan sát trạng thái nút "Xác nhận" khi ô Lý do huỷ còn trống</t>
        </is>
      </c>
      <c r="I10" s="427" t="inlineStr">
        <is>
          <t>3. Nút "Xác nhận" ở trạng thái disable (xám), bấm không có phản hồi; đơn giữ nguyên trạng thái "Đã ghép"</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inlineStr">
        <is>
          <t>Technique: EP-empty-reason</t>
        </is>
      </c>
    </row>
    <row r="11" ht="60" customHeight="1" s="225">
      <c r="A11" s="426">
        <f>IF(C11="","",$C$2&amp;"."&amp;COUNTA($C$8:C11)&amp;"")</f>
        <v/>
      </c>
      <c r="B11" s="426" t="inlineStr">
        <is>
          <t>REQ-CNL-001</t>
        </is>
      </c>
      <c r="C11" s="426" t="inlineStr">
        <is>
          <t>DOC-v1.0-01 §D3/§D4/§A5/§D1b (CNL-01, BR-CNL-01, BR-INT-05, US-D16)</t>
        </is>
      </c>
      <c r="D11" s="426" t="inlineStr">
        <is>
          <t>Functional</t>
        </is>
      </c>
      <c r="E11" s="426" t="inlineStr">
        <is>
          <t>High</t>
        </is>
      </c>
      <c r="F11" s="427" t="inlineStr">
        <is>
          <t>Check nút "Xác nhận" bật khi đã nhập Lý do huỷ hợp lệ</t>
        </is>
      </c>
      <c r="G11" s="427" t="inlineStr">
        <is>
          <t>Popup "Huỷ nhận đơn" đang mở</t>
        </is>
      </c>
      <c r="H11"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vào ô Lý do huỷ</t>
        </is>
      </c>
      <c r="I11" s="427" t="inlineStr">
        <is>
          <t>3. Nút "Xác nhận" chuyển sang trạng thái enable (bấm được) ngay sau khi ô Lý do huỷ có nội dung hợp lệ</t>
        </is>
      </c>
      <c r="J11" s="426" t="inlineStr">
        <is>
          <t>AI</t>
        </is>
      </c>
      <c r="K11" s="426" t="inlineStr">
        <is>
          <t>Pending</t>
        </is>
      </c>
      <c r="L11" s="426" t="inlineStr">
        <is>
          <t>No</t>
        </is>
      </c>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f>IF($A11="","",IF(OR($N11="Yes",$S11="Yes",$X11="Yes",$AC11="Yes",$AH11="Yes"),"Yes","No"))</f>
        <v/>
      </c>
      <c r="AN11" s="430">
        <f>IF($A11="","",IFERROR(IF($AI11&lt;&gt;"",$AI11,IF($AD11&lt;&gt;"",$AD11,IF($Y11&lt;&gt;"",$Y11,IF($T11&lt;&gt;"",$T11,IF($O11&lt;&gt;"",$O11,""))))),""))</f>
        <v/>
      </c>
      <c r="AO11" s="430">
        <f>IFERROR(IF($AJ11&lt;&gt;"",$AJ11,IF($AE11&lt;&gt;"",$AE11,IF($Z11&lt;&gt;"",$Z11,IF($U11&lt;&gt;"",$U11,IF($P11&lt;&gt;"",$P11,""))))),"")</f>
        <v/>
      </c>
      <c r="AP11" s="431" t="inlineStr">
        <is>
          <t>Technique: EP-valid-reason</t>
        </is>
      </c>
    </row>
    <row r="12" ht="60" customHeight="1" s="225">
      <c r="A12" s="426">
        <f>IF(C12="","",$C$2&amp;"."&amp;COUNTA($C$8:C12)&amp;"")</f>
        <v/>
      </c>
      <c r="B12" s="426" t="inlineStr">
        <is>
          <t>REQ-CNL-001</t>
        </is>
      </c>
      <c r="C12" s="426" t="inlineStr">
        <is>
          <t>DOC-v1.0-01 §D3/§D4/§A5/§D1b (CNL-01, BR-CNL-01, BR-INT-05, US-D16)</t>
        </is>
      </c>
      <c r="D12" s="426" t="inlineStr">
        <is>
          <t>Functional</t>
        </is>
      </c>
      <c r="E12" s="426" t="inlineStr">
        <is>
          <t>Medium</t>
        </is>
      </c>
      <c r="F12" s="427" t="inlineStr">
        <is>
          <t>Check bấm "Huỷ" trong popup Huỷ nhận đơn → đóng popup, đơn KHÔNG đổi trạng thái</t>
        </is>
      </c>
      <c r="G12" s="427" t="inlineStr">
        <is>
          <t>Popup "Huỷ nhận đơn" đang mở, đã nhập sẵn lý do hợp lệ</t>
        </is>
      </c>
      <c r="H12"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đột xuất" rồi bấm nút "Huỷ"</t>
        </is>
      </c>
      <c r="I12" s="427" t="inlineStr">
        <is>
          <t>3. Popup đóng lại, đơn giữ nguyên trạng thái "Đã ghép" với đúng Carrier hiện tại; không phát sinh bản ghi huỷ nào</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IF($A12="","",IF(OR($N12="Yes",$S12="Yes",$X12="Yes",$AC12="Yes",$AH12="Yes"),"Yes","No"))</f>
        <v/>
      </c>
      <c r="AN12" s="430">
        <f>IF($A12="","",IFERROR(IF($AI12&lt;&gt;"",$AI12,IF($AD12&lt;&gt;"",$AD12,IF($Y12&lt;&gt;"",$Y12,IF($T12&lt;&gt;"",$T12,IF($O12&lt;&gt;"",$O12,""))))),""))</f>
        <v/>
      </c>
      <c r="AO12" s="430">
        <f>IFERROR(IF($AJ12&lt;&gt;"",$AJ12,IF($AE12&lt;&gt;"",$AE12,IF($Z12&lt;&gt;"",$Z12,IF($U12&lt;&gt;"",$U12,IF($P12&lt;&gt;"",$P12,""))))),"")</f>
        <v/>
      </c>
      <c r="AP12" s="431" t="inlineStr">
        <is>
          <t>Technique: EP-cancel-dialog</t>
        </is>
      </c>
    </row>
    <row r="13" ht="60" customHeight="1" s="225">
      <c r="A13" s="426">
        <f>IF(C13="","",$C$2&amp;"."&amp;COUNTA($C$8:C13)&amp;"")</f>
        <v/>
      </c>
      <c r="B13" s="426" t="inlineStr">
        <is>
          <t>REQ-CNL-001</t>
        </is>
      </c>
      <c r="C13" s="426" t="inlineStr">
        <is>
          <t>DOC-v1.0-01 §D3/§D4/§A5/§D1b (CNL-01, BR-CNL-01, BR-INT-05, US-D16)</t>
        </is>
      </c>
      <c r="D13" s="426" t="inlineStr">
        <is>
          <t>UI</t>
        </is>
      </c>
      <c r="E13" s="426" t="inlineStr">
        <is>
          <t>High</t>
        </is>
      </c>
      <c r="F13" s="427" t="inlineStr">
        <is>
          <t>Check nút "Xác nhận" bị khoá khi Người gửi chưa nhập Lý do huỷ</t>
        </is>
      </c>
      <c r="G13" s="427" t="inlineStr">
        <is>
          <t>Đơn đang ở trạng thái "Chờ ghép", user đăng nhập là Sender của đơn</t>
        </is>
      </c>
      <c r="H13" s="427" t="inlineStr">
        <is>
          <t>1. Mở app FoxEco bằng tài khoản Người gửi (Sender)
2. Bấm tab "Hoạt động", mở đơn cần huỷ để vào màn "Theo dõi đơn"
3. Bấm "Huỷ đơn" để mở popup huỷ, quan sát nút "Xác nhận" khi ô Lý do huỷ còn trống</t>
        </is>
      </c>
      <c r="I13" s="427" t="inlineStr">
        <is>
          <t>3. Nút "Xác nhận" ở trạng thái disable, bấm không có phản hồi; đơn giữ nguyên trạng thái "Chờ ghép"</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IF($A13="","",IF(OR($N13="Yes",$S13="Yes",$X13="Yes",$AC13="Yes",$AH13="Yes"),"Yes","No"))</f>
        <v/>
      </c>
      <c r="AN13" s="430">
        <f>IF($A13="","",IFERROR(IF($AI13&lt;&gt;"",$AI13,IF($AD13&lt;&gt;"",$AD13,IF($Y13&lt;&gt;"",$Y13,IF($T13&lt;&gt;"",$T13,IF($O13&lt;&gt;"",$O13,""))))),""))</f>
        <v/>
      </c>
      <c r="AO13" s="430">
        <f>IFERROR(IF($AJ13&lt;&gt;"",$AJ13,IF($AE13&lt;&gt;"",$AE13,IF($Z13&lt;&gt;"",$Z13,IF($U13&lt;&gt;"",$U13,IF($P13&lt;&gt;"",$P13,""))))),"")</f>
        <v/>
      </c>
      <c r="AP13" s="431" t="inlineStr">
        <is>
          <t>Technique: EP-actor-sender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is>
      </c>
    </row>
    <row r="14" ht="60" customHeight="1" s="225">
      <c r="A14" s="426">
        <f>IF(C14="","",$C$2&amp;"."&amp;COUNTA($C$8:C14)&amp;"")</f>
        <v/>
      </c>
      <c r="B14" s="426" t="inlineStr">
        <is>
          <t>REQ-CNL-001</t>
        </is>
      </c>
      <c r="C14" s="426" t="inlineStr">
        <is>
          <t>DOC-v1.0-01 §D3/§D4/§A5/§D1b (CNL-01, BR-CNL-01, BR-INT-05, US-D16)</t>
        </is>
      </c>
      <c r="D14" s="426" t="inlineStr">
        <is>
          <t>UI</t>
        </is>
      </c>
      <c r="E14" s="426" t="inlineStr">
        <is>
          <t>High</t>
        </is>
      </c>
      <c r="F14" s="427" t="inlineStr">
        <is>
          <t>Check nút "Xác nhận" bị khoá khi Người nhận chưa nhập Lý do huỷ</t>
        </is>
      </c>
      <c r="G14" s="427" t="inlineStr">
        <is>
          <t>Đơn đang ở trạng thái "Đã ghép", user đăng nhập là Receiver của đơn</t>
        </is>
      </c>
      <c r="H14" s="427" t="inlineStr">
        <is>
          <t>1. Mở app FoxEco bằng tài khoản Người nhận (Receiver)
2. Bấm tab "Hoạt động", mở đơn cần huỷ để vào màn "Theo dõi đơn"
3. Bấm "Huỷ đơn" để mở popup huỷ, quan sát nút "Xác nhận" khi ô Lý do huỷ còn trống</t>
        </is>
      </c>
      <c r="I14" s="427" t="inlineStr">
        <is>
          <t>3. Nút "Xác nhận" ở trạng thái disable, bấm không có phản hồi; đơn giữ nguyên trạng thái "Đã ghép"</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IF($A14="","",IF(OR($N14="Yes",$S14="Yes",$X14="Yes",$AC14="Yes",$AH14="Yes"),"Yes","No"))</f>
        <v/>
      </c>
      <c r="AN14" s="430">
        <f>IF($A14="","",IFERROR(IF($AI14&lt;&gt;"",$AI14,IF($AD14&lt;&gt;"",$AD14,IF($Y14&lt;&gt;"",$Y14,IF($T14&lt;&gt;"",$T14,IF($O14&lt;&gt;"",$O14,""))))),""))</f>
        <v/>
      </c>
      <c r="AO14" s="430">
        <f>IFERROR(IF($AJ14&lt;&gt;"",$AJ14,IF($AE14&lt;&gt;"",$AE14,IF($Z14&lt;&gt;"",$Z14,IF($U14&lt;&gt;"",$U14,IF($P14&lt;&gt;"",$P14,""))))),"")</f>
        <v/>
      </c>
      <c r="AP14" s="431" t="inlineStr">
        <is>
          <t>Technique: EP-actor-receiver | ⚠ Ảnh Figma (`DOC-v1.0-04`) chỉ xác nhận verbatim biến thể popup của **Carrier** ("Huỷ nhận đơn"); biến thể của Sender/Receiver (nút "Huỷ đơn") CHƯA có ảnh đối chiếu — TC này chỉ assert RULE "nút Xác nhận khoá tới khi có lý do" (US-D16, áp dụng chung mọi vai trò), KHÔNG assert title/placeholder cụ thể (Project_rule.md §10.1). Cần vibe-test/BA xác nhận trước khi chi tiết hoá</t>
        </is>
      </c>
    </row>
    <row r="15" ht="20" customHeight="1" s="225">
      <c r="A15" s="426" t="n"/>
      <c r="B15" s="432" t="inlineStr">
        <is>
          <t>Block Lý do huỷ — Ràng buộc tối thiểu 5 ký tự (VAL-04)</t>
        </is>
      </c>
      <c r="C15" s="233" t="n"/>
      <c r="D15" s="233" t="n"/>
      <c r="E15" s="233" t="n"/>
      <c r="F15" s="233" t="n"/>
      <c r="G15" s="233" t="n"/>
      <c r="H15" s="233" t="n"/>
      <c r="I15" s="231" t="n"/>
      <c r="J15" s="426" t="n"/>
      <c r="K15" s="426" t="n"/>
      <c r="L15" s="426" t="n"/>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t="n"/>
      <c r="AN15" s="430" t="n"/>
      <c r="AO15" s="430" t="n"/>
      <c r="AP15" s="431" t="n"/>
    </row>
    <row r="16" ht="60" customHeight="1" s="225">
      <c r="A16" s="426">
        <f>IF(C16="","",$C$2&amp;"."&amp;COUNTA($C$8:C16)&amp;"")</f>
        <v/>
      </c>
      <c r="B16" s="426" t="inlineStr">
        <is>
          <t>REQ-CNL-001, REQ-ORD-013</t>
        </is>
      </c>
      <c r="C16" s="426" t="inlineStr">
        <is>
          <t>DOC-v1.0-01 (BRD v3.2 §D8.3, VAL-04)</t>
        </is>
      </c>
      <c r="D16" s="426" t="inlineStr">
        <is>
          <t>UI</t>
        </is>
      </c>
      <c r="E16" s="426" t="inlineStr">
        <is>
          <t>High</t>
        </is>
      </c>
      <c r="F16" s="427" t="inlineStr">
        <is>
          <t>Check nút "Xác nhận" vẫn khoá khi Lý do huỷ chỉ có 4 ký tự</t>
        </is>
      </c>
      <c r="G16" s="427" t="inlineStr">
        <is>
          <t>Popup Huỷ đơn đang mở, ô Lý do huỷ đang trống</t>
        </is>
      </c>
      <c r="H16" s="427" t="inlineStr">
        <is>
          <t>1. Mở app FoxEco bằng tài khoản Người vận chuyển (Carrier)
2. Bấm tab "Hoạt động", mở đơn đang nhận (trạng thái "Đã ghép") để vào màn "Theo dõi đơn"
3. Bấm "✕ Huỷ nhận đơn" để mở popup, nhập đúng 4 ký tự "abcd" vào ô Lý do huỷ</t>
        </is>
      </c>
      <c r="I16" s="427" t="inlineStr">
        <is>
          <t>3. Nút "Xác nhận" vẫn ở trạng thái disable — chưa đạt tối thiểu 5 ký tự theo VAL-04</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IF($A16="","",IF(OR($N16="Yes",$S16="Yes",$X16="Yes",$AC16="Yes",$AH16="Yes"),"Yes","No"))</f>
        <v/>
      </c>
      <c r="AN16" s="430">
        <f>IF($A16="","",IFERROR(IF($AI16&lt;&gt;"",$AI16,IF($AD16&lt;&gt;"",$AD16,IF($Y16&lt;&gt;"",$Y16,IF($T16&lt;&gt;"",$T16,IF($O16&lt;&gt;"",$O16,""))))),""))</f>
        <v/>
      </c>
      <c r="AO16" s="430">
        <f>IFERROR(IF($AJ16&lt;&gt;"",$AJ16,IF($AE16&lt;&gt;"",$AE16,IF($Z16&lt;&gt;"",$Z16,IF($U16&lt;&gt;"",$U16,IF($P16&lt;&gt;"",$P16,""))))),"")</f>
        <v/>
      </c>
      <c r="AP16" s="431" t="inlineStr">
        <is>
          <t>Technique: BVA-min-1 (4 ký tự) | ⚠ CA v1.1 `C-CANCEL-1` đã live-verify: UI hiện tại CHỈ chặn rỗng — nhập 2 ký tự nút "Xác nhận" vẫn bật → TC này DỰ KIẾN FAIL. User chốt "lay theo rule BRD nha" nên target vẫn là ≥5 ký tự; UI là gap cần dev fix</t>
        </is>
      </c>
    </row>
    <row r="17" ht="60" customHeight="1" s="225">
      <c r="A17" s="426">
        <f>IF(C17="","",$C$2&amp;"."&amp;COUNTA($C$8:C17)&amp;"")</f>
        <v/>
      </c>
      <c r="B17" s="426" t="inlineStr">
        <is>
          <t>REQ-CNL-001, REQ-ORD-013</t>
        </is>
      </c>
      <c r="C17" s="426" t="inlineStr">
        <is>
          <t>DOC-v1.0-01 (BRD v3.2 §D8.3, VAL-04)</t>
        </is>
      </c>
      <c r="D17" s="426" t="inlineStr">
        <is>
          <t>Functional</t>
        </is>
      </c>
      <c r="E17" s="426" t="inlineStr">
        <is>
          <t>High</t>
        </is>
      </c>
      <c r="F17" s="427" t="inlineStr">
        <is>
          <t>Check nút "Xác nhận" bật khi Lý do huỷ đủ đúng 5 ký tự</t>
        </is>
      </c>
      <c r="G17" s="427" t="inlineStr">
        <is>
          <t>Popup Huỷ đơn đang mở, ô Lý do huỷ đang trống</t>
        </is>
      </c>
      <c r="H17" s="427" t="inlineStr">
        <is>
          <t>1. Mở app FoxEco bằng tài khoản Người vận chuyển (Carrier)
2. Bấm tab "Hoạt động", mở đơn đang nhận (trạng thái "Đã ghép") để vào màn "Theo dõi đơn"
3. Bấm "✕ Huỷ nhận đơn" để mở popup, nhập đúng 5 ký tự "abcde"</t>
        </is>
      </c>
      <c r="I17" s="427" t="inlineStr">
        <is>
          <t>3. Nút "Xác nhận" chuyển sang enable ngay tại mốc 5 ký tự — đúng biên hợp lệ của VAL-04</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IF($A17="","",IF(OR($N17="Yes",$S17="Yes",$X17="Yes",$AC17="Yes",$AH17="Yes"),"Yes","No"))</f>
        <v/>
      </c>
      <c r="AN17" s="430">
        <f>IF($A17="","",IFERROR(IF($AI17&lt;&gt;"",$AI17,IF($AD17&lt;&gt;"",$AD17,IF($Y17&lt;&gt;"",$Y17,IF($T17&lt;&gt;"",$T17,IF($O17&lt;&gt;"",$O17,""))))),""))</f>
        <v/>
      </c>
      <c r="AO17" s="430">
        <f>IFERROR(IF($AJ17&lt;&gt;"",$AJ17,IF($AE17&lt;&gt;"",$AE17,IF($Z17&lt;&gt;"",$Z17,IF($U17&lt;&gt;"",$U17,IF($P17&lt;&gt;"",$P17,""))))),"")</f>
        <v/>
      </c>
      <c r="AP17" s="431" t="inlineStr">
        <is>
          <t>Technique: BVA-min (5 ký tự)</t>
        </is>
      </c>
    </row>
    <row r="18" ht="60" customHeight="1" s="225">
      <c r="A18" s="426">
        <f>IF(C18="","",$C$2&amp;"."&amp;COUNTA($C$8:C18)&amp;"")</f>
        <v/>
      </c>
      <c r="B18" s="426" t="inlineStr">
        <is>
          <t>REQ-CNL-001, REQ-ORD-013</t>
        </is>
      </c>
      <c r="C18" s="426" t="inlineStr">
        <is>
          <t>DOC-v1.0-01 (BRD v3.2 §D8.3, VAL-04)</t>
        </is>
      </c>
      <c r="D18" s="426" t="inlineStr">
        <is>
          <t>Functional</t>
        </is>
      </c>
      <c r="E18" s="426" t="inlineStr">
        <is>
          <t>Medium</t>
        </is>
      </c>
      <c r="F18" s="427" t="inlineStr">
        <is>
          <t>Check nút "Xác nhận" vẫn bật khi Lý do huỷ có 6 ký tự</t>
        </is>
      </c>
      <c r="G18" s="427" t="inlineStr">
        <is>
          <t>Popup Huỷ đơn đang mở, ô Lý do huỷ đang trống</t>
        </is>
      </c>
      <c r="H18" s="427" t="inlineStr">
        <is>
          <t>1. Mở app FoxEco bằng tài khoản Người vận chuyển (Carrier)
2. Bấm tab "Hoạt động", mở đơn đang nhận (trạng thái "Đã ghép") để vào màn "Theo dõi đơn"
3. Bấm "✕ Huỷ nhận đơn" để mở popup, nhập đúng 6 ký tự "abcdef"</t>
        </is>
      </c>
      <c r="I18" s="427" t="inlineStr">
        <is>
          <t>3. Nút "Xác nhận" ở trạng thái enable — trên biên vẫn hợp lệ</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IF($A18="","",IF(OR($N18="Yes",$S18="Yes",$X18="Yes",$AC18="Yes",$AH18="Yes"),"Yes","No"))</f>
        <v/>
      </c>
      <c r="AN18" s="430">
        <f>IF($A18="","",IFERROR(IF($AI18&lt;&gt;"",$AI18,IF($AD18&lt;&gt;"",$AD18,IF($Y18&lt;&gt;"",$Y18,IF($T18&lt;&gt;"",$T18,IF($O18&lt;&gt;"",$O18,""))))),""))</f>
        <v/>
      </c>
      <c r="AO18" s="430">
        <f>IFERROR(IF($AJ18&lt;&gt;"",$AJ18,IF($AE18&lt;&gt;"",$AE18,IF($Z18&lt;&gt;"",$Z18,IF($U18&lt;&gt;"",$U18,IF($P18&lt;&gt;"",$P18,""))))),"")</f>
        <v/>
      </c>
      <c r="AP18" s="431" t="inlineStr">
        <is>
          <t>Technique: BVA-min+1 (6 ký tự)</t>
        </is>
      </c>
    </row>
    <row r="19" ht="20" customHeight="1" s="225">
      <c r="A19" s="426" t="n"/>
      <c r="B19" s="432" t="inlineStr">
        <is>
          <t>Block Lý do huỷ — Error guessing trên ô nhập tự do</t>
        </is>
      </c>
      <c r="C19" s="233" t="n"/>
      <c r="D19" s="233" t="n"/>
      <c r="E19" s="233" t="n"/>
      <c r="F19" s="233" t="n"/>
      <c r="G19" s="233" t="n"/>
      <c r="H19" s="233" t="n"/>
      <c r="I19" s="231" t="n"/>
      <c r="J19" s="426" t="n"/>
      <c r="K19" s="426" t="n"/>
      <c r="L19" s="426" t="n"/>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t="n"/>
      <c r="AN19" s="430" t="n"/>
      <c r="AO19" s="430" t="n"/>
      <c r="AP19" s="431" t="n"/>
    </row>
    <row r="20" ht="60" customHeight="1" s="225">
      <c r="A20" s="426">
        <f>IF(C20="","",$C$2&amp;"."&amp;COUNTA($C$8:C20)&amp;"")</f>
        <v/>
      </c>
      <c r="B20" s="426" t="inlineStr">
        <is>
          <t>REQ-CNL-001</t>
        </is>
      </c>
      <c r="C20" s="426" t="inlineStr">
        <is>
          <t>DOC-v1.0-01 (BRD v3.2 §D8.3, VAL-04)</t>
        </is>
      </c>
      <c r="D20" s="426" t="inlineStr">
        <is>
          <t>Functional</t>
        </is>
      </c>
      <c r="E20" s="426" t="inlineStr">
        <is>
          <t>High</t>
        </is>
      </c>
      <c r="F20" s="427" t="inlineStr">
        <is>
          <t>Check nút "Xác nhận" KHÔNG bật khi Lý do huỷ chỉ gồm 5 dấu cách</t>
        </is>
      </c>
      <c r="G20" s="427" t="inlineStr">
        <is>
          <t>Popup Huỷ đơn đang mở, ô Lý do huỷ đang trống</t>
        </is>
      </c>
      <c r="H20" s="427" t="inlineStr">
        <is>
          <t>1. Mở app FoxEco bằng tài khoản Người vận chuyển (Carrier)
2. Bấm tab "Hoạt động", mở đơn đang nhận (trạng thái "Đã ghép") để vào màn "Theo dõi đơn"
3. Bấm "✕ Huỷ nhận đơn" để mở popup, nhập đúng 5 ký tự dấu cách "     " (không có ký tự nào khác)</t>
        </is>
      </c>
      <c r="I20" s="427" t="inlineStr">
        <is>
          <t>3. Nút "Xác nhận" vẫn disable — chuỗi chỉ chứa khoảng trắng KHÔNG được tính là lý do hợp lệ dù đủ 5 ký tự</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IF($A20="","",IF(OR($N20="Yes",$S20="Yes",$X20="Yes",$AC20="Yes",$AH20="Yes"),"Yes","No"))</f>
        <v/>
      </c>
      <c r="AN20" s="430">
        <f>IF($A20="","",IFERROR(IF($AI20&lt;&gt;"",$AI20,IF($AD20&lt;&gt;"",$AD20,IF($Y20&lt;&gt;"",$Y20,IF($T20&lt;&gt;"",$T20,IF($O20&lt;&gt;"",$O20,""))))),""))</f>
        <v/>
      </c>
      <c r="AO20" s="430">
        <f>IFERROR(IF($AJ20&lt;&gt;"",$AJ20,IF($AE20&lt;&gt;"",$AE20,IF($Z20&lt;&gt;"",$Z20,IF($U20&lt;&gt;"",$U20,IF($P20&lt;&gt;"",$P20,""))))),"")</f>
        <v/>
      </c>
      <c r="AP20" s="431" t="inlineStr">
        <is>
          <t>Technique: EG-whitespace-only | Case dễ lọt nhất của VAL-04: nếu hệ thống đếm độ dài trước khi trim thì TC này sẽ FAIL</t>
        </is>
      </c>
    </row>
    <row r="21" ht="60" customHeight="1" s="225">
      <c r="A21" s="426">
        <f>IF(C21="","",$C$2&amp;"."&amp;COUNTA($C$8:C21)&amp;"")</f>
        <v/>
      </c>
      <c r="B21" s="426" t="inlineStr">
        <is>
          <t>REQ-CNL-001</t>
        </is>
      </c>
      <c r="C21" s="426" t="inlineStr">
        <is>
          <t>DOC-v1.0-01 (BRD v3.2 §D8.3, VAL-04)</t>
        </is>
      </c>
      <c r="D21" s="426" t="inlineStr">
        <is>
          <t>Functional</t>
        </is>
      </c>
      <c r="E21" s="426" t="inlineStr">
        <is>
          <t>Medium</t>
        </is>
      </c>
      <c r="F21" s="427" t="inlineStr">
        <is>
          <t>Check Lý do huỷ được tự động cắt khoảng trắng đầu/cuối trước khi lưu</t>
        </is>
      </c>
      <c r="G21" s="427" t="inlineStr">
        <is>
          <t>Popup Huỷ đơn đang mở</t>
        </is>
      </c>
      <c r="H21" s="427" t="inlineStr">
        <is>
          <t>1. Mở app FoxEco bằng tài khoản Người vận chuyển (Carrier)
2. Bấm tab "Hoạt động", mở đơn đang nhận (trạng thái "Đã ghép") để vào màn "Theo dõi đơn"
3. Bấm "✕ Huỷ nhận đơn" để mở popup, nhập chuỗi "   đổi lịch   " (có khoảng trắng thừa đầu và cuối) rồi bấm "Xác nhận"</t>
        </is>
      </c>
      <c r="I21" s="427" t="inlineStr">
        <is>
          <t>3. Lý do được lưu và hiển thị là "đổi lịch" — khoảng trắng thừa ở đầu/cuối bị cắt bỏ</t>
        </is>
      </c>
      <c r="J21" s="426" t="inlineStr">
        <is>
          <t>AI</t>
        </is>
      </c>
      <c r="K21" s="426" t="inlineStr">
        <is>
          <t>Pending</t>
        </is>
      </c>
      <c r="L21" s="426" t="inlineStr">
        <is>
          <t>No</t>
        </is>
      </c>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f>IF($A21="","",IF(OR($N21="Yes",$S21="Yes",$X21="Yes",$AC21="Yes",$AH21="Yes"),"Yes","No"))</f>
        <v/>
      </c>
      <c r="AN21" s="430">
        <f>IF($A21="","",IFERROR(IF($AI21&lt;&gt;"",$AI21,IF($AD21&lt;&gt;"",$AD21,IF($Y21&lt;&gt;"",$Y21,IF($T21&lt;&gt;"",$T21,IF($O21&lt;&gt;"",$O21,""))))),""))</f>
        <v/>
      </c>
      <c r="AO21" s="430">
        <f>IFERROR(IF($AJ21&lt;&gt;"",$AJ21,IF($AE21&lt;&gt;"",$AE21,IF($Z21&lt;&gt;"",$Z21,IF($U21&lt;&gt;"",$U21,IF($P21&lt;&gt;"",$P21,""))))),"")</f>
        <v/>
      </c>
      <c r="AP21" s="431" t="inlineStr">
        <is>
          <t>Technique: EG-trim</t>
        </is>
      </c>
    </row>
    <row r="22" ht="60" customHeight="1" s="225">
      <c r="A22" s="426">
        <f>IF(C22="","",$C$2&amp;"."&amp;COUNTA($C$8:C22)&amp;"")</f>
        <v/>
      </c>
      <c r="B22" s="426" t="inlineStr">
        <is>
          <t>REQ-CNL-001</t>
        </is>
      </c>
      <c r="C22" s="426" t="inlineStr">
        <is>
          <t>DOC-v1.0-01 (BRD v3.2 §D8.3, VAL-04)</t>
        </is>
      </c>
      <c r="D22" s="426" t="inlineStr">
        <is>
          <t>Functional</t>
        </is>
      </c>
      <c r="E22" s="426" t="inlineStr">
        <is>
          <t>Low</t>
        </is>
      </c>
      <c r="F22" s="427" t="inlineStr">
        <is>
          <t>Check Lý do huỷ chấp nhận tiếng Việt có dấu và emoji</t>
        </is>
      </c>
      <c r="G22" s="427" t="inlineStr">
        <is>
          <t>Popup Huỷ đơn đang mở</t>
        </is>
      </c>
      <c r="H22" s="427" t="inlineStr">
        <is>
          <t>1. Mở app FoxEco bằng tài khoản Người vận chuyển (Carrier)
2. Bấm tab "Hoạt động", mở đơn đang nhận (trạng thái "Đã ghép") để vào màn "Theo dõi đơn"
3. Bấm "✕ Huỷ nhận đơn" để mở popup, nhập chuỗi "Đổi lịch gấp 😢 xin lỗi bạn" rồi bấm "Xác nhận"</t>
        </is>
      </c>
      <c r="I22" s="427" t="inlineStr">
        <is>
          <t>3. Huỷ đơn thành công; lý do hiển thị lại đúng nguyên văn cả dấu tiếng Việt lẫn emoji, không bị lỗi font hay ký tự lạ</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IF($A22="","",IF(OR($N22="Yes",$S22="Yes",$X22="Yes",$AC22="Yes",$AH22="Yes"),"Yes","No"))</f>
        <v/>
      </c>
      <c r="AN22" s="430">
        <f>IF($A22="","",IFERROR(IF($AI22&lt;&gt;"",$AI22,IF($AD22&lt;&gt;"",$AD22,IF($Y22&lt;&gt;"",$Y22,IF($T22&lt;&gt;"",$T22,IF($O22&lt;&gt;"",$O22,""))))),""))</f>
        <v/>
      </c>
      <c r="AO22" s="430">
        <f>IFERROR(IF($AJ22&lt;&gt;"",$AJ22,IF($AE22&lt;&gt;"",$AE22,IF($Z22&lt;&gt;"",$Z22,IF($U22&lt;&gt;"",$U22,IF($P22&lt;&gt;"",$P22,""))))),"")</f>
        <v/>
      </c>
      <c r="AP22" s="431" t="inlineStr">
        <is>
          <t>Technique: EG-unicode</t>
        </is>
      </c>
    </row>
    <row r="23" ht="60" customHeight="1" s="225">
      <c r="A23" s="426">
        <f>IF(C23="","",$C$2&amp;"."&amp;COUNTA($C$8:C23)&amp;"")</f>
        <v/>
      </c>
      <c r="B23" s="426" t="inlineStr">
        <is>
          <t>REQ-CNL-001</t>
        </is>
      </c>
      <c r="C23" s="426" t="inlineStr">
        <is>
          <t>DOC-v1.0-01 (BRD v3.2 §D8.3, VAL-04)</t>
        </is>
      </c>
      <c r="D23" s="426" t="inlineStr">
        <is>
          <t>Functional</t>
        </is>
      </c>
      <c r="E23" s="426" t="inlineStr">
        <is>
          <t>Low</t>
        </is>
      </c>
      <c r="F23" s="427" t="inlineStr">
        <is>
          <t>Check Lý do huỷ xử lý được chuỗi rất dài (10.000 ký tự)</t>
        </is>
      </c>
      <c r="G23" s="427" t="inlineStr">
        <is>
          <t>Popup Huỷ đơn đang mở</t>
        </is>
      </c>
      <c r="H23" s="427" t="inlineStr">
        <is>
          <t>1. Mở app FoxEco bằng tài khoản Người vận chuyển (Carrier)
2. Bấm tab "Hoạt động", mở đơn đang nhận (trạng thái "Đã ghép") để vào màn "Theo dõi đơn"
3. Bấm "✕ Huỷ nhận đơn" để mở popup, dán vào ô Lý do huỷ 1 chuỗi 10.000 ký tự rồi bấm "Xác nhận"</t>
        </is>
      </c>
      <c r="I23" s="427" t="inlineStr">
        <is>
          <t>3. Hệ thống xử lý ổn định — hoặc chặn kèm thông báo giới hạn độ dài, hoặc lưu thành công; KHÔNG treo/crash app và KHÔNG vỡ layout popup</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IF($A23="","",IF(OR($N23="Yes",$S23="Yes",$X23="Yes",$AC23="Yes",$AH23="Yes"),"Yes","No"))</f>
        <v/>
      </c>
      <c r="AN23" s="430">
        <f>IF($A23="","",IFERROR(IF($AI23&lt;&gt;"",$AI23,IF($AD23&lt;&gt;"",$AD23,IF($Y23&lt;&gt;"",$Y23,IF($T23&lt;&gt;"",$T23,IF($O23&lt;&gt;"",$O23,""))))),""))</f>
        <v/>
      </c>
      <c r="AO23" s="430">
        <f>IFERROR(IF($AJ23&lt;&gt;"",$AJ23,IF($AE23&lt;&gt;"",$AE23,IF($Z23&lt;&gt;"",$Z23,IF($U23&lt;&gt;"",$U23,IF($P23&lt;&gt;"",$P23,""))))),"")</f>
        <v/>
      </c>
      <c r="AP23" s="431" t="inlineStr">
        <is>
          <t>Technique: EG-very-long | ⚠ BRD chưa quy định maxlength cho Lý do huỷ (chỉ có min 5 ký tự — VAL-04) → Expected viết ở dạng chấp nhận cả 2 nhánh, cần BA chốt maxlength để siết lại</t>
        </is>
      </c>
    </row>
    <row r="24" ht="60" customHeight="1" s="225">
      <c r="A24" s="426">
        <f>IF(C24="","",$C$2&amp;"."&amp;COUNTA($C$8:C24)&amp;"")</f>
        <v/>
      </c>
      <c r="B24" s="426" t="inlineStr">
        <is>
          <t>REQ-CNL-001</t>
        </is>
      </c>
      <c r="C24" s="426" t="inlineStr">
        <is>
          <t>DOC-v1.0-01 (BRD v3.2 §D8.3, VAL-04)</t>
        </is>
      </c>
      <c r="D24" s="426" t="inlineStr">
        <is>
          <t>Functional</t>
        </is>
      </c>
      <c r="E24" s="426" t="inlineStr">
        <is>
          <t>Medium</t>
        </is>
      </c>
      <c r="F24" s="427" t="inlineStr">
        <is>
          <t>Check Lý do huỷ chứa ký tự SQL không gây lỗi truy vấn</t>
        </is>
      </c>
      <c r="G24" s="427" t="inlineStr">
        <is>
          <t>Popup Huỷ đơn đang mở</t>
        </is>
      </c>
      <c r="H24" s="427" t="inlineStr">
        <is>
          <t>1. Mở app FoxEco bằng tài khoản Người vận chuyển (Carrier)
2. Bấm tab "Hoạt động", mở đơn đang nhận (trạng thái "Đã ghép") để vào màn "Theo dõi đơn"
3. Bấm "✕ Huỷ nhận đơn" để mở popup, nhập chuỗi "' OR 1=1 --" rồi bấm "Xác nhận"</t>
        </is>
      </c>
      <c r="I24" s="427" t="inlineStr">
        <is>
          <t>3. Huỷ đơn xử lý bình thường, lý do được lưu/hiển thị nguyên văn dưới dạng text; không phát sinh lỗi truy vấn và không ảnh hưởng dữ liệu đơn khác</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IF($A24="","",IF(OR($N24="Yes",$S24="Yes",$X24="Yes",$AC24="Yes",$AH24="Yes"),"Yes","No"))</f>
        <v/>
      </c>
      <c r="AN24" s="430">
        <f>IF($A24="","",IFERROR(IF($AI24&lt;&gt;"",$AI24,IF($AD24&lt;&gt;"",$AD24,IF($Y24&lt;&gt;"",$Y24,IF($T24&lt;&gt;"",$T24,IF($O24&lt;&gt;"",$O24,""))))),""))</f>
        <v/>
      </c>
      <c r="AO24" s="430">
        <f>IFERROR(IF($AJ24&lt;&gt;"",$AJ24,IF($AE24&lt;&gt;"",$AE24,IF($Z24&lt;&gt;"",$Z24,IF($U24&lt;&gt;"",$U24,IF($P24&lt;&gt;"",$P24,""))))),"")</f>
        <v/>
      </c>
      <c r="AP24" s="431" t="inlineStr">
        <is>
          <t>Technique: EG-sql-meta</t>
        </is>
      </c>
    </row>
    <row r="25" ht="60" customHeight="1" s="225">
      <c r="A25" s="426">
        <f>IF(C25="","",$C$2&amp;"."&amp;COUNTA($C$8:C25)&amp;"")</f>
        <v/>
      </c>
      <c r="B25" s="426" t="inlineStr">
        <is>
          <t>REQ-CNL-001</t>
        </is>
      </c>
      <c r="C25" s="426" t="inlineStr">
        <is>
          <t>DOC-v1.0-01 (BRD v3.2 §D8.3, VAL-04)</t>
        </is>
      </c>
      <c r="D25" s="426" t="inlineStr">
        <is>
          <t>Functional</t>
        </is>
      </c>
      <c r="E25" s="426" t="inlineStr">
        <is>
          <t>Medium</t>
        </is>
      </c>
      <c r="F25" s="427" t="inlineStr">
        <is>
          <t>Check Lý do huỷ chứa thẻ script được hiển thị dạng text, không thực thi</t>
        </is>
      </c>
      <c r="G25" s="427" t="inlineStr">
        <is>
          <t>Popup Huỷ đơn đang mở</t>
        </is>
      </c>
      <c r="H25" s="427" t="inlineStr">
        <is>
          <t>1. Mở app FoxEco bằng tài khoản Người vận chuyển (Carrier)
2. Bấm tab "Hoạt động", mở đơn đang nhận (trạng thái "Đã ghép") để vào màn "Theo dõi đơn"
3. Bấm "✕ Huỷ nhận đơn" để mở popup, nhập chuỗi "&lt;script&gt;alert(1)&lt;/script&gt;" rồi bấm "Xác nhận"</t>
        </is>
      </c>
      <c r="I25" s="427" t="inlineStr">
        <is>
          <t>3. Lý do hiển thị lại đúng nguyên văn chuỗi "&lt;script&gt;alert(1)&lt;/script&gt;" dưới dạng text; KHÔNG xuất hiện hộp thoại alert nào</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IF($A25="","",IF(OR($N25="Yes",$S25="Yes",$X25="Yes",$AC25="Yes",$AH25="Yes"),"Yes","No"))</f>
        <v/>
      </c>
      <c r="AN25" s="430">
        <f>IF($A25="","",IFERROR(IF($AI25&lt;&gt;"",$AI25,IF($AD25&lt;&gt;"",$AD25,IF($Y25&lt;&gt;"",$Y25,IF($T25&lt;&gt;"",$T25,IF($O25&lt;&gt;"",$O25,""))))),""))</f>
        <v/>
      </c>
      <c r="AO25" s="430">
        <f>IFERROR(IF($AJ25&lt;&gt;"",$AJ25,IF($AE25&lt;&gt;"",$AE25,IF($Z25&lt;&gt;"",$Z25,IF($U25&lt;&gt;"",$U25,IF($P25&lt;&gt;"",$P25,""))))),"")</f>
        <v/>
      </c>
      <c r="AP25" s="431" t="inlineStr">
        <is>
          <t>Technique: EG-xss-meta</t>
        </is>
      </c>
    </row>
    <row r="26" ht="60" customHeight="1" s="225">
      <c r="A26" s="426">
        <f>IF(C26="","",$C$2&amp;"."&amp;COUNTA($C$8:C26)&amp;"")</f>
        <v/>
      </c>
      <c r="B26" s="426" t="inlineStr">
        <is>
          <t>REQ-CNL-001</t>
        </is>
      </c>
      <c r="C26" s="426" t="inlineStr">
        <is>
          <t>DOC-v1.0-01 (BRD v3.2 §D8.3, VAL-04)</t>
        </is>
      </c>
      <c r="D26" s="426" t="inlineStr">
        <is>
          <t>Functional</t>
        </is>
      </c>
      <c r="E26" s="426" t="inlineStr">
        <is>
          <t>Low</t>
        </is>
      </c>
      <c r="F26" s="427" t="inlineStr">
        <is>
          <t>Check Lý do huỷ chứa ký tự xuống dòng được xử lý đúng</t>
        </is>
      </c>
      <c r="G26" s="427" t="inlineStr">
        <is>
          <t>Popup Huỷ đơn đang mở</t>
        </is>
      </c>
      <c r="H26" s="427" t="inlineStr">
        <is>
          <t>1. Mở app FoxEco bằng tài khoản Người vận chuyển (Carrier)
2. Bấm tab "Hoạt động", mở đơn đang nhận (trạng thái "Đã ghép") để vào màn "Theo dõi đơn"
3. Bấm "✕ Huỷ nhận đơn" để mở popup, nhập chuỗi có xuống dòng "đổi lịch\ngấp quá" rồi bấm "Xác nhận"</t>
        </is>
      </c>
      <c r="I26" s="427" t="inlineStr">
        <is>
          <t>3. Huỷ đơn thành công; lý do hiển thị lại giữ đúng nội dung 2 dòng (hoặc gộp thành 1 dòng nhất quán), không bị cắt mất phần sau dấu xuống dòng</t>
        </is>
      </c>
      <c r="J26" s="426" t="inlineStr">
        <is>
          <t>AI</t>
        </is>
      </c>
      <c r="K26" s="426" t="inlineStr">
        <is>
          <t>Pending</t>
        </is>
      </c>
      <c r="L26" s="426" t="inlineStr">
        <is>
          <t>No</t>
        </is>
      </c>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f>IF($A26="","",IF(OR($N26="Yes",$S26="Yes",$X26="Yes",$AC26="Yes",$AH26="Yes"),"Yes","No"))</f>
        <v/>
      </c>
      <c r="AN26" s="430">
        <f>IF($A26="","",IFERROR(IF($AI26&lt;&gt;"",$AI26,IF($AD26&lt;&gt;"",$AD26,IF($Y26&lt;&gt;"",$Y26,IF($T26&lt;&gt;"",$T26,IF($O26&lt;&gt;"",$O26,""))))),""))</f>
        <v/>
      </c>
      <c r="AO26" s="430">
        <f>IFERROR(IF($AJ26&lt;&gt;"",$AJ26,IF($AE26&lt;&gt;"",$AE26,IF($Z26&lt;&gt;"",$Z26,IF($U26&lt;&gt;"",$U26,IF($P26&lt;&gt;"",$P26,""))))),"")</f>
        <v/>
      </c>
      <c r="AP26" s="431" t="inlineStr">
        <is>
          <t>Technique: EG-control-chars</t>
        </is>
      </c>
    </row>
    <row r="27" ht="20" customHeight="1" s="225">
      <c r="A27" s="426" t="n"/>
      <c r="B27" s="432" t="inlineStr">
        <is>
          <t>Block Ghi nhận người huỷ &amp; đồng bộ 3 bên</t>
        </is>
      </c>
      <c r="C27" s="233" t="n"/>
      <c r="D27" s="233" t="n"/>
      <c r="E27" s="233" t="n"/>
      <c r="F27" s="233" t="n"/>
      <c r="G27" s="233" t="n"/>
      <c r="H27" s="233" t="n"/>
      <c r="I27" s="231" t="n"/>
      <c r="J27" s="426" t="n"/>
      <c r="K27" s="426" t="n"/>
      <c r="L27" s="426" t="n"/>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t="n"/>
      <c r="AN27" s="430" t="n"/>
      <c r="AO27" s="430" t="n"/>
      <c r="AP27" s="431" t="n"/>
    </row>
    <row r="28" ht="60" customHeight="1" s="225">
      <c r="A28" s="426">
        <f>IF(C28="","",$C$2&amp;"."&amp;COUNTA($C$8:C28)&amp;"")</f>
        <v/>
      </c>
      <c r="B28" s="426" t="inlineStr">
        <is>
          <t>REQ-CNL-001</t>
        </is>
      </c>
      <c r="C28" s="426" t="inlineStr">
        <is>
          <t>DOC-v1.0-01 §D3/§D4/§A5/§D1b (CNL-01, BR-CNL-01, BR-INT-05, US-D16)</t>
        </is>
      </c>
      <c r="D28" s="426" t="inlineStr">
        <is>
          <t>Functional</t>
        </is>
      </c>
      <c r="E28" s="426" t="inlineStr">
        <is>
          <t>Medium</t>
        </is>
      </c>
      <c r="F28" s="427" t="inlineStr">
        <is>
          <t>Check đơn do Người gửi huỷ ghi rõ vai trò người huỷ kèm lý do</t>
        </is>
      </c>
      <c r="G28" s="427" t="inlineStr">
        <is>
          <t>Đơn đang ở trạng thái "Đã ghép", user đăng nhập là Sender của đơn</t>
        </is>
      </c>
      <c r="H28" s="427" t="inlineStr">
        <is>
          <t>1. Mở app FoxEco bằng tài khoản Người gửi (Sender)
2. Bấm tab "Hoạt động", mở đơn cần huỷ để vào màn "Theo dõi đơn"
3. Bấm "Huỷ đơn", nhập lý do "Không cần gửi nữa" rồi bấm "Xác nhận"</t>
        </is>
      </c>
      <c r="I28" s="427" t="inlineStr">
        <is>
          <t>3. Đơn chuyển sang trạng thái đã huỷ, ghi rõ vai trò người huỷ là **Người gửi** kèm đúng lý do "Không cần gửi nữa"</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IF($A28="","",IF(OR($N28="Yes",$S28="Yes",$X28="Yes",$AC28="Yes",$AH28="Yes"),"Yes","No"))</f>
        <v/>
      </c>
      <c r="AN28" s="430">
        <f>IF($A28="","",IFERROR(IF($AI28&lt;&gt;"",$AI28,IF($AD28&lt;&gt;"",$AD28,IF($Y28&lt;&gt;"",$Y28,IF($T28&lt;&gt;"",$T28,IF($O28&lt;&gt;"",$O28,""))))),""))</f>
        <v/>
      </c>
      <c r="AO28" s="430">
        <f>IFERROR(IF($AJ28&lt;&gt;"",$AJ28,IF($AE28&lt;&gt;"",$AE28,IF($Z28&lt;&gt;"",$Z28,IF($U28&lt;&gt;"",$U28,IF($P28&lt;&gt;"",$P28,""))))),"")</f>
        <v/>
      </c>
      <c r="AP28" s="431" t="inlineStr">
        <is>
          <t>Technique: EP-actor-sender | CRUD-Delete (op Delete của entity Đơn — Create/Read/Update/List/Search nằm ở TC-DANGTIN/TC-BANGTIN/TC-HOATDONG)</t>
        </is>
      </c>
    </row>
    <row r="29" ht="60" customHeight="1" s="225">
      <c r="A29" s="426">
        <f>IF(C29="","",$C$2&amp;"."&amp;COUNTA($C$8:C29)&amp;"")</f>
        <v/>
      </c>
      <c r="B29" s="426" t="inlineStr">
        <is>
          <t>REQ-CNL-001</t>
        </is>
      </c>
      <c r="C29" s="426" t="inlineStr">
        <is>
          <t>DOC-v1.0-01 §D3/§D4/§A5/§D1b (CNL-01, BR-CNL-01, BR-INT-05, US-D16)</t>
        </is>
      </c>
      <c r="D29" s="426" t="inlineStr">
        <is>
          <t>Functional</t>
        </is>
      </c>
      <c r="E29" s="426" t="inlineStr">
        <is>
          <t>Medium</t>
        </is>
      </c>
      <c r="F29" s="427" t="inlineStr">
        <is>
          <t>Check đơn do Người vận chuyển huỷ ghi rõ vai trò người huỷ kèm lý do</t>
        </is>
      </c>
      <c r="G29" s="427" t="inlineStr">
        <is>
          <t>Đơn đang ở trạng thái "Đã ghép", user đăng nhập là Carrier của đơn</t>
        </is>
      </c>
      <c r="H29"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I29" s="427" t="inlineStr">
        <is>
          <t>3. Đơn ghi rõ vai trò người huỷ là **Người vận chuyển** kèm đúng lý do "Đổi lịch công tác"</t>
        </is>
      </c>
      <c r="J29" s="426" t="inlineStr">
        <is>
          <t>AI</t>
        </is>
      </c>
      <c r="K29" s="426" t="inlineStr">
        <is>
          <t>Pending</t>
        </is>
      </c>
      <c r="L29" s="426" t="inlineStr">
        <is>
          <t>No</t>
        </is>
      </c>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f>IF($A29="","",IF(OR($N29="Yes",$S29="Yes",$X29="Yes",$AC29="Yes",$AH29="Yes"),"Yes","No"))</f>
        <v/>
      </c>
      <c r="AN29" s="430">
        <f>IF($A29="","",IFERROR(IF($AI29&lt;&gt;"",$AI29,IF($AD29&lt;&gt;"",$AD29,IF($Y29&lt;&gt;"",$Y29,IF($T29&lt;&gt;"",$T29,IF($O29&lt;&gt;"",$O29,""))))),""))</f>
        <v/>
      </c>
      <c r="AO29" s="430">
        <f>IFERROR(IF($AJ29&lt;&gt;"",$AJ29,IF($AE29&lt;&gt;"",$AE29,IF($Z29&lt;&gt;"",$Z29,IF($U29&lt;&gt;"",$U29,IF($P29&lt;&gt;"",$P29,""))))),"")</f>
        <v/>
      </c>
      <c r="AP29" s="431" t="inlineStr">
        <is>
          <t>Technique: EP-actor-carrier</t>
        </is>
      </c>
    </row>
    <row r="30" ht="60" customHeight="1" s="225">
      <c r="A30" s="426">
        <f>IF(C30="","",$C$2&amp;"."&amp;COUNTA($C$8:C30)&amp;"")</f>
        <v/>
      </c>
      <c r="B30" s="426" t="inlineStr">
        <is>
          <t>REQ-CNL-001</t>
        </is>
      </c>
      <c r="C30" s="426" t="inlineStr">
        <is>
          <t>DOC-v1.0-01 §D3/§D4/§A5/§D1b (CNL-01, BR-CNL-01, BR-INT-05, US-D16)</t>
        </is>
      </c>
      <c r="D30" s="426" t="inlineStr">
        <is>
          <t>Functional</t>
        </is>
      </c>
      <c r="E30" s="426" t="inlineStr">
        <is>
          <t>Medium</t>
        </is>
      </c>
      <c r="F30" s="427" t="inlineStr">
        <is>
          <t>Check đơn do Người nhận huỷ ghi rõ vai trò người huỷ kèm lý do</t>
        </is>
      </c>
      <c r="G30" s="427" t="inlineStr">
        <is>
          <t>Đơn đang ở trạng thái "Đã ghép", user đăng nhập là Receiver của đơn</t>
        </is>
      </c>
      <c r="H30" s="427" t="inlineStr">
        <is>
          <t>1. Mở app FoxEco bằng tài khoản Người nhận (Receiver)
2. Bấm tab "Hoạt động", mở đơn cần huỷ để vào màn "Theo dõi đơn"
3. Bấm "Huỷ đơn", nhập lý do "Không ở văn phòng" rồi bấm "Xác nhận"</t>
        </is>
      </c>
      <c r="I30" s="427" t="inlineStr">
        <is>
          <t>3. Đơn ghi rõ vai trò người huỷ là **Người nhận** kèm đúng lý do "Không ở văn phòng"</t>
        </is>
      </c>
      <c r="J30" s="426" t="inlineStr">
        <is>
          <t>AI</t>
        </is>
      </c>
      <c r="K30" s="426" t="inlineStr">
        <is>
          <t>Pending</t>
        </is>
      </c>
      <c r="L30" s="426" t="inlineStr">
        <is>
          <t>No</t>
        </is>
      </c>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f>IF($A30="","",IF(OR($N30="Yes",$S30="Yes",$X30="Yes",$AC30="Yes",$AH30="Yes"),"Yes","No"))</f>
        <v/>
      </c>
      <c r="AN30" s="430">
        <f>IF($A30="","",IFERROR(IF($AI30&lt;&gt;"",$AI30,IF($AD30&lt;&gt;"",$AD30,IF($Y30&lt;&gt;"",$Y30,IF($T30&lt;&gt;"",$T30,IF($O30&lt;&gt;"",$O30,""))))),""))</f>
        <v/>
      </c>
      <c r="AO30" s="430">
        <f>IFERROR(IF($AJ30&lt;&gt;"",$AJ30,IF($AE30&lt;&gt;"",$AE30,IF($Z30&lt;&gt;"",$Z30,IF($U30&lt;&gt;"",$U30,IF($P30&lt;&gt;"",$P30,""))))),"")</f>
        <v/>
      </c>
      <c r="AP30" s="431" t="inlineStr">
        <is>
          <t>Technique: EP-actor-receiver</t>
        </is>
      </c>
    </row>
    <row r="31" ht="60" customHeight="1" s="225">
      <c r="A31" s="426">
        <f>IF(C31="","",$C$2&amp;"."&amp;COUNTA($C$8:C31)&amp;"")</f>
        <v/>
      </c>
      <c r="B31" s="426" t="inlineStr">
        <is>
          <t>REQ-CNL-001</t>
        </is>
      </c>
      <c r="C31" s="426" t="inlineStr">
        <is>
          <t>DOC-v1.0-01 §D3/§D4/§A5/§D1b (CNL-01, BR-CNL-01, BR-INT-05, US-D16)</t>
        </is>
      </c>
      <c r="D31" s="426" t="inlineStr">
        <is>
          <t>Functional</t>
        </is>
      </c>
      <c r="E31" s="426" t="inlineStr">
        <is>
          <t>High</t>
        </is>
      </c>
      <c r="F31" s="427" t="inlineStr">
        <is>
          <t>Check cả 3 màn Người gửi/Người vận chuyển/Người nhận đồng bộ tức thời khi 1 bên huỷ đơn</t>
        </is>
      </c>
      <c r="G31" s="427" t="inlineStr">
        <is>
          <t>3 tài khoản Sender / Carrier / Receiver của cùng 1 đơn đang mở sẵn màn Theo dõi đơn; đơn ở trạng thái "Đã ghép"</t>
        </is>
      </c>
      <c r="H31" s="427" t="inlineStr">
        <is>
          <t>1. Trên thiết bị Sender: bấm "Huỷ đơn", nhập lý do "Không cần gửi nữa" rồi bấm "Xác nhận"
2. Ngay sau đó quan sát màn Theo dõi đơn đang mở trên thiết bị Carrier
3. Ngay sau đó quan sát màn Theo dõi đơn đang mở trên thiết bị Receiver</t>
        </is>
      </c>
      <c r="I31" s="427" t="inlineStr">
        <is>
          <t>3. Cả màn Carrier lẫn màn Receiver đều tự cập nhật sang trạng thái đơn đã huỷ (kèm vai trò người huỷ + lý do) mà KHÔNG cần thao tác tải lại thủ công</t>
        </is>
      </c>
      <c r="J31" s="426" t="inlineStr">
        <is>
          <t>AI</t>
        </is>
      </c>
      <c r="K31" s="426" t="inlineStr">
        <is>
          <t>Pending</t>
        </is>
      </c>
      <c r="L31" s="426" t="inlineStr">
        <is>
          <t>No</t>
        </is>
      </c>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f>IF($A31="","",IF(OR($N31="Yes",$S31="Yes",$X31="Yes",$AC31="Yes",$AH31="Yes"),"Yes","No"))</f>
        <v/>
      </c>
      <c r="AN31" s="430">
        <f>IF($A31="","",IFERROR(IF($AI31&lt;&gt;"",$AI31,IF($AD31&lt;&gt;"",$AD31,IF($Y31&lt;&gt;"",$Y31,IF($T31&lt;&gt;"",$T31,IF($O31&lt;&gt;"",$O31,""))))),""))</f>
        <v/>
      </c>
      <c r="AO31" s="430">
        <f>IFERROR(IF($AJ31&lt;&gt;"",$AJ31,IF($AE31&lt;&gt;"",$AE31,IF($Z31&lt;&gt;"",$Z31,IF($U31&lt;&gt;"",$U31,IF($P31&lt;&gt;"",$P31,""))))),"")</f>
        <v/>
      </c>
      <c r="AP31" s="431" t="n"/>
    </row>
    <row r="32" ht="60" customHeight="1" s="225">
      <c r="A32" s="426">
        <f>IF(C32="","",$C$2&amp;"."&amp;COUNTA($C$8:C32)&amp;"")</f>
        <v/>
      </c>
      <c r="B32" s="426" t="inlineStr">
        <is>
          <t>REQ-CNL-001</t>
        </is>
      </c>
      <c r="C32" s="426" t="inlineStr">
        <is>
          <t>DOC-v1.0-01 §D1b (US-D16) + ảnh DOC-v1.0-04 (popup Huỷ nhận đơn)</t>
        </is>
      </c>
      <c r="D32" s="426" t="inlineStr">
        <is>
          <t>UI</t>
        </is>
      </c>
      <c r="E32" s="426" t="inlineStr">
        <is>
          <t>Medium</t>
        </is>
      </c>
      <c r="F32" s="427" t="inlineStr">
        <is>
          <t>Check đầy đủ + đúng 2 thành phần hiển thị tại màn "Đơn đã huỷ"</t>
        </is>
      </c>
      <c r="G32" s="427" t="inlineStr">
        <is>
          <t>Đơn vừa bị huỷ khi đang ở trạng thái "Chờ ghép" (huỷ trước khi ghép)</t>
        </is>
      </c>
      <c r="H32" s="427" t="inlineStr">
        <is>
          <t>1. Mở app FoxEco bằng tài khoản Người gửi (Sender)
2. Bấm tab "Hoạt động", mở đơn cần huỷ để vào màn "Theo dõi đơn"
3. Quan sát toàn bộ màn Theo dõi đơn của đơn vừa huỷ</t>
        </is>
      </c>
      <c r="I32" s="427" t="inlineStr">
        <is>
          <t>3. Màn hiển thị đủ 2 thành phần: (1) nút ở đáy màn chuyển thành nhãn disabled "Đơn đã huỷ", (2) toàn bộ thanh 5 bước trạng thái chuyển sang màu xám (không còn bước nào đang active)</t>
        </is>
      </c>
      <c r="J32" s="426" t="inlineStr">
        <is>
          <t>AI</t>
        </is>
      </c>
      <c r="K32" s="426" t="inlineStr">
        <is>
          <t>Pending</t>
        </is>
      </c>
      <c r="L32" s="426" t="inlineStr">
        <is>
          <t>No</t>
        </is>
      </c>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f>IF($A32="","",IF(OR($N32="Yes",$S32="Yes",$X32="Yes",$AC32="Yes",$AH32="Yes"),"Yes","No"))</f>
        <v/>
      </c>
      <c r="AN32" s="430">
        <f>IF($A32="","",IFERROR(IF($AI32&lt;&gt;"",$AI32,IF($AD32&lt;&gt;"",$AD32,IF($Y32&lt;&gt;"",$Y32,IF($T32&lt;&gt;"",$T32,IF($O32&lt;&gt;"",$O32,""))))),""))</f>
        <v/>
      </c>
      <c r="AO32" s="430">
        <f>IFERROR(IF($AJ32&lt;&gt;"",$AJ32,IF($AE32&lt;&gt;"",$AE32,IF($Z32&lt;&gt;"",$Z32,IF($U32&lt;&gt;"",$U32,IF($P32&lt;&gt;"",$P32,""))))),"")</f>
        <v/>
      </c>
      <c r="AP32" s="431" t="inlineStr">
        <is>
          <t>Field/column completeness check — auto-derived (xem generate.md Step 3b) | Text/trạng thái verbatim xác nhận qua ảnh Figma DOC-v1.0-04 (hash c2191d95…, d6feddb3…)</t>
        </is>
      </c>
    </row>
    <row r="33" ht="60" customHeight="1" s="225">
      <c r="A33" s="426">
        <f>IF(C33="","",$C$2&amp;"."&amp;COUNTA($C$8:C33)&amp;"")</f>
        <v/>
      </c>
      <c r="B33" s="426" t="inlineStr">
        <is>
          <t>REQ-CNL-001</t>
        </is>
      </c>
      <c r="C33" s="426" t="inlineStr">
        <is>
          <t>DOC-v1.0-01 §D3/§D4/§A5/§D1b (CNL-01, BR-CNL-01, BR-INT-05, US-D16)</t>
        </is>
      </c>
      <c r="D33" s="426" t="inlineStr">
        <is>
          <t>Functional</t>
        </is>
      </c>
      <c r="E33" s="426" t="inlineStr">
        <is>
          <t>High</t>
        </is>
      </c>
      <c r="F33" s="427" t="inlineStr">
        <is>
          <t>Check LỊCH SỬ ghi log khi Người gửi huỷ đơn</t>
        </is>
      </c>
      <c r="G33" s="427" t="inlineStr">
        <is>
          <t>Đơn đang ở trạng thái "Đã ghép", user đăng nhập là Sender của đơn</t>
        </is>
      </c>
      <c r="H33" s="427" t="inlineStr">
        <is>
          <t>1. Mở app FoxEco bằng tài khoản Người gửi (Sender)
2. Bấm tab "Hoạt động", mở đơn cần huỷ để vào màn "Theo dõi đơn"
3. Bấm "Huỷ đơn", nhập lý do "Không cần gửi nữa", bấm "Xác nhận", rồi cuộn xuống khối "LỊCH SỬ"</t>
        </is>
      </c>
      <c r="I33" s="427" t="inlineStr">
        <is>
          <t>3. Khối "LỊCH SỬ" ghi thêm 1 mốc cho hành động huỷ (vai trò người huỷ + lý do + timestamp), nối tiếp đúng thứ tự sau các mốc trước đó — KHÔNG chỉ hiện banner đỏ "Đơn hàng đã bị huỷ" rồi bỏ trống LỊCH SỬ</t>
        </is>
      </c>
      <c r="J33" s="426" t="inlineStr">
        <is>
          <t>AI</t>
        </is>
      </c>
      <c r="K33" s="426" t="inlineStr">
        <is>
          <t>Pending</t>
        </is>
      </c>
      <c r="L33" s="426" t="inlineStr">
        <is>
          <t>No</t>
        </is>
      </c>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f>IF($A33="","",IF(OR($N33="Yes",$S33="Yes",$X33="Yes",$AC33="Yes",$AH33="Yes"),"Yes","No"))</f>
        <v/>
      </c>
      <c r="AN33" s="430">
        <f>IF($A33="","",IFERROR(IF($AI33&lt;&gt;"",$AI33,IF($AD33&lt;&gt;"",$AD33,IF($Y33&lt;&gt;"",$Y33,IF($T33&lt;&gt;"",$T33,IF($O33&lt;&gt;"",$O33,""))))),""))</f>
        <v/>
      </c>
      <c r="AO33" s="430">
        <f>IFERROR(IF($AJ33&lt;&gt;"",$AJ33,IF($AE33&lt;&gt;"",$AE33,IF($Z33&lt;&gt;"",$Z33,IF($U33&lt;&gt;"",$U33,IF($P33&lt;&gt;"",$P33,""))))),"")</f>
        <v/>
      </c>
      <c r="AP33" s="431"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t>
        </is>
      </c>
    </row>
    <row r="34" ht="60" customHeight="1" s="225">
      <c r="A34" s="426">
        <f>IF(C34="","",$C$2&amp;"."&amp;COUNTA($C$8:C34)&amp;"")</f>
        <v/>
      </c>
      <c r="B34" s="426" t="inlineStr">
        <is>
          <t>REQ-CNL-001</t>
        </is>
      </c>
      <c r="C34" s="426" t="inlineStr">
        <is>
          <t>DOC-v1.0-01 §D3/§D4/§A5/§D1b (CNL-01, BR-CNL-01, BR-INT-05, US-D16)</t>
        </is>
      </c>
      <c r="D34" s="426" t="inlineStr">
        <is>
          <t>Functional</t>
        </is>
      </c>
      <c r="E34" s="426" t="inlineStr">
        <is>
          <t>High</t>
        </is>
      </c>
      <c r="F34" s="427" t="inlineStr">
        <is>
          <t>Check LỊCH SỬ ghi log khi Người vận chuyển huỷ nhận đơn, không xoá mốc cũ</t>
        </is>
      </c>
      <c r="G34" s="427" t="inlineStr">
        <is>
          <t>Đơn đang ở "Đã ghép" và khối LỊCH SỬ đang có sẵn mốc "Ghép thành công"; user đăng nhập là Carrier</t>
        </is>
      </c>
      <c r="H34"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bấm "Xác nhận", rồi quan sát lại khối "LỊCH SỬ"</t>
        </is>
      </c>
      <c r="I34" s="427" t="inlineStr">
        <is>
          <t>3. LỊCH SỬ ghi thêm 1 mốc cho hành động huỷ nhận đơn (vai trò + lý do + timestamp) VÀ mốc "Ghép thành công" trước đó vẫn còn nguyên — không bị xoá khỏi lịch sử</t>
        </is>
      </c>
      <c r="J34" s="426" t="inlineStr">
        <is>
          <t>AI</t>
        </is>
      </c>
      <c r="K34" s="426" t="inlineStr">
        <is>
          <t>Pending</t>
        </is>
      </c>
      <c r="L34" s="426" t="inlineStr">
        <is>
          <t>No</t>
        </is>
      </c>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f>IF($A34="","",IF(OR($N34="Yes",$S34="Yes",$X34="Yes",$AC34="Yes",$AH34="Yes"),"Yes","No"))</f>
        <v/>
      </c>
      <c r="AN34" s="430">
        <f>IF($A34="","",IFERROR(IF($AI34&lt;&gt;"",$AI34,IF($AD34&lt;&gt;"",$AD34,IF($Y34&lt;&gt;"",$Y34,IF($T34&lt;&gt;"",$T34,IF($O34&lt;&gt;"",$O34,""))))),""))</f>
        <v/>
      </c>
      <c r="AO34" s="430">
        <f>IFERROR(IF($AJ34&lt;&gt;"",$AJ34,IF($AE34&lt;&gt;"",$AE34,IF($Z34&lt;&gt;"",$Z34,IF($U34&lt;&gt;"",$U34,IF($P34&lt;&gt;"",$P34,""))))),"")</f>
        <v/>
      </c>
      <c r="AP34" s="431"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Riêng nhánh này CA còn phát hiện UI XOÁ LUÔN dòng "Ghép thành công" khỏi LỊCH SỬ — TC chủ đích bắt cả 2 lỗi</t>
        </is>
      </c>
    </row>
    <row r="35" ht="60" customHeight="1" s="225">
      <c r="A35" s="426">
        <f>IF(C35="","",$C$2&amp;"."&amp;COUNTA($C$8:C35)&amp;"")</f>
        <v/>
      </c>
      <c r="B35" s="426" t="inlineStr">
        <is>
          <t>REQ-CNL-001</t>
        </is>
      </c>
      <c r="C35" s="426" t="inlineStr">
        <is>
          <t>DOC-v1.0-01 §D3/§D4/§A5/§D1b (CNL-01, BR-CNL-01, BR-INT-05, US-D16)</t>
        </is>
      </c>
      <c r="D35" s="426" t="inlineStr">
        <is>
          <t>Functional</t>
        </is>
      </c>
      <c r="E35" s="426" t="inlineStr">
        <is>
          <t>High</t>
        </is>
      </c>
      <c r="F35" s="427" t="inlineStr">
        <is>
          <t>Check LỊCH SỬ ghi log khi Người nhận huỷ đơn</t>
        </is>
      </c>
      <c r="G35" s="427" t="inlineStr">
        <is>
          <t>Đơn đang ở trạng thái "Đã ghép", user đăng nhập là Receiver của đơn</t>
        </is>
      </c>
      <c r="H35" s="427" t="inlineStr">
        <is>
          <t>1. Mở app FoxEco bằng tài khoản Người nhận (Receiver)
2. Bấm tab "Hoạt động", mở đơn cần huỷ để vào màn "Theo dõi đơn"
3. Bấm "Huỷ đơn", nhập lý do "Không ở văn phòng", bấm "Xác nhận", rồi cuộn xuống khối "LỊCH SỬ"</t>
        </is>
      </c>
      <c r="I35" s="427" t="inlineStr">
        <is>
          <t>3. Khối "LỊCH SỬ" ghi thêm 1 mốc cho hành động huỷ (vai trò người huỷ + lý do + timestamp), nối tiếp đúng thứ tự sau các mốc trước đó — KHÔNG chỉ hiện banner đỏ "Đơn hàng đã bị huỷ" rồi bỏ trống LỊCH SỬ</t>
        </is>
      </c>
      <c r="J35" s="426" t="inlineStr">
        <is>
          <t>AI</t>
        </is>
      </c>
      <c r="K35" s="426" t="inlineStr">
        <is>
          <t>Pending</t>
        </is>
      </c>
      <c r="L35" s="426" t="inlineStr">
        <is>
          <t>No</t>
        </is>
      </c>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inlineStr">
        <is>
          <t>Nguồn: merge CA v1.1 `C-CANCEL-2` — user chốt "huy don va huy nhan don hien tai cu luu log lich su nha". ⚠ CA đã live-verify qua Chrome MCP (2026-07-29): UI hiện tại KHÔNG ghi log nào vào LỊCH SỬ khi huỷ → TC này DỰ KIẾN FAIL, là gap cần dev bổ sung (không phải lỗi TC). Bổ sung 2026-07-30 theo yêu cầu user để đủ 3/3 vai trò cho phần LỊCH SỬ (trước đó chỉ có Sender `TC_08.22` + Carrier `TC_08.23`).</t>
        </is>
      </c>
    </row>
    <row r="36" ht="20" customHeight="1" s="225">
      <c r="A36" s="426" t="n"/>
      <c r="B36" s="432" t="inlineStr">
        <is>
          <t>Block Carrier huỷ nhận đơn → trả lại "Chờ ghép"</t>
        </is>
      </c>
      <c r="C36" s="233" t="n"/>
      <c r="D36" s="233" t="n"/>
      <c r="E36" s="233" t="n"/>
      <c r="F36" s="233" t="n"/>
      <c r="G36" s="233" t="n"/>
      <c r="H36" s="233" t="n"/>
      <c r="I36" s="231" t="n"/>
      <c r="J36" s="426" t="n"/>
      <c r="K36" s="426" t="n"/>
      <c r="L36" s="426" t="n"/>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t="n"/>
      <c r="AN36" s="430" t="n"/>
      <c r="AO36" s="430" t="n"/>
      <c r="AP36" s="431" t="n"/>
    </row>
    <row r="37" ht="60" customHeight="1" s="225">
      <c r="A37" s="426">
        <f>IF(C37="","",$C$2&amp;"."&amp;COUNTA($C$8:C37)&amp;"")</f>
        <v/>
      </c>
      <c r="B37" s="426" t="inlineStr">
        <is>
          <t>REQ-CNL-002</t>
        </is>
      </c>
      <c r="C37" s="426" t="inlineStr">
        <is>
          <t>DOC-v1.0-01 §D7 (OPR-09)</t>
        </is>
      </c>
      <c r="D37" s="426" t="inlineStr">
        <is>
          <t>Functional</t>
        </is>
      </c>
      <c r="E37" s="426" t="inlineStr">
        <is>
          <t>High</t>
        </is>
      </c>
      <c r="F37" s="427" t="inlineStr">
        <is>
          <t>Check Carrier huỷ nhận đơn khi chưa lấy hàng → đơn tự động về "Chờ ghép"</t>
        </is>
      </c>
      <c r="G37" s="427" t="inlineStr">
        <is>
          <t>Đơn đang ở trạng thái "Đã ghép", Carrier CHƯA bấm "Tôi đã lấy hàng"</t>
        </is>
      </c>
      <c r="H37" s="427" t="inlineStr">
        <is>
          <t>1. Mở app FoxEco bằng tài khoản Người vận chuyển (Carrier)
2. Bấm tab "Hoạt động", mở đơn đang nhận (trạng thái "Đã ghép") để vào màn "Theo dõi đơn"
3. Bấm "✕ Huỷ nhận đơn" để mở popup, nhập lý do "Đổi lịch công tác" rồi bấm "Xác nhận"</t>
        </is>
      </c>
      <c r="I37" s="427" t="inlineStr">
        <is>
          <t>3. Đơn tự động quay về trạng thái "Chờ ghép" (POSTED) — KHÔNG chuyển sang trạng thái đã huỷ như trường hợp Sender/Receiver huỷ</t>
        </is>
      </c>
      <c r="J37" s="426" t="inlineStr">
        <is>
          <t>AI</t>
        </is>
      </c>
      <c r="K37" s="426" t="inlineStr">
        <is>
          <t>Pending</t>
        </is>
      </c>
      <c r="L37" s="426" t="inlineStr">
        <is>
          <t>No</t>
        </is>
      </c>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f>IF($A36="","",IF(OR($N36="Yes",$S36="Yes",$X36="Yes",$AC36="Yes",$AH36="Yes"),"Yes","No"))</f>
        <v/>
      </c>
      <c r="AN37" s="430">
        <f>IF($A36="","",IFERROR(IF($AI36&lt;&gt;"",$AI36,IF($AD36&lt;&gt;"",$AD36,IF($Y36&lt;&gt;"",$Y36,IF($T36&lt;&gt;"",$T36,IF($O36&lt;&gt;"",$O36,""))))),""))</f>
        <v/>
      </c>
      <c r="AO37" s="430">
        <f>IFERROR(IF($AJ36&lt;&gt;"",$AJ36,IF($AE36&lt;&gt;"",$AE36,IF($Z36&lt;&gt;"",$Z36,IF($U36&lt;&gt;"",$U36,IF($P36&lt;&gt;"",$P36,""))))),"")</f>
        <v/>
      </c>
      <c r="AP37" s="431" t="inlineStr">
        <is>
          <t>Technique: ST-matched-posted (huỷ nhận trước khi lấy hàng) | Bề mặt Bảng tin của cùng hành vi (tin hiện lại + được khớp lại) đã cover tại TC-BANGTIN (SC-ASN-012) — không lặp</t>
        </is>
      </c>
    </row>
    <row r="38" ht="60" customHeight="1" s="225">
      <c r="A38" s="426">
        <f>IF(C38="","",$C$2&amp;"."&amp;COUNTA($C$8:C38)&amp;"")</f>
        <v/>
      </c>
      <c r="B38" s="426" t="inlineStr">
        <is>
          <t>REQ-CNL-002</t>
        </is>
      </c>
      <c r="C38" s="426" t="inlineStr">
        <is>
          <t>DOC-v1.0-01 §D7 (OPR-09)</t>
        </is>
      </c>
      <c r="D38" s="426" t="inlineStr">
        <is>
          <t>Functional</t>
        </is>
      </c>
      <c r="E38" s="426" t="inlineStr">
        <is>
          <t>Medium</t>
        </is>
      </c>
      <c r="F38" s="427" t="inlineStr">
        <is>
          <t>Check Người gửi và Người nhận thấy đơn quay về "Chờ ghép" ngay sau khi Carrier huỷ nhận</t>
        </is>
      </c>
      <c r="G38" s="427" t="inlineStr">
        <is>
          <t>Đơn đang ở "Đã ghép"; 3 tài khoản Sender / Carrier / Receiver đang mở sẵn màn Theo dõi đơn</t>
        </is>
      </c>
      <c r="H38" s="427" t="inlineStr">
        <is>
          <t>1. Trên thiết bị Carrier: bấm "✕ Huỷ nhận đơn", nhập lý do "Đổi lịch công tác" rồi bấm "Xác nhận"
2. Ngay sau đó quan sát màn Theo dõi đơn trên thiết bị Sender
3. Ngay sau đó quan sát màn Theo dõi đơn trên thiết bị Receiver</t>
        </is>
      </c>
      <c r="I38" s="427" t="inlineStr">
        <is>
          <t>3. Màn Sender và Receiver đều tự chuyển về trạng thái "Chờ ghép", khối "Liên hệ Người vận chuyển"/"Người giao hàng" biến mất — không cần tải lại thủ công</t>
        </is>
      </c>
      <c r="J38" s="426" t="inlineStr">
        <is>
          <t>AI</t>
        </is>
      </c>
      <c r="K38" s="426" t="inlineStr">
        <is>
          <t>Pending</t>
        </is>
      </c>
      <c r="L38" s="426" t="inlineStr">
        <is>
          <t>No</t>
        </is>
      </c>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f>IF($A37="","",IF(OR($N37="Yes",$S37="Yes",$X37="Yes",$AC37="Yes",$AH37="Yes"),"Yes","No"))</f>
        <v/>
      </c>
      <c r="AN38" s="430">
        <f>IF($A37="","",IFERROR(IF($AI37&lt;&gt;"",$AI37,IF($AD37&lt;&gt;"",$AD37,IF($Y37&lt;&gt;"",$Y37,IF($T37&lt;&gt;"",$T37,IF($O37&lt;&gt;"",$O37,""))))),""))</f>
        <v/>
      </c>
      <c r="AO38" s="430">
        <f>IFERROR(IF($AJ37&lt;&gt;"",$AJ37,IF($AE37&lt;&gt;"",$AE37,IF($Z37&lt;&gt;"",$Z37,IF($U37&lt;&gt;"",$U37,IF($P37&lt;&gt;"",$P37,""))))),"")</f>
        <v/>
      </c>
      <c r="AP38" s="431" t="n"/>
    </row>
    <row r="39" ht="20" customHeight="1" s="225">
      <c r="A39" s="426" t="n"/>
      <c r="B39" s="432" t="inlineStr">
        <is>
          <t>Block Chặn huỷ thường sau khi đã lấy hàng (OPR-11)</t>
        </is>
      </c>
      <c r="C39" s="233" t="n"/>
      <c r="D39" s="233" t="n"/>
      <c r="E39" s="233" t="n"/>
      <c r="F39" s="233" t="n"/>
      <c r="G39" s="233" t="n"/>
      <c r="H39" s="233" t="n"/>
      <c r="I39" s="231" t="n"/>
      <c r="J39" s="426" t="n"/>
      <c r="K39" s="426" t="n"/>
      <c r="L39" s="426" t="n"/>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t="n"/>
      <c r="AN39" s="430" t="n"/>
      <c r="AO39" s="430" t="n"/>
      <c r="AP39" s="431" t="n"/>
    </row>
    <row r="40" ht="60" customHeight="1" s="225">
      <c r="A40" s="426">
        <f>IF(C40="","",$C$2&amp;"."&amp;COUNTA($C$8:C40)&amp;"")</f>
        <v/>
      </c>
      <c r="B40" s="426" t="inlineStr">
        <is>
          <t>REQ-CNL-003</t>
        </is>
      </c>
      <c r="C40" s="426" t="inlineStr">
        <is>
          <t>DOC-v1.0-01 §D7 (OPR-11)</t>
        </is>
      </c>
      <c r="D40" s="426" t="inlineStr">
        <is>
          <t>Functional</t>
        </is>
      </c>
      <c r="E40" s="426" t="inlineStr">
        <is>
          <t>High</t>
        </is>
      </c>
      <c r="F40" s="427" t="inlineStr">
        <is>
          <t>Check Người nhận KHÔNG còn nút "Huỷ đơn" khi đơn đã "Đang giao"</t>
        </is>
      </c>
      <c r="G40" s="427" t="inlineStr">
        <is>
          <t>Đơn đã chuyển sang "Đang giao" (Carrier đã bấm "Tôi đã lấy hàng"), user đăng nhập là Receiver</t>
        </is>
      </c>
      <c r="H40" s="427" t="inlineStr">
        <is>
          <t>1. Mở app FoxEco bằng tài khoản Người nhận (Receiver)
2. Bấm tab "Hoạt động", mở đơn cần huỷ để vào màn "Theo dõi đơn"
3. Tìm nút "Huỷ đơn" trên màn Theo dõi đơn</t>
        </is>
      </c>
      <c r="I40" s="427" t="inlineStr">
        <is>
          <t>3. Nút "Huỷ đơn" KHÔNG còn hiển thị (hoặc disable) — Receiver không huỷ được đơn sau khi hàng đã được lấy</t>
        </is>
      </c>
      <c r="J40" s="426" t="inlineStr">
        <is>
          <t>AI</t>
        </is>
      </c>
      <c r="K40" s="426" t="inlineStr">
        <is>
          <t>Pending</t>
        </is>
      </c>
      <c r="L40" s="426" t="inlineStr">
        <is>
          <t>No</t>
        </is>
      </c>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f>IF($A39="","",IF(OR($N39="Yes",$S39="Yes",$X39="Yes",$AC39="Yes",$AH39="Yes"),"Yes","No"))</f>
        <v/>
      </c>
      <c r="AN40" s="430">
        <f>IF($A39="","",IFERROR(IF($AI39&lt;&gt;"",$AI39,IF($AD39&lt;&gt;"",$AD39,IF($Y39&lt;&gt;"",$Y39,IF($T39&lt;&gt;"",$T39,IF($O39&lt;&gt;"",$O39,""))))),""))</f>
        <v/>
      </c>
      <c r="AO40" s="430">
        <f>IFERROR(IF($AJ39&lt;&gt;"",$AJ39,IF($AE39&lt;&gt;"",$AE39,IF($Z39&lt;&gt;"",$Z39,IF($U39&lt;&gt;"",$U39,IF($P39&lt;&gt;"",$P39,""))))),"")</f>
        <v/>
      </c>
      <c r="AP40" s="431" t="inlineStr">
        <is>
          <t>Technique: EP-receiver-blocked | Nhánh Sender/Carrier ở cùng trạng thái "Đang giao" đã cover tại TC-THEODOIDON (SC-DLV-009) — không lặp</t>
        </is>
      </c>
    </row>
    <row r="41" ht="60" customHeight="1" s="225">
      <c r="A41" s="426">
        <f>IF(C41="","",$C$2&amp;"."&amp;COUNTA($C$8:C41)&amp;"")</f>
        <v/>
      </c>
      <c r="B41" s="426" t="inlineStr">
        <is>
          <t>REQ-CNL-003</t>
        </is>
      </c>
      <c r="C41" s="426" t="inlineStr">
        <is>
          <t>DOC-v1.0-01 §D7 (OPR-11)</t>
        </is>
      </c>
      <c r="D41" s="426" t="inlineStr">
        <is>
          <t>Functional</t>
        </is>
      </c>
      <c r="E41" s="426" t="inlineStr">
        <is>
          <t>High</t>
        </is>
      </c>
      <c r="F41" s="427" t="inlineStr">
        <is>
          <t>Check cả 3 vai trò đều KHÔNG huỷ được đơn khi đơn đã "Đã giao"</t>
        </is>
      </c>
      <c r="G41" s="427" t="inlineStr">
        <is>
          <t>Đơn đang ở trạng thái "Đã giao" (DELIVERED); có sẵn cả 3 tài khoản Sender / Carrier / Receiver của đơn</t>
        </is>
      </c>
      <c r="H41" s="427" t="inlineStr">
        <is>
          <t>1. Mở app FoxEco lần lượt bằng cả 3 tài khoản Sender, Carrier, Receiver của cùng đơn
2. Với mỗi tài khoản, mở màn Theo dõi đơn của đơn đó
3. Tìm nút "Huỷ đơn"/"Huỷ nhận đơn" trên màn của từng vai trò</t>
        </is>
      </c>
      <c r="I41" s="427" t="inlineStr">
        <is>
          <t>3. Không vai trò nào còn nút huỷ khả dụng — đường huỷ thường bị khoá hoàn toàn từ mốc đã lấy hàng trở đi (OPR-11)</t>
        </is>
      </c>
      <c r="J41" s="426" t="inlineStr">
        <is>
          <t>AI</t>
        </is>
      </c>
      <c r="K41" s="426" t="inlineStr">
        <is>
          <t>Pending</t>
        </is>
      </c>
      <c r="L41" s="426" t="inlineStr">
        <is>
          <t>No</t>
        </is>
      </c>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f>IF($A40="","",IF(OR($N40="Yes",$S40="Yes",$X40="Yes",$AC40="Yes",$AH40="Yes"),"Yes","No"))</f>
        <v/>
      </c>
      <c r="AN41" s="430">
        <f>IF($A40="","",IFERROR(IF($AI40&lt;&gt;"",$AI40,IF($AD40&lt;&gt;"",$AD40,IF($Y40&lt;&gt;"",$Y40,IF($T40&lt;&gt;"",$T40,IF($O40&lt;&gt;"",$O40,""))))),""))</f>
        <v/>
      </c>
      <c r="AO41" s="430">
        <f>IFERROR(IF($AJ40&lt;&gt;"",$AJ40,IF($AE40&lt;&gt;"",$AE40,IF($Z40&lt;&gt;"",$Z40,IF($U40&lt;&gt;"",$U40,IF($P40&lt;&gt;"",$P40,""))))),"")</f>
        <v/>
      </c>
      <c r="AP41" s="431" t="inlineStr">
        <is>
          <t>Technique: EP-delivered-blocked | Màn "Báo sự cố" (lối thoát thay thế) xác nhận Out of scope v1.0 — C-CNL-01 Resolved/Deferred → KHÔNG assert sự tồn tại màn này</t>
        </is>
      </c>
    </row>
    <row r="42" s="225">
      <c r="A42" s="426" t="n"/>
      <c r="B42" s="426" t="n"/>
      <c r="C42" s="426" t="n"/>
      <c r="D42" s="426" t="n"/>
      <c r="E42" s="426" t="n"/>
      <c r="F42" s="427" t="n"/>
      <c r="G42" s="427" t="n"/>
      <c r="H42" s="427" t="n"/>
      <c r="I42" s="427"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t="n"/>
      <c r="B43" s="426" t="n"/>
      <c r="C43" s="426" t="n"/>
      <c r="D43" s="426" t="n"/>
      <c r="E43" s="426" t="n"/>
      <c r="F43" s="427" t="n"/>
      <c r="G43" s="427" t="n"/>
      <c r="H43" s="427" t="n"/>
      <c r="I43" s="427" t="n"/>
      <c r="J43" s="426" t="n"/>
      <c r="K43" s="426" t="n"/>
      <c r="L43" s="426" t="n"/>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t="n"/>
      <c r="AN43" s="430" t="n"/>
      <c r="AO43" s="430" t="n"/>
      <c r="AP43" s="431" t="n"/>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6">
    <mergeCell ref="A7:I7"/>
    <mergeCell ref="B27:I27"/>
    <mergeCell ref="AH5:AL5"/>
    <mergeCell ref="C2:E2"/>
    <mergeCell ref="A5:C5"/>
    <mergeCell ref="B39:I39"/>
    <mergeCell ref="AC5:AG5"/>
    <mergeCell ref="J5:M5"/>
    <mergeCell ref="A3:B3"/>
    <mergeCell ref="G3:H3"/>
    <mergeCell ref="B8:I8"/>
    <mergeCell ref="N5:R5"/>
    <mergeCell ref="I3:J3"/>
    <mergeCell ref="A2:B2"/>
    <mergeCell ref="D5:I5"/>
    <mergeCell ref="C3:E3"/>
    <mergeCell ref="X5:AB5"/>
    <mergeCell ref="B19:I19"/>
    <mergeCell ref="A4:B4"/>
    <mergeCell ref="G4:H4"/>
    <mergeCell ref="I4:J4"/>
    <mergeCell ref="AM5:AP5"/>
    <mergeCell ref="B15:I15"/>
    <mergeCell ref="S5:W5"/>
    <mergeCell ref="C4:E4"/>
    <mergeCell ref="B36:I36"/>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7.xml><?xml version="1.0" encoding="utf-8"?>
<worksheet xmlns="http://schemas.openxmlformats.org/spreadsheetml/2006/main">
  <sheetPr filterMode="0">
    <outlinePr summaryBelow="1" summaryRight="1"/>
    <pageSetUpPr fitToPage="1"/>
  </sheetPr>
  <dimension ref="A1:AQ502"/>
  <sheetViews>
    <sheetView workbookViewId="0">
      <pane xSplit="1" ySplit="24" topLeftCell="B2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ColWidth="14.43359375" defaultRowHeight="15" customHeight="1" zeroHeight="0" outlineLevelRow="0"/>
  <cols>
    <col width="17.95" customWidth="1" style="224" min="1" max="1"/>
    <col width="14" customWidth="1" style="224" min="2" max="2"/>
    <col width="13" customWidth="1" style="224" min="3" max="4"/>
    <col width="11" customWidth="1" style="224" min="5" max="5"/>
    <col width="34" customWidth="1" style="224" min="6" max="6"/>
    <col width="28" customWidth="1" style="224" min="7" max="7"/>
    <col width="40" customWidth="1" style="224" min="8" max="8"/>
    <col width="34" customWidth="1" style="224" min="9" max="9"/>
    <col width="10" customWidth="1" style="224" min="10" max="10"/>
    <col width="12.43" customWidth="1" style="224" min="11" max="11"/>
    <col width="14" customWidth="1" style="224" min="12" max="12"/>
    <col width="26.16" customWidth="1" style="224" min="13" max="13"/>
    <col width="9" customWidth="1" style="224" min="14" max="14"/>
    <col width="10" customWidth="1" style="224" min="15" max="15"/>
    <col width="9" customWidth="1" style="224" min="16" max="16"/>
    <col width="13" customWidth="1" style="224" min="17" max="17"/>
    <col width="11" customWidth="1" style="224" min="18" max="18"/>
    <col width="9" customWidth="1" style="224" min="19" max="19"/>
    <col width="10" customWidth="1" style="224" min="20" max="20"/>
    <col width="9" customWidth="1" style="224" min="21" max="21"/>
    <col width="13" customWidth="1" style="224" min="22" max="22"/>
    <col width="11" customWidth="1" style="224" min="23" max="23"/>
    <col width="9" customWidth="1" style="224" min="24" max="24"/>
    <col width="10" customWidth="1" style="224" min="25" max="25"/>
    <col width="9" customWidth="1" style="224" min="26" max="26"/>
    <col width="13" customWidth="1" style="224" min="27" max="27"/>
    <col width="11" customWidth="1" style="224" min="28" max="28"/>
    <col width="9" customWidth="1" style="224" min="29" max="29"/>
    <col width="10" customWidth="1" style="224" min="30" max="30"/>
    <col width="9" customWidth="1" style="224" min="31" max="31"/>
    <col width="13" customWidth="1" style="224" min="32" max="32"/>
    <col width="11" customWidth="1" style="224" min="33" max="33"/>
    <col width="9" customWidth="1" style="224" min="34" max="34"/>
    <col width="10" customWidth="1" style="224" min="35" max="35"/>
    <col width="9" customWidth="1" style="224" min="36" max="36"/>
    <col width="13" customWidth="1" style="224" min="37" max="37"/>
    <col width="11" customWidth="1" style="224" min="38" max="38"/>
    <col width="12" customWidth="1" style="224" min="39" max="39"/>
    <col width="14" customWidth="1" style="224" min="40" max="40"/>
    <col width="11" customWidth="1" style="224" min="41" max="41"/>
    <col width="24" customWidth="1" style="224" min="42" max="42"/>
  </cols>
  <sheetData>
    <row r="1" ht="15" customHeight="1" s="225">
      <c r="A1" s="408" t="n"/>
    </row>
    <row r="2" ht="15" customHeight="1" s="225">
      <c r="A2" s="414" t="inlineStr">
        <is>
          <t>Mã chức năng</t>
        </is>
      </c>
      <c r="B2" s="231" t="n"/>
      <c r="C2" s="415" t="inlineStr">
        <is>
          <t>TC_09</t>
        </is>
      </c>
      <c r="D2" s="233" t="n"/>
      <c r="E2" s="231" t="n"/>
    </row>
    <row r="3" ht="15" customHeight="1" s="225">
      <c r="A3" s="414" t="inlineStr">
        <is>
          <t>Tên chức năng</t>
        </is>
      </c>
      <c r="B3" s="231" t="n"/>
      <c r="C3" s="415" t="inlineStr">
        <is>
          <t>Tặng quà</t>
        </is>
      </c>
      <c r="D3" s="233" t="n"/>
      <c r="E3" s="231" t="n"/>
      <c r="G3" s="414" t="inlineStr">
        <is>
          <t>Version</t>
        </is>
      </c>
      <c r="H3" s="231" t="n"/>
      <c r="I3" s="264">
        <f>Summary!$C$8</f>
        <v/>
      </c>
      <c r="J3" s="231" t="n"/>
    </row>
    <row r="4" ht="15" customHeight="1" s="225">
      <c r="A4" s="414" t="inlineStr">
        <is>
          <t>Execution</t>
        </is>
      </c>
      <c r="B4" s="231" t="n"/>
      <c r="C4" s="264">
        <f>TEXT(Summary!$C$10,"DD/MM/YYYY")&amp;"  →  "&amp;TEXT(Summary!$C$11,"DD/MM/YYYY")</f>
        <v/>
      </c>
      <c r="D4" s="233" t="n"/>
      <c r="E4" s="231" t="n"/>
      <c r="G4" s="414" t="inlineStr">
        <is>
          <t>PIC</t>
        </is>
      </c>
      <c r="H4" s="231" t="n"/>
      <c r="I4" s="264" t="inlineStr">
        <is>
          <t>PhucDN7</t>
        </is>
      </c>
      <c r="J4" s="231" t="n"/>
    </row>
    <row r="5" ht="15" customHeight="1" s="225">
      <c r="A5" s="416" t="inlineStr">
        <is>
          <t>TRACEABILITY</t>
        </is>
      </c>
      <c r="B5" s="233" t="n"/>
      <c r="C5" s="231" t="n"/>
      <c r="D5" s="349" t="inlineStr">
        <is>
          <t>TEST DESIGN</t>
        </is>
      </c>
      <c r="E5" s="233" t="n"/>
      <c r="F5" s="233" t="n"/>
      <c r="G5" s="233" t="n"/>
      <c r="H5" s="233" t="n"/>
      <c r="I5" s="231" t="n"/>
      <c r="J5" s="368" t="inlineStr">
        <is>
          <t>SDLC</t>
        </is>
      </c>
      <c r="K5" s="233" t="n"/>
      <c r="L5" s="233" t="n"/>
      <c r="M5" s="231" t="n"/>
      <c r="N5" s="417" t="inlineStr">
        <is>
          <t>ROUND 1</t>
        </is>
      </c>
      <c r="O5" s="379" t="n"/>
      <c r="P5" s="379" t="n"/>
      <c r="Q5" s="379" t="n"/>
      <c r="R5" s="380" t="n"/>
      <c r="S5" s="418" t="inlineStr">
        <is>
          <t>ROUND 2</t>
        </is>
      </c>
      <c r="T5" s="379" t="n"/>
      <c r="U5" s="379" t="n"/>
      <c r="V5" s="379" t="n"/>
      <c r="W5" s="380" t="n"/>
      <c r="X5" s="417" t="inlineStr">
        <is>
          <t>ROUND 3</t>
        </is>
      </c>
      <c r="Y5" s="379" t="n"/>
      <c r="Z5" s="379" t="n"/>
      <c r="AA5" s="379" t="n"/>
      <c r="AB5" s="380" t="n"/>
      <c r="AC5" s="418" t="inlineStr">
        <is>
          <t>ROUND 4</t>
        </is>
      </c>
      <c r="AD5" s="379" t="n"/>
      <c r="AE5" s="379" t="n"/>
      <c r="AF5" s="379" t="n"/>
      <c r="AG5" s="380" t="n"/>
      <c r="AH5" s="417" t="inlineStr">
        <is>
          <t>ROUND 5</t>
        </is>
      </c>
      <c r="AI5" s="379" t="n"/>
      <c r="AJ5" s="379" t="n"/>
      <c r="AK5" s="379" t="n"/>
      <c r="AL5" s="380" t="n"/>
      <c r="AM5" s="419" t="inlineStr">
        <is>
          <t>KẾT QUẢ TỔNG</t>
        </is>
      </c>
      <c r="AN5" s="379" t="n"/>
      <c r="AO5" s="379" t="n"/>
      <c r="AP5" s="380" t="n"/>
    </row>
    <row r="6" ht="30" customHeight="1" s="225">
      <c r="A6" s="420" t="inlineStr">
        <is>
          <t>Testcase ID</t>
        </is>
      </c>
      <c r="B6" s="420" t="inlineStr">
        <is>
          <t>Req ID</t>
        </is>
      </c>
      <c r="C6" s="420" t="inlineStr">
        <is>
          <t>DOC Source</t>
        </is>
      </c>
      <c r="D6" s="356" t="inlineStr">
        <is>
          <t>Group</t>
        </is>
      </c>
      <c r="E6" s="356" t="inlineStr">
        <is>
          <t>Priority</t>
        </is>
      </c>
      <c r="F6" s="356" t="inlineStr">
        <is>
          <t>Test Title
(Nội dung test)</t>
        </is>
      </c>
      <c r="G6" s="356" t="inlineStr">
        <is>
          <t>Pre-condition
(Điều kiện/Dữ liệu)</t>
        </is>
      </c>
      <c r="H6" s="356" t="inlineStr">
        <is>
          <t>Test Steps
(Các bước)</t>
        </is>
      </c>
      <c r="I6" s="356" t="inlineStr">
        <is>
          <t>Expected Result
(Kết quả mong đợi)</t>
        </is>
      </c>
      <c r="J6" s="411" t="inlineStr">
        <is>
          <t>Origin</t>
        </is>
      </c>
      <c r="K6" s="411" t="inlineStr">
        <is>
          <t>Review</t>
        </is>
      </c>
      <c r="L6" s="411" t="inlineStr">
        <is>
          <t>Automated</t>
        </is>
      </c>
      <c r="M6" s="411" t="inlineStr">
        <is>
          <t>Script</t>
        </is>
      </c>
      <c r="N6" s="421" t="inlineStr">
        <is>
          <t>Vibe-test</t>
        </is>
      </c>
      <c r="O6" s="421" t="inlineStr">
        <is>
          <t>KQ Script</t>
        </is>
      </c>
      <c r="P6" s="421" t="inlineStr">
        <is>
          <t>Kết quả</t>
        </is>
      </c>
      <c r="Q6" s="421" t="inlineStr">
        <is>
          <t>Executed By</t>
        </is>
      </c>
      <c r="R6" s="421" t="inlineStr">
        <is>
          <t>ID Bugs</t>
        </is>
      </c>
      <c r="S6" s="421" t="inlineStr">
        <is>
          <t>Vibe-test</t>
        </is>
      </c>
      <c r="T6" s="421" t="inlineStr">
        <is>
          <t>KQ Script</t>
        </is>
      </c>
      <c r="U6" s="421" t="inlineStr">
        <is>
          <t>Kết quả</t>
        </is>
      </c>
      <c r="V6" s="421" t="inlineStr">
        <is>
          <t>Executed By</t>
        </is>
      </c>
      <c r="W6" s="421" t="inlineStr">
        <is>
          <t>ID Bugs</t>
        </is>
      </c>
      <c r="X6" s="421" t="inlineStr">
        <is>
          <t>Vibe-test</t>
        </is>
      </c>
      <c r="Y6" s="421" t="inlineStr">
        <is>
          <t>KQ Script</t>
        </is>
      </c>
      <c r="Z6" s="421" t="inlineStr">
        <is>
          <t>Kết quả</t>
        </is>
      </c>
      <c r="AA6" s="421" t="inlineStr">
        <is>
          <t>Executed By</t>
        </is>
      </c>
      <c r="AB6" s="421" t="inlineStr">
        <is>
          <t>ID Bugs</t>
        </is>
      </c>
      <c r="AC6" s="421" t="inlineStr">
        <is>
          <t>Vibe-test</t>
        </is>
      </c>
      <c r="AD6" s="421" t="inlineStr">
        <is>
          <t>KQ Script</t>
        </is>
      </c>
      <c r="AE6" s="421" t="inlineStr">
        <is>
          <t>Kết quả</t>
        </is>
      </c>
      <c r="AF6" s="421" t="inlineStr">
        <is>
          <t>Executed By</t>
        </is>
      </c>
      <c r="AG6" s="421" t="inlineStr">
        <is>
          <t>ID Bugs</t>
        </is>
      </c>
      <c r="AH6" s="421" t="inlineStr">
        <is>
          <t>Vibe-test</t>
        </is>
      </c>
      <c r="AI6" s="421" t="inlineStr">
        <is>
          <t>KQ Script</t>
        </is>
      </c>
      <c r="AJ6" s="421" t="inlineStr">
        <is>
          <t>Kết quả</t>
        </is>
      </c>
      <c r="AK6" s="421" t="inlineStr">
        <is>
          <t>Executed By</t>
        </is>
      </c>
      <c r="AL6" s="421" t="inlineStr">
        <is>
          <t>ID Bugs</t>
        </is>
      </c>
      <c r="AM6" s="422" t="inlineStr">
        <is>
          <t>Vibe-test
(tổng)</t>
        </is>
      </c>
      <c r="AN6" s="422" t="inlineStr">
        <is>
          <t>KQ Script
(tổng)</t>
        </is>
      </c>
      <c r="AO6" s="422" t="inlineStr">
        <is>
          <t>Status</t>
        </is>
      </c>
      <c r="AP6" s="422" t="inlineStr">
        <is>
          <t>Remark</t>
        </is>
      </c>
    </row>
    <row r="7" ht="30" customHeight="1" s="225">
      <c r="A7" s="423" t="inlineStr">
        <is>
          <t>Tặng quà</t>
        </is>
      </c>
      <c r="B7" s="233" t="n"/>
      <c r="C7" s="233" t="n"/>
      <c r="D7" s="233" t="n"/>
      <c r="E7" s="233" t="n"/>
      <c r="F7" s="233" t="n"/>
      <c r="G7" s="233" t="n"/>
      <c r="H7" s="233" t="n"/>
      <c r="I7" s="231" t="n"/>
      <c r="J7" s="424" t="n"/>
      <c r="K7" s="424" t="n"/>
      <c r="L7" s="424" t="n"/>
      <c r="M7" s="424" t="n"/>
      <c r="N7" s="425" t="n"/>
      <c r="O7" s="425" t="n"/>
      <c r="P7" s="425" t="n"/>
      <c r="Q7" s="425" t="n"/>
      <c r="R7" s="425" t="n"/>
      <c r="S7" s="425" t="n"/>
      <c r="T7" s="425" t="n"/>
      <c r="U7" s="425" t="n"/>
      <c r="V7" s="425" t="n"/>
      <c r="W7" s="425" t="n"/>
      <c r="X7" s="425" t="n"/>
      <c r="Y7" s="425" t="n"/>
      <c r="Z7" s="425" t="n"/>
      <c r="AA7" s="425" t="n"/>
      <c r="AB7" s="421" t="n"/>
      <c r="AC7" s="421" t="n"/>
      <c r="AD7" s="421" t="n"/>
      <c r="AE7" s="421" t="n"/>
      <c r="AF7" s="421" t="n"/>
      <c r="AG7" s="421" t="n"/>
      <c r="AH7" s="421" t="n"/>
      <c r="AI7" s="421" t="n"/>
      <c r="AJ7" s="421" t="n"/>
      <c r="AK7" s="421" t="n"/>
      <c r="AL7" s="421" t="n"/>
      <c r="AM7" s="422" t="n"/>
      <c r="AN7" s="422" t="n"/>
      <c r="AO7" s="422" t="n"/>
      <c r="AP7" s="422" t="n"/>
    </row>
    <row r="8" ht="20" customHeight="1" s="225">
      <c r="A8" s="426" t="n"/>
      <c r="B8" s="432" t="inlineStr">
        <is>
          <t>Block Lối vào — Nút "Cảm ơn người vận chuyển" tại Theo dõi đơn</t>
        </is>
      </c>
      <c r="C8" s="233" t="n"/>
      <c r="D8" s="233" t="n"/>
      <c r="E8" s="233" t="n"/>
      <c r="F8" s="233" t="n"/>
      <c r="G8" s="233" t="n"/>
      <c r="H8" s="233" t="n"/>
      <c r="I8" s="231" t="n"/>
      <c r="J8" s="426" t="n"/>
      <c r="K8" s="426" t="n"/>
      <c r="L8" s="426" t="n"/>
      <c r="M8" s="426" t="n"/>
      <c r="N8" s="428" t="n"/>
      <c r="O8" s="428" t="n"/>
      <c r="P8" s="428" t="n"/>
      <c r="Q8" s="428" t="n"/>
      <c r="R8" s="428" t="n"/>
      <c r="S8" s="428" t="n"/>
      <c r="T8" s="428" t="n"/>
      <c r="U8" s="428" t="n"/>
      <c r="V8" s="428" t="n"/>
      <c r="W8" s="428" t="n"/>
      <c r="X8" s="428" t="n"/>
      <c r="Y8" s="428" t="n"/>
      <c r="Z8" s="428" t="n"/>
      <c r="AA8" s="428" t="n"/>
      <c r="AB8" s="429" t="n"/>
      <c r="AC8" s="429" t="n"/>
      <c r="AD8" s="429" t="n"/>
      <c r="AE8" s="429" t="n"/>
      <c r="AF8" s="429" t="n"/>
      <c r="AG8" s="429" t="n"/>
      <c r="AH8" s="429" t="n"/>
      <c r="AI8" s="429" t="n"/>
      <c r="AJ8" s="429" t="n"/>
      <c r="AK8" s="429" t="n"/>
      <c r="AL8" s="429" t="n"/>
      <c r="AM8" s="430" t="n"/>
      <c r="AN8" s="430" t="n"/>
      <c r="AO8" s="430" t="n"/>
      <c r="AP8" s="431" t="n"/>
    </row>
    <row r="9" ht="60" customHeight="1" s="225">
      <c r="A9" s="426">
        <f>IF(C9="","",$C$2&amp;"."&amp;COUNTA($C$8:C9)&amp;"")</f>
        <v/>
      </c>
      <c r="B9" s="426" t="inlineStr">
        <is>
          <t>REQ-GIFT-003</t>
        </is>
      </c>
      <c r="C9" s="426" t="inlineStr">
        <is>
          <t>DOC-v1.0-04 + DOC-v1.0-05</t>
        </is>
      </c>
      <c r="D9" s="426" t="inlineStr">
        <is>
          <t>UI</t>
        </is>
      </c>
      <c r="E9" s="426" t="inlineStr">
        <is>
          <t>Medium</t>
        </is>
      </c>
      <c r="F9" s="427" t="inlineStr">
        <is>
          <t>Check Người gửi thấy nút "✓ Cảm ơn người vận chuyển" (enable) khi đơn đã "Hoàn thành"</t>
        </is>
      </c>
      <c r="G9" s="427" t="inlineStr">
        <is>
          <t>Đơn vừa chuyển sang trạng thái "Hoàn thành", Sender CHƯA gửi quà cho đơn này</t>
        </is>
      </c>
      <c r="H9" s="427" t="inlineStr">
        <is>
          <t>1. Mở app FoxEco bằng tài khoản Người gửi (Sender)
2. Bấm tab "Hoạt động", mở đơn đã "Hoàn thành" để vào màn "Theo dõi đơn"
3. Quan sát nút hành động ở đáy màn</t>
        </is>
      </c>
      <c r="I9" s="427" t="inlineStr">
        <is>
          <t>3. Hiển thị nút "✓ Cảm ơn người vận chuyển" ở trạng thái enable (bấm được)</t>
        </is>
      </c>
      <c r="J9" s="426" t="inlineStr">
        <is>
          <t>AI</t>
        </is>
      </c>
      <c r="K9" s="426" t="inlineStr">
        <is>
          <t>Pending</t>
        </is>
      </c>
      <c r="L9" s="426" t="inlineStr">
        <is>
          <t>No</t>
        </is>
      </c>
      <c r="M9" s="426" t="n"/>
      <c r="N9" s="428" t="n"/>
      <c r="O9" s="428" t="n"/>
      <c r="P9" s="428" t="n"/>
      <c r="Q9" s="428" t="n"/>
      <c r="R9" s="428" t="n"/>
      <c r="S9" s="428" t="n"/>
      <c r="T9" s="428" t="n"/>
      <c r="U9" s="428" t="n"/>
      <c r="V9" s="428" t="n"/>
      <c r="W9" s="428" t="n"/>
      <c r="X9" s="428" t="n"/>
      <c r="Y9" s="428" t="n"/>
      <c r="Z9" s="428" t="n"/>
      <c r="AA9" s="428" t="n"/>
      <c r="AB9" s="429" t="n"/>
      <c r="AC9" s="429" t="n"/>
      <c r="AD9" s="429" t="n"/>
      <c r="AE9" s="429" t="n"/>
      <c r="AF9" s="429" t="n"/>
      <c r="AG9" s="429" t="n"/>
      <c r="AH9" s="429" t="n"/>
      <c r="AI9" s="429" t="n"/>
      <c r="AJ9" s="429" t="n"/>
      <c r="AK9" s="429" t="n"/>
      <c r="AL9" s="429" t="n"/>
      <c r="AM9" s="430">
        <f>IF($A9="","",IF(OR($N9="Yes",$S9="Yes",$X9="Yes",$AC9="Yes",$AH9="Yes"),"Yes","No"))</f>
        <v/>
      </c>
      <c r="AN9" s="430">
        <f>IF($A9="","",IFERROR(IF($AI9&lt;&gt;"",$AI9,IF($AD9&lt;&gt;"",$AD9,IF($Y9&lt;&gt;"",$Y9,IF($T9&lt;&gt;"",$T9,IF($O9&lt;&gt;"",$O9,""))))),""))</f>
        <v/>
      </c>
      <c r="AO9" s="430">
        <f>IFERROR(IF($AJ9&lt;&gt;"",$AJ9,IF($AE9&lt;&gt;"",$AE9,IF($Z9&lt;&gt;"",$Z9,IF($U9&lt;&gt;"",$U9,IF($P9&lt;&gt;"",$P9,""))))),"")</f>
        <v/>
      </c>
      <c r="AP9" s="431" t="inlineStr">
        <is>
          <t>Technique: EP-sender-completed-not-gifted | Ô còn lại của ma trận nhãn nút (hàng "Hoàn thành" × cột Người gửi) — 14 ô kia đã cover tại TC-THEODOIDON và TC-BANGTIN</t>
        </is>
      </c>
    </row>
    <row r="10" ht="60" customHeight="1" s="225">
      <c r="A10" s="426">
        <f>IF(C10="","",$C$2&amp;"."&amp;COUNTA($C$8:C10)&amp;"")</f>
        <v/>
      </c>
      <c r="B10" s="426" t="inlineStr">
        <is>
          <t>REQ-GIFT-003</t>
        </is>
      </c>
      <c r="C10" s="426" t="inlineStr">
        <is>
          <t>DOC-v1.0-04 + DOC-v1.0-05</t>
        </is>
      </c>
      <c r="D10" s="426" t="inlineStr">
        <is>
          <t>Functional</t>
        </is>
      </c>
      <c r="E10" s="426" t="inlineStr">
        <is>
          <t>Medium</t>
        </is>
      </c>
      <c r="F10" s="427" t="inlineStr">
        <is>
          <t>Check bấm "Cảm ơn người vận chuyển" mở đúng màn Tặng quà</t>
        </is>
      </c>
      <c r="G10" s="427" t="inlineStr">
        <is>
          <t>Đơn đã "Hoàn thành", Sender chưa gửi quà cho đơn này</t>
        </is>
      </c>
      <c r="H10" s="427" t="inlineStr">
        <is>
          <t>1. Mở app FoxEco bằng tài khoản Người gửi (Sender)
2. Bấm tab "Hoạt động", mở đơn đã "Hoàn thành" để vào màn "Theo dõi đơn"
3. Bấm nút "✓ Cảm ơn người vận chuyển"</t>
        </is>
      </c>
      <c r="I10" s="427" t="inlineStr">
        <is>
          <t>3. Điều hướng sang màn "Tặng quà" của đúng đơn vừa bấm</t>
        </is>
      </c>
      <c r="J10" s="426" t="inlineStr">
        <is>
          <t>AI</t>
        </is>
      </c>
      <c r="K10" s="426" t="inlineStr">
        <is>
          <t>Pending</t>
        </is>
      </c>
      <c r="L10" s="426" t="inlineStr">
        <is>
          <t>No</t>
        </is>
      </c>
      <c r="M10" s="426" t="n"/>
      <c r="N10" s="428" t="n"/>
      <c r="O10" s="428" t="n"/>
      <c r="P10" s="428" t="n"/>
      <c r="Q10" s="428" t="n"/>
      <c r="R10" s="428" t="n"/>
      <c r="S10" s="428" t="n"/>
      <c r="T10" s="428" t="n"/>
      <c r="U10" s="428" t="n"/>
      <c r="V10" s="428" t="n"/>
      <c r="W10" s="428" t="n"/>
      <c r="X10" s="428" t="n"/>
      <c r="Y10" s="428" t="n"/>
      <c r="Z10" s="428" t="n"/>
      <c r="AA10" s="428" t="n"/>
      <c r="AB10" s="429" t="n"/>
      <c r="AC10" s="429" t="n"/>
      <c r="AD10" s="429" t="n"/>
      <c r="AE10" s="429" t="n"/>
      <c r="AF10" s="429" t="n"/>
      <c r="AG10" s="429" t="n"/>
      <c r="AH10" s="429" t="n"/>
      <c r="AI10" s="429" t="n"/>
      <c r="AJ10" s="429" t="n"/>
      <c r="AK10" s="429" t="n"/>
      <c r="AL10" s="429" t="n"/>
      <c r="AM10" s="430">
        <f>IF($A10="","",IF(OR($N10="Yes",$S10="Yes",$X10="Yes",$AC10="Yes",$AH10="Yes"),"Yes","No"))</f>
        <v/>
      </c>
      <c r="AN10" s="430">
        <f>IF($A10="","",IFERROR(IF($AI10&lt;&gt;"",$AI10,IF($AD10&lt;&gt;"",$AD10,IF($Y10&lt;&gt;"",$Y10,IF($T10&lt;&gt;"",$T10,IF($O10&lt;&gt;"",$O10,""))))),""))</f>
        <v/>
      </c>
      <c r="AO10" s="430">
        <f>IFERROR(IF($AJ10&lt;&gt;"",$AJ10,IF($AE10&lt;&gt;"",$AE10,IF($Z10&lt;&gt;"",$Z10,IF($U10&lt;&gt;"",$U10,IF($P10&lt;&gt;"",$P10,""))))),"")</f>
        <v/>
      </c>
      <c r="AP10" s="431" t="n"/>
    </row>
    <row r="11" ht="20" customHeight="1" s="225">
      <c r="A11" s="426" t="n"/>
      <c r="B11" s="432" t="inlineStr">
        <is>
          <t>Block Màn Tặng quà — 4 lựa chọn quà</t>
        </is>
      </c>
      <c r="C11" s="233" t="n"/>
      <c r="D11" s="233" t="n"/>
      <c r="E11" s="233" t="n"/>
      <c r="F11" s="233" t="n"/>
      <c r="G11" s="233" t="n"/>
      <c r="H11" s="233" t="n"/>
      <c r="I11" s="231" t="n"/>
      <c r="J11" s="426" t="n"/>
      <c r="K11" s="426" t="n"/>
      <c r="L11" s="426" t="n"/>
      <c r="M11" s="426" t="n"/>
      <c r="N11" s="428" t="n"/>
      <c r="O11" s="428" t="n"/>
      <c r="P11" s="428" t="n"/>
      <c r="Q11" s="428" t="n"/>
      <c r="R11" s="428" t="n"/>
      <c r="S11" s="428" t="n"/>
      <c r="T11" s="428" t="n"/>
      <c r="U11" s="428" t="n"/>
      <c r="V11" s="428" t="n"/>
      <c r="W11" s="428" t="n"/>
      <c r="X11" s="428" t="n"/>
      <c r="Y11" s="428" t="n"/>
      <c r="Z11" s="428" t="n"/>
      <c r="AA11" s="428" t="n"/>
      <c r="AB11" s="429" t="n"/>
      <c r="AC11" s="429" t="n"/>
      <c r="AD11" s="429" t="n"/>
      <c r="AE11" s="429" t="n"/>
      <c r="AF11" s="429" t="n"/>
      <c r="AG11" s="429" t="n"/>
      <c r="AH11" s="429" t="n"/>
      <c r="AI11" s="429" t="n"/>
      <c r="AJ11" s="429" t="n"/>
      <c r="AK11" s="429" t="n"/>
      <c r="AL11" s="429" t="n"/>
      <c r="AM11" s="430" t="n"/>
      <c r="AN11" s="430" t="n"/>
      <c r="AO11" s="430" t="n"/>
      <c r="AP11" s="431" t="n"/>
    </row>
    <row r="12" ht="60" customHeight="1" s="225">
      <c r="A12" s="426">
        <f>IF(C12="","",$C$2&amp;"."&amp;COUNTA($C$8:C12)&amp;"")</f>
        <v/>
      </c>
      <c r="B12" s="426" t="inlineStr">
        <is>
          <t>REQ-GIFT-001</t>
        </is>
      </c>
      <c r="C12" s="426" t="inlineStr">
        <is>
          <t>Quan sát thực tế app STG (QA GiangDC2, chat 2026-07-30)</t>
        </is>
      </c>
      <c r="D12" s="426" t="inlineStr">
        <is>
          <t>UI</t>
        </is>
      </c>
      <c r="E12" s="426" t="inlineStr">
        <is>
          <t>Low</t>
        </is>
      </c>
      <c r="F12" s="427" t="inlineStr">
        <is>
          <t>Check icon quay lại tại màn Tặng quà</t>
        </is>
      </c>
      <c r="G12" s="427" t="inlineStr">
        <is>
          <t>Đơn đã chuyển "Hoàn thành", user đăng nhập là Sender</t>
        </is>
      </c>
      <c r="H12" s="427" t="inlineStr">
        <is>
          <t>1. Mở app FoxEco bằng tài khoản Sender
2. Bấm tab "Hoạt động" → mở đơn đã "Hoàn thành" → vào màn Theo dõi đơn
3. Bấm "Cảm ơn người vận chuyển" để mở màn Tặng quà
4. Bấm icon quay lại (←) ở Header</t>
        </is>
      </c>
      <c r="I12" s="427" t="inlineStr">
        <is>
          <t>4. Điều hướng đúng về màn Theo dõi đơn</t>
        </is>
      </c>
      <c r="J12" s="426" t="inlineStr">
        <is>
          <t>AI</t>
        </is>
      </c>
      <c r="K12" s="426" t="inlineStr">
        <is>
          <t>Pending</t>
        </is>
      </c>
      <c r="L12" s="426" t="inlineStr">
        <is>
          <t>No</t>
        </is>
      </c>
      <c r="M12" s="426" t="n"/>
      <c r="N12" s="428" t="n"/>
      <c r="O12" s="428" t="n"/>
      <c r="P12" s="428" t="n"/>
      <c r="Q12" s="428" t="n"/>
      <c r="R12" s="428" t="n"/>
      <c r="S12" s="428" t="n"/>
      <c r="T12" s="428" t="n"/>
      <c r="U12" s="428" t="n"/>
      <c r="V12" s="428" t="n"/>
      <c r="W12" s="428" t="n"/>
      <c r="X12" s="428" t="n"/>
      <c r="Y12" s="428" t="n"/>
      <c r="Z12" s="428" t="n"/>
      <c r="AA12" s="428" t="n"/>
      <c r="AB12" s="429" t="n"/>
      <c r="AC12" s="429" t="n"/>
      <c r="AD12" s="429" t="n"/>
      <c r="AE12" s="429" t="n"/>
      <c r="AF12" s="429" t="n"/>
      <c r="AG12" s="429" t="n"/>
      <c r="AH12" s="429" t="n"/>
      <c r="AI12" s="429" t="n"/>
      <c r="AJ12" s="429" t="n"/>
      <c r="AK12" s="429" t="n"/>
      <c r="AL12" s="429" t="n"/>
      <c r="AM12" s="430">
        <f>IF($A10="","",IF(OR($N10="Yes",$S10="Yes",$X10="Yes",$AC10="Yes",$AH10="Yes"),"Yes","No"))</f>
        <v/>
      </c>
      <c r="AN12" s="430">
        <f>IF($A10="","",IFERROR(IF($AI10&lt;&gt;"",$AI10,IF($AD10&lt;&gt;"",$AD10,IF($Y10&lt;&gt;"",$Y10,IF($T10&lt;&gt;"",$T10,IF($O10&lt;&gt;"",$O10,""))))),""))</f>
        <v/>
      </c>
      <c r="AO12" s="430">
        <f>IFERROR(IF($AJ10&lt;&gt;"",$AJ10,IF($AE10&lt;&gt;"",$AE10,IF($Z10&lt;&gt;"",$Z10,IF($U10&lt;&gt;"",$U10,IF($P10&lt;&gt;"",$P10,""))))),"")</f>
        <v/>
      </c>
      <c r="AP12" s="431" t="inlineStr">
        <is>
          <t>Technique: EP-back-icon. Bổ sung 2026-07-30 theo yêu cầu user (QA GiangDC2 xác nhận trực tiếp trên app STG: icon quay lại tồn tại và hoạt động đúng ở màn này) — phát hiện khi quét lại toàn bộ TC-MASTER, kiểm tra completeness icon Back cho từng màn hình.</t>
        </is>
      </c>
    </row>
    <row r="13" ht="60" customHeight="1" s="225">
      <c r="A13" s="426">
        <f>IF(C13="","",$C$2&amp;"."&amp;COUNTA($C$8:C13)&amp;"")</f>
        <v/>
      </c>
      <c r="B13" s="426" t="inlineStr">
        <is>
          <t>REQ-GIFT-001</t>
        </is>
      </c>
      <c r="C13" s="426" t="inlineStr">
        <is>
          <t>DOC-v1.0-01 §D3/§D4 (GIFT-01, BR-GIFT-01) + DOC-v1.0-02 §3.8 + ảnh DOC-v1.0-04</t>
        </is>
      </c>
      <c r="D13" s="426" t="inlineStr">
        <is>
          <t>UI</t>
        </is>
      </c>
      <c r="E13" s="426" t="inlineStr">
        <is>
          <t>Medium</t>
        </is>
      </c>
      <c r="F13" s="427" t="inlineStr">
        <is>
          <t>Check đầy đủ + đúng 5 thành phần hiển thị tại màn Tặng quà</t>
        </is>
      </c>
      <c r="G13" s="427" t="inlineStr">
        <is>
          <t>Đơn đã "Hoàn thành", Sender vừa mở màn Tặng quà và chưa chọn loại quà nào</t>
        </is>
      </c>
      <c r="H13" s="427" t="inlineStr">
        <is>
          <t>1. Mở app FoxEco bằng tài khoản Người gửi (Sender)
2. Bấm tab "Hoạt động", mở đơn đã "Hoàn thành" để vào màn "Theo dõi đơn", bấm "✓ Cảm ơn người vận chuyển"
3. Quan sát toàn bộ màn Tặng quà từ trên xuống dưới</t>
        </is>
      </c>
      <c r="I13" s="427" t="inlineStr">
        <is>
          <t>3. Màn hiển thị đủ 5 thành phần: (1) title "Tặng quà", (2) nội dung mở đầu "Hành trình hoàn thành!" / "Gửi một món quà cảm ơn người vận chuyển", (3) label "Chọn một món quà gửi tặng người vận chuyển", (4) 4 chip lựa chọn quà, (5) nút "✓ Xác nhận tặng quà"</t>
        </is>
      </c>
      <c r="J13" s="426" t="inlineStr">
        <is>
          <t>AI</t>
        </is>
      </c>
      <c r="K13" s="426" t="inlineStr">
        <is>
          <t>Pending</t>
        </is>
      </c>
      <c r="L13" s="426" t="inlineStr">
        <is>
          <t>No</t>
        </is>
      </c>
      <c r="M13" s="426" t="n"/>
      <c r="N13" s="428" t="n"/>
      <c r="O13" s="428" t="n"/>
      <c r="P13" s="428" t="n"/>
      <c r="Q13" s="428" t="n"/>
      <c r="R13" s="428" t="n"/>
      <c r="S13" s="428" t="n"/>
      <c r="T13" s="428" t="n"/>
      <c r="U13" s="428" t="n"/>
      <c r="V13" s="428" t="n"/>
      <c r="W13" s="428" t="n"/>
      <c r="X13" s="428" t="n"/>
      <c r="Y13" s="428" t="n"/>
      <c r="Z13" s="428" t="n"/>
      <c r="AA13" s="428" t="n"/>
      <c r="AB13" s="429" t="n"/>
      <c r="AC13" s="429" t="n"/>
      <c r="AD13" s="429" t="n"/>
      <c r="AE13" s="429" t="n"/>
      <c r="AF13" s="429" t="n"/>
      <c r="AG13" s="429" t="n"/>
      <c r="AH13" s="429" t="n"/>
      <c r="AI13" s="429" t="n"/>
      <c r="AJ13" s="429" t="n"/>
      <c r="AK13" s="429" t="n"/>
      <c r="AL13" s="429" t="n"/>
      <c r="AM13" s="430">
        <f>IF($A12="","",IF(OR($N12="Yes",$S12="Yes",$X12="Yes",$AC12="Yes",$AH12="Yes"),"Yes","No"))</f>
        <v/>
      </c>
      <c r="AN13" s="430">
        <f>IF($A12="","",IFERROR(IF($AI12&lt;&gt;"",$AI12,IF($AD12&lt;&gt;"",$AD12,IF($Y12&lt;&gt;"",$Y12,IF($T12&lt;&gt;"",$T12,IF($O12&lt;&gt;"",$O12,""))))),""))</f>
        <v/>
      </c>
      <c r="AO13" s="430">
        <f>IFERROR(IF($AJ12&lt;&gt;"",$AJ12,IF($AE12&lt;&gt;"",$AE12,IF($Z12&lt;&gt;"",$Z12,IF($U12&lt;&gt;"",$U12,IF($P12&lt;&gt;"",$P12,""))))),"")</f>
        <v/>
      </c>
      <c r="AP13" s="431" t="inlineStr">
        <is>
          <t>Field/column completeness check — auto-derived (xem generate.md Step 3b) | Text verbatim xác nhận qua ảnh Figma DOC-v1.0-04 (hash 5d29d082…, 165aaa39…). KHÔNG assert phần chấm sao 1-5 (`REQ-GIFT-002`/RAT-01/02) — C-GIFT-01 Resolved: rating là phase sau, out of scope v1.0; màn Tặng quà xác nhận KHÔNG có UI sao</t>
        </is>
      </c>
    </row>
    <row r="14" ht="60" customHeight="1" s="225">
      <c r="A14" s="426">
        <f>IF(C14="","",$C$2&amp;"."&amp;COUNTA($C$8:C14)&amp;"")</f>
        <v/>
      </c>
      <c r="B14" s="426" t="inlineStr">
        <is>
          <t>REQ-GIFT-001</t>
        </is>
      </c>
      <c r="C14" s="426" t="inlineStr">
        <is>
          <t>DOC-v1.0-01 §D3/§D4 (GIFT-01, BR-GIFT-01) + DOC-v1.0-02 §3.8 + ảnh DOC-v1.0-04</t>
        </is>
      </c>
      <c r="D14" s="426" t="inlineStr">
        <is>
          <t>UI</t>
        </is>
      </c>
      <c r="E14" s="426" t="inlineStr">
        <is>
          <t>Medium</t>
        </is>
      </c>
      <c r="F14" s="427" t="inlineStr">
        <is>
          <t>Check đủ 4 chip loại quà hiển thị đúng nhãn tại màn Tặng quà</t>
        </is>
      </c>
      <c r="G14" s="427" t="inlineStr">
        <is>
          <t>Đơn đã "Hoàn thành", Sender vừa mở màn Tặng quà</t>
        </is>
      </c>
      <c r="H14" s="427" t="inlineStr">
        <is>
          <t>1. Mở app FoxEco bằng tài khoản Người gửi (Sender)
2. Bấm tab "Hoạt động", mở đơn đã "Hoàn thành" để vào màn "Theo dõi đơn", bấm "✓ Cảm ơn người vận chuyển"
3. Quan sát danh sách chip lựa chọn quà</t>
        </is>
      </c>
      <c r="I14" s="427" t="inlineStr">
        <is>
          <t>3. Hiển thị đủ 4 chip đúng nhãn theo thứ tự: "🌷 Bông hoa", "☕ Ly cà phê", "🧸 Gấu bông", "👑 Vương miện" — không thiếu, không thừa loại nào</t>
        </is>
      </c>
      <c r="J14" s="426" t="inlineStr">
        <is>
          <t>AI</t>
        </is>
      </c>
      <c r="K14" s="426" t="inlineStr">
        <is>
          <t>Pending</t>
        </is>
      </c>
      <c r="L14" s="426" t="inlineStr">
        <is>
          <t>No</t>
        </is>
      </c>
      <c r="M14" s="426" t="n"/>
      <c r="N14" s="428" t="n"/>
      <c r="O14" s="428" t="n"/>
      <c r="P14" s="428" t="n"/>
      <c r="Q14" s="428" t="n"/>
      <c r="R14" s="428" t="n"/>
      <c r="S14" s="428" t="n"/>
      <c r="T14" s="428" t="n"/>
      <c r="U14" s="428" t="n"/>
      <c r="V14" s="428" t="n"/>
      <c r="W14" s="428" t="n"/>
      <c r="X14" s="428" t="n"/>
      <c r="Y14" s="428" t="n"/>
      <c r="Z14" s="428" t="n"/>
      <c r="AA14" s="428" t="n"/>
      <c r="AB14" s="429" t="n"/>
      <c r="AC14" s="429" t="n"/>
      <c r="AD14" s="429" t="n"/>
      <c r="AE14" s="429" t="n"/>
      <c r="AF14" s="429" t="n"/>
      <c r="AG14" s="429" t="n"/>
      <c r="AH14" s="429" t="n"/>
      <c r="AI14" s="429" t="n"/>
      <c r="AJ14" s="429" t="n"/>
      <c r="AK14" s="429" t="n"/>
      <c r="AL14" s="429" t="n"/>
      <c r="AM14" s="430">
        <f>IF($A13="","",IF(OR($N13="Yes",$S13="Yes",$X13="Yes",$AC13="Yes",$AH13="Yes"),"Yes","No"))</f>
        <v/>
      </c>
      <c r="AN14" s="430">
        <f>IF($A13="","",IFERROR(IF($AI13&lt;&gt;"",$AI13,IF($AD13&lt;&gt;"",$AD13,IF($Y13&lt;&gt;"",$Y13,IF($T13&lt;&gt;"",$T13,IF($O13&lt;&gt;"",$O13,""))))),""))</f>
        <v/>
      </c>
      <c r="AO14" s="430">
        <f>IFERROR(IF($AJ13&lt;&gt;"",$AJ13,IF($AE13&lt;&gt;"",$AE13,IF($Z13&lt;&gt;"",$Z13,IF($U13&lt;&gt;"",$U13,IF($P13&lt;&gt;"",$P13,""))))),"")</f>
        <v/>
      </c>
      <c r="AP14" s="431" t="inlineStr">
        <is>
          <t>Field/column completeness check — auto-derived (xem generate.md Step 3b)</t>
        </is>
      </c>
    </row>
    <row r="15" ht="60" customHeight="1" s="225">
      <c r="A15" s="426">
        <f>IF(C15="","",$C$2&amp;"."&amp;COUNTA($C$8:C15)&amp;"")</f>
        <v/>
      </c>
      <c r="B15" s="426" t="inlineStr">
        <is>
          <t>REQ-GIFT-001</t>
        </is>
      </c>
      <c r="C15" s="426" t="inlineStr">
        <is>
          <t>DOC-v1.0-01 §D3/§D4 (GIFT-01, BR-GIFT-01) + DOC-v1.0-02 §3.8 + ảnh DOC-v1.0-04</t>
        </is>
      </c>
      <c r="D15" s="426" t="inlineStr">
        <is>
          <t>Functional</t>
        </is>
      </c>
      <c r="E15" s="426" t="inlineStr">
        <is>
          <t>Medium</t>
        </is>
      </c>
      <c r="F15" s="427" t="inlineStr">
        <is>
          <t>Check chọn quà "🌷 Bông hoa" hiển thị đúng trạng thái đã chọn</t>
        </is>
      </c>
      <c r="G15" s="427" t="inlineStr">
        <is>
          <t>Đang ở màn Tặng quà, chưa chọn loại quà nào</t>
        </is>
      </c>
      <c r="H15" s="427" t="inlineStr">
        <is>
          <t>1. Mở app FoxEco bằng tài khoản Người gửi (Sender)
2. Bấm tab "Hoạt động", mở đơn đã "Hoàn thành" để vào màn "Theo dõi đơn", bấm "✓ Cảm ơn người vận chuyển"
3. Bấm chip "🌷 Bông hoa"</t>
        </is>
      </c>
      <c r="I15" s="427" t="inlineStr">
        <is>
          <t>3. Chip "🌷 Bông hoa" chuyển sang trạng thái đã chọn (có viền cam); nút "✓ Xác nhận tặng quà" sẵn sàng gửi</t>
        </is>
      </c>
      <c r="J15" s="426" t="inlineStr">
        <is>
          <t>AI</t>
        </is>
      </c>
      <c r="K15" s="426" t="inlineStr">
        <is>
          <t>Pending</t>
        </is>
      </c>
      <c r="L15" s="426" t="inlineStr">
        <is>
          <t>No</t>
        </is>
      </c>
      <c r="M15" s="426" t="n"/>
      <c r="N15" s="428" t="n"/>
      <c r="O15" s="428" t="n"/>
      <c r="P15" s="428" t="n"/>
      <c r="Q15" s="428" t="n"/>
      <c r="R15" s="428" t="n"/>
      <c r="S15" s="428" t="n"/>
      <c r="T15" s="428" t="n"/>
      <c r="U15" s="428" t="n"/>
      <c r="V15" s="428" t="n"/>
      <c r="W15" s="428" t="n"/>
      <c r="X15" s="428" t="n"/>
      <c r="Y15" s="428" t="n"/>
      <c r="Z15" s="428" t="n"/>
      <c r="AA15" s="428" t="n"/>
      <c r="AB15" s="429" t="n"/>
      <c r="AC15" s="429" t="n"/>
      <c r="AD15" s="429" t="n"/>
      <c r="AE15" s="429" t="n"/>
      <c r="AF15" s="429" t="n"/>
      <c r="AG15" s="429" t="n"/>
      <c r="AH15" s="429" t="n"/>
      <c r="AI15" s="429" t="n"/>
      <c r="AJ15" s="429" t="n"/>
      <c r="AK15" s="429" t="n"/>
      <c r="AL15" s="429" t="n"/>
      <c r="AM15" s="430">
        <f>IF($A14="","",IF(OR($N14="Yes",$S14="Yes",$X14="Yes",$AC14="Yes",$AH14="Yes"),"Yes","No"))</f>
        <v/>
      </c>
      <c r="AN15" s="430">
        <f>IF($A14="","",IFERROR(IF($AI14&lt;&gt;"",$AI14,IF($AD14&lt;&gt;"",$AD14,IF($Y14&lt;&gt;"",$Y14,IF($T14&lt;&gt;"",$T14,IF($O14&lt;&gt;"",$O14,""))))),""))</f>
        <v/>
      </c>
      <c r="AO15" s="430">
        <f>IFERROR(IF($AJ14&lt;&gt;"",$AJ14,IF($AE14&lt;&gt;"",$AE14,IF($Z14&lt;&gt;"",$Z14,IF($U14&lt;&gt;"",$U14,IF($P14&lt;&gt;"",$P14,""))))),"")</f>
        <v/>
      </c>
      <c r="AP15" s="431" t="inlineStr">
        <is>
          <t>Technique: EP-flower</t>
        </is>
      </c>
    </row>
    <row r="16" ht="60" customHeight="1" s="225">
      <c r="A16" s="426">
        <f>IF(C16="","",$C$2&amp;"."&amp;COUNTA($C$8:C16)&amp;"")</f>
        <v/>
      </c>
      <c r="B16" s="426" t="inlineStr">
        <is>
          <t>REQ-GIFT-001</t>
        </is>
      </c>
      <c r="C16" s="426" t="inlineStr">
        <is>
          <t>DOC-v1.0-01 §D3/§D4 (GIFT-01, BR-GIFT-01) + DOC-v1.0-02 §3.8 + ảnh DOC-v1.0-04</t>
        </is>
      </c>
      <c r="D16" s="426" t="inlineStr">
        <is>
          <t>Functional</t>
        </is>
      </c>
      <c r="E16" s="426" t="inlineStr">
        <is>
          <t>Medium</t>
        </is>
      </c>
      <c r="F16" s="427" t="inlineStr">
        <is>
          <t>Check chọn quà "☕ Ly cà phê" hiển thị đúng trạng thái đã chọn</t>
        </is>
      </c>
      <c r="G16" s="427" t="inlineStr">
        <is>
          <t>Đang ở màn Tặng quà, chưa chọn loại quà nào</t>
        </is>
      </c>
      <c r="H16" s="427" t="inlineStr">
        <is>
          <t>1. Mở app FoxEco bằng tài khoản Người gửi (Sender)
2. Bấm tab "Hoạt động", mở đơn đã "Hoàn thành" để vào màn "Theo dõi đơn", bấm "✓ Cảm ơn người vận chuyển"
3. Bấm chip "☕ Ly cà phê"</t>
        </is>
      </c>
      <c r="I16" s="427" t="inlineStr">
        <is>
          <t>3. Chip "☕ Ly cà phê" chuyển sang trạng thái đã chọn (có viền cam); nút "✓ Xác nhận tặng quà" sẵn sàng gửi</t>
        </is>
      </c>
      <c r="J16" s="426" t="inlineStr">
        <is>
          <t>AI</t>
        </is>
      </c>
      <c r="K16" s="426" t="inlineStr">
        <is>
          <t>Pending</t>
        </is>
      </c>
      <c r="L16" s="426" t="inlineStr">
        <is>
          <t>No</t>
        </is>
      </c>
      <c r="M16" s="426" t="n"/>
      <c r="N16" s="428" t="n"/>
      <c r="O16" s="428" t="n"/>
      <c r="P16" s="428" t="n"/>
      <c r="Q16" s="428" t="n"/>
      <c r="R16" s="428" t="n"/>
      <c r="S16" s="428" t="n"/>
      <c r="T16" s="428" t="n"/>
      <c r="U16" s="428" t="n"/>
      <c r="V16" s="428" t="n"/>
      <c r="W16" s="428" t="n"/>
      <c r="X16" s="428" t="n"/>
      <c r="Y16" s="428" t="n"/>
      <c r="Z16" s="428" t="n"/>
      <c r="AA16" s="428" t="n"/>
      <c r="AB16" s="429" t="n"/>
      <c r="AC16" s="429" t="n"/>
      <c r="AD16" s="429" t="n"/>
      <c r="AE16" s="429" t="n"/>
      <c r="AF16" s="429" t="n"/>
      <c r="AG16" s="429" t="n"/>
      <c r="AH16" s="429" t="n"/>
      <c r="AI16" s="429" t="n"/>
      <c r="AJ16" s="429" t="n"/>
      <c r="AK16" s="429" t="n"/>
      <c r="AL16" s="429" t="n"/>
      <c r="AM16" s="430">
        <f>IF($A15="","",IF(OR($N15="Yes",$S15="Yes",$X15="Yes",$AC15="Yes",$AH15="Yes"),"Yes","No"))</f>
        <v/>
      </c>
      <c r="AN16" s="430">
        <f>IF($A15="","",IFERROR(IF($AI15&lt;&gt;"",$AI15,IF($AD15&lt;&gt;"",$AD15,IF($Y15&lt;&gt;"",$Y15,IF($T15&lt;&gt;"",$T15,IF($O15&lt;&gt;"",$O15,""))))),""))</f>
        <v/>
      </c>
      <c r="AO16" s="430">
        <f>IFERROR(IF($AJ15&lt;&gt;"",$AJ15,IF($AE15&lt;&gt;"",$AE15,IF($Z15&lt;&gt;"",$Z15,IF($U15&lt;&gt;"",$U15,IF($P15&lt;&gt;"",$P15,""))))),"")</f>
        <v/>
      </c>
      <c r="AP16" s="431" t="inlineStr">
        <is>
          <t>Technique: EP-coffee</t>
        </is>
      </c>
    </row>
    <row r="17" ht="60" customHeight="1" s="225">
      <c r="A17" s="426">
        <f>IF(C17="","",$C$2&amp;"."&amp;COUNTA($C$8:C17)&amp;"")</f>
        <v/>
      </c>
      <c r="B17" s="426" t="inlineStr">
        <is>
          <t>REQ-GIFT-001</t>
        </is>
      </c>
      <c r="C17" s="426" t="inlineStr">
        <is>
          <t>DOC-v1.0-01 §D3/§D4 (GIFT-01, BR-GIFT-01) + DOC-v1.0-02 §3.8 + ảnh DOC-v1.0-04</t>
        </is>
      </c>
      <c r="D17" s="426" t="inlineStr">
        <is>
          <t>Functional</t>
        </is>
      </c>
      <c r="E17" s="426" t="inlineStr">
        <is>
          <t>Medium</t>
        </is>
      </c>
      <c r="F17" s="427" t="inlineStr">
        <is>
          <t>Check chọn quà "🧸 Gấu bông" hiển thị đúng trạng thái đã chọn</t>
        </is>
      </c>
      <c r="G17" s="427" t="inlineStr">
        <is>
          <t>Đang ở màn Tặng quà, chưa chọn loại quà nào</t>
        </is>
      </c>
      <c r="H17" s="427" t="inlineStr">
        <is>
          <t>1. Mở app FoxEco bằng tài khoản Người gửi (Sender)
2. Bấm tab "Hoạt động", mở đơn đã "Hoàn thành" để vào màn "Theo dõi đơn", bấm "✓ Cảm ơn người vận chuyển"
3. Bấm chip "🧸 Gấu bông"</t>
        </is>
      </c>
      <c r="I17" s="427" t="inlineStr">
        <is>
          <t>3. Chip "🧸 Gấu bông" chuyển sang trạng thái đã chọn (có viền cam); nút "✓ Xác nhận tặng quà" sẵn sàng gửi</t>
        </is>
      </c>
      <c r="J17" s="426" t="inlineStr">
        <is>
          <t>AI</t>
        </is>
      </c>
      <c r="K17" s="426" t="inlineStr">
        <is>
          <t>Pending</t>
        </is>
      </c>
      <c r="L17" s="426" t="inlineStr">
        <is>
          <t>No</t>
        </is>
      </c>
      <c r="M17" s="426" t="n"/>
      <c r="N17" s="428" t="n"/>
      <c r="O17" s="428" t="n"/>
      <c r="P17" s="428" t="n"/>
      <c r="Q17" s="428" t="n"/>
      <c r="R17" s="428" t="n"/>
      <c r="S17" s="428" t="n"/>
      <c r="T17" s="428" t="n"/>
      <c r="U17" s="428" t="n"/>
      <c r="V17" s="428" t="n"/>
      <c r="W17" s="428" t="n"/>
      <c r="X17" s="428" t="n"/>
      <c r="Y17" s="428" t="n"/>
      <c r="Z17" s="428" t="n"/>
      <c r="AA17" s="428" t="n"/>
      <c r="AB17" s="429" t="n"/>
      <c r="AC17" s="429" t="n"/>
      <c r="AD17" s="429" t="n"/>
      <c r="AE17" s="429" t="n"/>
      <c r="AF17" s="429" t="n"/>
      <c r="AG17" s="429" t="n"/>
      <c r="AH17" s="429" t="n"/>
      <c r="AI17" s="429" t="n"/>
      <c r="AJ17" s="429" t="n"/>
      <c r="AK17" s="429" t="n"/>
      <c r="AL17" s="429" t="n"/>
      <c r="AM17" s="430">
        <f>IF($A16="","",IF(OR($N16="Yes",$S16="Yes",$X16="Yes",$AC16="Yes",$AH16="Yes"),"Yes","No"))</f>
        <v/>
      </c>
      <c r="AN17" s="430">
        <f>IF($A16="","",IFERROR(IF($AI16&lt;&gt;"",$AI16,IF($AD16&lt;&gt;"",$AD16,IF($Y16&lt;&gt;"",$Y16,IF($T16&lt;&gt;"",$T16,IF($O16&lt;&gt;"",$O16,""))))),""))</f>
        <v/>
      </c>
      <c r="AO17" s="430">
        <f>IFERROR(IF($AJ16&lt;&gt;"",$AJ16,IF($AE16&lt;&gt;"",$AE16,IF($Z16&lt;&gt;"",$Z16,IF($U16&lt;&gt;"",$U16,IF($P16&lt;&gt;"",$P16,""))))),"")</f>
        <v/>
      </c>
      <c r="AP17" s="431" t="inlineStr">
        <is>
          <t>Technique: EP-teddy</t>
        </is>
      </c>
    </row>
    <row r="18" ht="60" customHeight="1" s="225">
      <c r="A18" s="426">
        <f>IF(C18="","",$C$2&amp;"."&amp;COUNTA($C$8:C18)&amp;"")</f>
        <v/>
      </c>
      <c r="B18" s="426" t="inlineStr">
        <is>
          <t>REQ-GIFT-001</t>
        </is>
      </c>
      <c r="C18" s="426" t="inlineStr">
        <is>
          <t>DOC-v1.0-01 §D3/§D4 (GIFT-01, BR-GIFT-01) + DOC-v1.0-02 §3.8 + ảnh DOC-v1.0-04</t>
        </is>
      </c>
      <c r="D18" s="426" t="inlineStr">
        <is>
          <t>Functional</t>
        </is>
      </c>
      <c r="E18" s="426" t="inlineStr">
        <is>
          <t>Medium</t>
        </is>
      </c>
      <c r="F18" s="427" t="inlineStr">
        <is>
          <t>Check chọn quà "👑 Vương miện" hiển thị đúng trạng thái đã chọn</t>
        </is>
      </c>
      <c r="G18" s="427" t="inlineStr">
        <is>
          <t>Đang ở màn Tặng quà, chưa chọn loại quà nào</t>
        </is>
      </c>
      <c r="H18" s="427" t="inlineStr">
        <is>
          <t>1. Mở app FoxEco bằng tài khoản Người gửi (Sender)
2. Bấm tab "Hoạt động", mở đơn đã "Hoàn thành" để vào màn "Theo dõi đơn", bấm "✓ Cảm ơn người vận chuyển"
3. Bấm chip "👑 Vương miện"</t>
        </is>
      </c>
      <c r="I18" s="427" t="inlineStr">
        <is>
          <t>3. Chip "👑 Vương miện" chuyển sang trạng thái đã chọn (có viền cam); nút "✓ Xác nhận tặng quà" sẵn sàng gửi</t>
        </is>
      </c>
      <c r="J18" s="426" t="inlineStr">
        <is>
          <t>AI</t>
        </is>
      </c>
      <c r="K18" s="426" t="inlineStr">
        <is>
          <t>Pending</t>
        </is>
      </c>
      <c r="L18" s="426" t="inlineStr">
        <is>
          <t>No</t>
        </is>
      </c>
      <c r="M18" s="426" t="n"/>
      <c r="N18" s="428" t="n"/>
      <c r="O18" s="428" t="n"/>
      <c r="P18" s="428" t="n"/>
      <c r="Q18" s="428" t="n"/>
      <c r="R18" s="428" t="n"/>
      <c r="S18" s="428" t="n"/>
      <c r="T18" s="428" t="n"/>
      <c r="U18" s="428" t="n"/>
      <c r="V18" s="428" t="n"/>
      <c r="W18" s="428" t="n"/>
      <c r="X18" s="428" t="n"/>
      <c r="Y18" s="428" t="n"/>
      <c r="Z18" s="428" t="n"/>
      <c r="AA18" s="428" t="n"/>
      <c r="AB18" s="429" t="n"/>
      <c r="AC18" s="429" t="n"/>
      <c r="AD18" s="429" t="n"/>
      <c r="AE18" s="429" t="n"/>
      <c r="AF18" s="429" t="n"/>
      <c r="AG18" s="429" t="n"/>
      <c r="AH18" s="429" t="n"/>
      <c r="AI18" s="429" t="n"/>
      <c r="AJ18" s="429" t="n"/>
      <c r="AK18" s="429" t="n"/>
      <c r="AL18" s="429" t="n"/>
      <c r="AM18" s="430">
        <f>IF($A17="","",IF(OR($N17="Yes",$S17="Yes",$X17="Yes",$AC17="Yes",$AH17="Yes"),"Yes","No"))</f>
        <v/>
      </c>
      <c r="AN18" s="430">
        <f>IF($A17="","",IFERROR(IF($AI17&lt;&gt;"",$AI17,IF($AD17&lt;&gt;"",$AD17,IF($Y17&lt;&gt;"",$Y17,IF($T17&lt;&gt;"",$T17,IF($O17&lt;&gt;"",$O17,""))))),""))</f>
        <v/>
      </c>
      <c r="AO18" s="430">
        <f>IFERROR(IF($AJ17&lt;&gt;"",$AJ17,IF($AE17&lt;&gt;"",$AE17,IF($Z17&lt;&gt;"",$Z17,IF($U17&lt;&gt;"",$U17,IF($P17&lt;&gt;"",$P17,""))))),"")</f>
        <v/>
      </c>
      <c r="AP18" s="431" t="inlineStr">
        <is>
          <t>Technique: EP-crown</t>
        </is>
      </c>
    </row>
    <row r="19" ht="60" customHeight="1" s="225">
      <c r="A19" s="426">
        <f>IF(C19="","",$C$2&amp;"."&amp;COUNTA($C$8:C19)&amp;"")</f>
        <v/>
      </c>
      <c r="B19" s="426" t="inlineStr">
        <is>
          <t>REQ-GIFT-001</t>
        </is>
      </c>
      <c r="C19" s="426" t="inlineStr">
        <is>
          <t>DOC-v1.0-01 §D3/§D4 (GIFT-01, BR-GIFT-01) + DOC-v1.0-02 §3.8 + ảnh DOC-v1.0-04</t>
        </is>
      </c>
      <c r="D19" s="426" t="inlineStr">
        <is>
          <t>Functional</t>
        </is>
      </c>
      <c r="E19" s="426" t="inlineStr">
        <is>
          <t>Medium</t>
        </is>
      </c>
      <c r="F19" s="427" t="inlineStr">
        <is>
          <t>Check chỉ chọn được 1 loại quà tại một thời điểm (chọn loại khác thì bỏ loại cũ)</t>
        </is>
      </c>
      <c r="G19" s="427" t="inlineStr">
        <is>
          <t>Đang ở màn Tặng quà, đã chọn sẵn chip "🌷 Bông hoa"</t>
        </is>
      </c>
      <c r="H19" s="427" t="inlineStr">
        <is>
          <t>1. Mở app FoxEco bằng tài khoản Người gửi (Sender)
2. Bấm tab "Hoạt động", mở đơn đã "Hoàn thành" để vào màn "Theo dõi đơn", bấm "✓ Cảm ơn người vận chuyển"
3. Bấm chip "🌷 Bông hoa", sau đó bấm tiếp chip "👑 Vương miện"</t>
        </is>
      </c>
      <c r="I19" s="427" t="inlineStr">
        <is>
          <t>3. Chỉ chip "👑 Vương miện" ở trạng thái đã chọn; chip "🌷 Bông hoa" trở về trạng thái chưa chọn — không cho chọn đồng thời 2 loại</t>
        </is>
      </c>
      <c r="J19" s="426" t="inlineStr">
        <is>
          <t>AI</t>
        </is>
      </c>
      <c r="K19" s="426" t="inlineStr">
        <is>
          <t>Pending</t>
        </is>
      </c>
      <c r="L19" s="426" t="inlineStr">
        <is>
          <t>No</t>
        </is>
      </c>
      <c r="M19" s="426" t="n"/>
      <c r="N19" s="428" t="n"/>
      <c r="O19" s="428" t="n"/>
      <c r="P19" s="428" t="n"/>
      <c r="Q19" s="428" t="n"/>
      <c r="R19" s="428" t="n"/>
      <c r="S19" s="428" t="n"/>
      <c r="T19" s="428" t="n"/>
      <c r="U19" s="428" t="n"/>
      <c r="V19" s="428" t="n"/>
      <c r="W19" s="428" t="n"/>
      <c r="X19" s="428" t="n"/>
      <c r="Y19" s="428" t="n"/>
      <c r="Z19" s="428" t="n"/>
      <c r="AA19" s="428" t="n"/>
      <c r="AB19" s="429" t="n"/>
      <c r="AC19" s="429" t="n"/>
      <c r="AD19" s="429" t="n"/>
      <c r="AE19" s="429" t="n"/>
      <c r="AF19" s="429" t="n"/>
      <c r="AG19" s="429" t="n"/>
      <c r="AH19" s="429" t="n"/>
      <c r="AI19" s="429" t="n"/>
      <c r="AJ19" s="429" t="n"/>
      <c r="AK19" s="429" t="n"/>
      <c r="AL19" s="429" t="n"/>
      <c r="AM19" s="430">
        <f>IF($A18="","",IF(OR($N18="Yes",$S18="Yes",$X18="Yes",$AC18="Yes",$AH18="Yes"),"Yes","No"))</f>
        <v/>
      </c>
      <c r="AN19" s="430">
        <f>IF($A18="","",IFERROR(IF($AI18&lt;&gt;"",$AI18,IF($AD18&lt;&gt;"",$AD18,IF($Y18&lt;&gt;"",$Y18,IF($T18&lt;&gt;"",$T18,IF($O18&lt;&gt;"",$O18,""))))),""))</f>
        <v/>
      </c>
      <c r="AO19" s="430">
        <f>IFERROR(IF($AJ18&lt;&gt;"",$AJ18,IF($AE18&lt;&gt;"",$AE18,IF($Z18&lt;&gt;"",$Z18,IF($U18&lt;&gt;"",$U18,IF($P18&lt;&gt;"",$P18,""))))),"")</f>
        <v/>
      </c>
      <c r="AP19" s="431" t="inlineStr">
        <is>
          <t>Technique: EP-switch-selection (rule chọn 1 trong 4, nguồn: "Chọn 1 (chip có viền cam khi selected)" — DOC-v1.0-02 §3.8)</t>
        </is>
      </c>
    </row>
    <row r="20" ht="60" customHeight="1" s="225">
      <c r="A20" s="426">
        <f>IF(C20="","",$C$2&amp;"."&amp;COUNTA($C$8:C20)&amp;"")</f>
        <v/>
      </c>
      <c r="B20" s="426" t="inlineStr">
        <is>
          <t>REQ-GIFT-001</t>
        </is>
      </c>
      <c r="C20" s="426" t="inlineStr">
        <is>
          <t>DOC-v1.0-01 §D3/§D4 (GIFT-01, BR-GIFT-01) + DOC-v1.0-02 §3.8 + ảnh DOC-v1.0-04</t>
        </is>
      </c>
      <c r="D20" s="426" t="inlineStr">
        <is>
          <t>Functional</t>
        </is>
      </c>
      <c r="E20" s="426" t="inlineStr">
        <is>
          <t>Medium</t>
        </is>
      </c>
      <c r="F20" s="427" t="inlineStr">
        <is>
          <t>Check bấm "Xác nhận tặng quà" khi chưa chọn loại quà nào</t>
        </is>
      </c>
      <c r="G20" s="427" t="inlineStr">
        <is>
          <t>Đang ở màn Tặng quà, CHƯA chọn loại quà nào</t>
        </is>
      </c>
      <c r="H20" s="427" t="inlineStr">
        <is>
          <t>1. Mở app FoxEco bằng tài khoản Người gửi (Sender)
2. Bấm tab "Hoạt động", mở đơn đã "Hoàn thành" để vào màn "Theo dõi đơn", bấm "✓ Cảm ơn người vận chuyển"
3. Bấm thẳng nút "✓ Xác nhận tặng quà" mà không chọn chip nào</t>
        </is>
      </c>
      <c r="I20" s="427" t="inlineStr">
        <is>
          <t>3. Hệ thống KHÔNG gửi đi món quà nào — hoặc nút ở trạng thái disable không phản hồi, hoặc hiện thông báo yêu cầu chọn quà; tuyệt đối KHÔNG gửi quà rỗng hay tự chọn giúp 1 loại mặc định</t>
        </is>
      </c>
      <c r="J20" s="426" t="inlineStr">
        <is>
          <t>AI</t>
        </is>
      </c>
      <c r="K20" s="426" t="inlineStr">
        <is>
          <t>Pending</t>
        </is>
      </c>
      <c r="L20" s="426" t="inlineStr">
        <is>
          <t>No</t>
        </is>
      </c>
      <c r="M20" s="426" t="n"/>
      <c r="N20" s="428" t="n"/>
      <c r="O20" s="428" t="n"/>
      <c r="P20" s="428" t="n"/>
      <c r="Q20" s="428" t="n"/>
      <c r="R20" s="428" t="n"/>
      <c r="S20" s="428" t="n"/>
      <c r="T20" s="428" t="n"/>
      <c r="U20" s="428" t="n"/>
      <c r="V20" s="428" t="n"/>
      <c r="W20" s="428" t="n"/>
      <c r="X20" s="428" t="n"/>
      <c r="Y20" s="428" t="n"/>
      <c r="Z20" s="428" t="n"/>
      <c r="AA20" s="428" t="n"/>
      <c r="AB20" s="429" t="n"/>
      <c r="AC20" s="429" t="n"/>
      <c r="AD20" s="429" t="n"/>
      <c r="AE20" s="429" t="n"/>
      <c r="AF20" s="429" t="n"/>
      <c r="AG20" s="429" t="n"/>
      <c r="AH20" s="429" t="n"/>
      <c r="AI20" s="429" t="n"/>
      <c r="AJ20" s="429" t="n"/>
      <c r="AK20" s="429" t="n"/>
      <c r="AL20" s="429" t="n"/>
      <c r="AM20" s="430">
        <f>IF($A19="","",IF(OR($N19="Yes",$S19="Yes",$X19="Yes",$AC19="Yes",$AH19="Yes"),"Yes","No"))</f>
        <v/>
      </c>
      <c r="AN20" s="430">
        <f>IF($A19="","",IFERROR(IF($AI19&lt;&gt;"",$AI19,IF($AD19&lt;&gt;"",$AD19,IF($Y19&lt;&gt;"",$Y19,IF($T19&lt;&gt;"",$T19,IF($O19&lt;&gt;"",$O19,""))))),""))</f>
        <v/>
      </c>
      <c r="AO20" s="430">
        <f>IFERROR(IF($AJ19&lt;&gt;"",$AJ19,IF($AE19&lt;&gt;"",$AE19,IF($Z19&lt;&gt;"",$Z19,IF($U19&lt;&gt;"",$U19,IF($P19&lt;&gt;"",$P19,""))))),"")</f>
        <v/>
      </c>
      <c r="AP20" s="431" t="inlineStr">
        <is>
          <t>Technique: EP-invalid-none | ⚠ `test_data_catalog.md` ghi rõ rule validate cho case này CHƯA có trong tài liệu ("chưa có rule validate rõ — suy đoán phải chọn 1 mới gửi được") → Expected cố ý viết ở mức bất biến an toàn (không gửi quà rỗng), chấp nhận cả 2 cách hiện thực. **Cần BA chốt** hành vi chính thức để siết Expected lại (Project_rule.md §10.1)</t>
        </is>
      </c>
    </row>
    <row r="21" ht="20" customHeight="1" s="225">
      <c r="A21" s="426" t="n"/>
      <c r="B21" s="432" t="inlineStr">
        <is>
          <t>Block Gửi quà &amp; popup kết quả</t>
        </is>
      </c>
      <c r="C21" s="233" t="n"/>
      <c r="D21" s="233" t="n"/>
      <c r="E21" s="233" t="n"/>
      <c r="F21" s="233" t="n"/>
      <c r="G21" s="233" t="n"/>
      <c r="H21" s="233" t="n"/>
      <c r="I21" s="231" t="n"/>
      <c r="J21" s="426" t="n"/>
      <c r="K21" s="426" t="n"/>
      <c r="L21" s="426" t="n"/>
      <c r="M21" s="426" t="n"/>
      <c r="N21" s="428" t="n"/>
      <c r="O21" s="428" t="n"/>
      <c r="P21" s="428" t="n"/>
      <c r="Q21" s="428" t="n"/>
      <c r="R21" s="428" t="n"/>
      <c r="S21" s="428" t="n"/>
      <c r="T21" s="428" t="n"/>
      <c r="U21" s="428" t="n"/>
      <c r="V21" s="428" t="n"/>
      <c r="W21" s="428" t="n"/>
      <c r="X21" s="428" t="n"/>
      <c r="Y21" s="428" t="n"/>
      <c r="Z21" s="428" t="n"/>
      <c r="AA21" s="428" t="n"/>
      <c r="AB21" s="429" t="n"/>
      <c r="AC21" s="429" t="n"/>
      <c r="AD21" s="429" t="n"/>
      <c r="AE21" s="429" t="n"/>
      <c r="AF21" s="429" t="n"/>
      <c r="AG21" s="429" t="n"/>
      <c r="AH21" s="429" t="n"/>
      <c r="AI21" s="429" t="n"/>
      <c r="AJ21" s="429" t="n"/>
      <c r="AK21" s="429" t="n"/>
      <c r="AL21" s="429" t="n"/>
      <c r="AM21" s="430" t="n"/>
      <c r="AN21" s="430" t="n"/>
      <c r="AO21" s="430" t="n"/>
      <c r="AP21" s="431" t="n"/>
    </row>
    <row r="22" ht="60" customHeight="1" s="225">
      <c r="A22" s="426">
        <f>IF(C22="","",$C$2&amp;"."&amp;COUNTA($C$8:C22)&amp;"")</f>
        <v/>
      </c>
      <c r="B22" s="426" t="inlineStr">
        <is>
          <t>REQ-GIFT-001</t>
        </is>
      </c>
      <c r="C22" s="426" t="inlineStr">
        <is>
          <t>DOC-v1.0-01 §D3/§D4 (GIFT-01, BR-GIFT-01) + DOC-v1.0-02 §3.8 + ảnh DOC-v1.0-04</t>
        </is>
      </c>
      <c r="D22" s="426" t="inlineStr">
        <is>
          <t>Functional</t>
        </is>
      </c>
      <c r="E22" s="426" t="inlineStr">
        <is>
          <t>Medium</t>
        </is>
      </c>
      <c r="F22" s="427" t="inlineStr">
        <is>
          <t>Check gửi quà thành công hiện ngay popup kết quả, không cần Người vận chuyển xác nhận</t>
        </is>
      </c>
      <c r="G22" s="427" t="inlineStr">
        <is>
          <t>Đang ở màn Tặng quà, đã chọn chip "☕ Ly cà phê"</t>
        </is>
      </c>
      <c r="H22" s="427" t="inlineStr">
        <is>
          <t>1. Mở app FoxEco bằng tài khoản Người gửi (Sender)
2. Bấm tab "Hoạt động", mở đơn đã "Hoàn thành" để vào màn "Theo dõi đơn", bấm "✓ Cảm ơn người vận chuyển"
3. Bấm chip "☕ Ly cà phê" rồi bấm "✓ Xác nhận tặng quà"</t>
        </is>
      </c>
      <c r="I22" s="427" t="inlineStr">
        <is>
          <t>3. Popup kết quả hiện NGAY lập tức — không phát sinh bước chờ Người vận chuyển chấp nhận/xác nhận</t>
        </is>
      </c>
      <c r="J22" s="426" t="inlineStr">
        <is>
          <t>AI</t>
        </is>
      </c>
      <c r="K22" s="426" t="inlineStr">
        <is>
          <t>Pending</t>
        </is>
      </c>
      <c r="L22" s="426" t="inlineStr">
        <is>
          <t>No</t>
        </is>
      </c>
      <c r="M22" s="426" t="n"/>
      <c r="N22" s="428" t="n"/>
      <c r="O22" s="428" t="n"/>
      <c r="P22" s="428" t="n"/>
      <c r="Q22" s="428" t="n"/>
      <c r="R22" s="428" t="n"/>
      <c r="S22" s="428" t="n"/>
      <c r="T22" s="428" t="n"/>
      <c r="U22" s="428" t="n"/>
      <c r="V22" s="428" t="n"/>
      <c r="W22" s="428" t="n"/>
      <c r="X22" s="428" t="n"/>
      <c r="Y22" s="428" t="n"/>
      <c r="Z22" s="428" t="n"/>
      <c r="AA22" s="428" t="n"/>
      <c r="AB22" s="429" t="n"/>
      <c r="AC22" s="429" t="n"/>
      <c r="AD22" s="429" t="n"/>
      <c r="AE22" s="429" t="n"/>
      <c r="AF22" s="429" t="n"/>
      <c r="AG22" s="429" t="n"/>
      <c r="AH22" s="429" t="n"/>
      <c r="AI22" s="429" t="n"/>
      <c r="AJ22" s="429" t="n"/>
      <c r="AK22" s="429" t="n"/>
      <c r="AL22" s="429" t="n"/>
      <c r="AM22" s="430">
        <f>IF($A21="","",IF(OR($N21="Yes",$S21="Yes",$X21="Yes",$AC21="Yes",$AH21="Yes"),"Yes","No"))</f>
        <v/>
      </c>
      <c r="AN22" s="430">
        <f>IF($A21="","",IFERROR(IF($AI21&lt;&gt;"",$AI21,IF($AD21&lt;&gt;"",$AD21,IF($Y21&lt;&gt;"",$Y21,IF($T21&lt;&gt;"",$T21,IF($O21&lt;&gt;"",$O21,""))))),""))</f>
        <v/>
      </c>
      <c r="AO22" s="430">
        <f>IFERROR(IF($AJ21&lt;&gt;"",$AJ21,IF($AE21&lt;&gt;"",$AE21,IF($Z21&lt;&gt;"",$Z21,IF($U21&lt;&gt;"",$U21,IF($P21&lt;&gt;"",$P21,""))))),"")</f>
        <v/>
      </c>
      <c r="AP22" s="431" t="n"/>
    </row>
    <row r="23" ht="60" customHeight="1" s="225">
      <c r="A23" s="426">
        <f>IF(C23="","",$C$2&amp;"."&amp;COUNTA($C$8:C23)&amp;"")</f>
        <v/>
      </c>
      <c r="B23" s="426" t="inlineStr">
        <is>
          <t>REQ-GIFT-001</t>
        </is>
      </c>
      <c r="C23" s="426" t="inlineStr">
        <is>
          <t>DOC-v1.0-01 §D3/§D4 (GIFT-01, BR-GIFT-01) + DOC-v1.0-02 §3.8 + ảnh DOC-v1.0-04</t>
        </is>
      </c>
      <c r="D23" s="426" t="inlineStr">
        <is>
          <t>UI</t>
        </is>
      </c>
      <c r="E23" s="426" t="inlineStr">
        <is>
          <t>Medium</t>
        </is>
      </c>
      <c r="F23" s="427" t="inlineStr">
        <is>
          <t>Check đầy đủ + đúng 3 thành phần hiển thị tại popup "Đã gửi lời cảm ơn!"</t>
        </is>
      </c>
      <c r="G23" s="427" t="inlineStr">
        <is>
          <t>Sender vừa bấm "✓ Xác nhận tặng quà" với 1 loại quà đã chọn</t>
        </is>
      </c>
      <c r="H23" s="427" t="inlineStr">
        <is>
          <t>1. Mở app FoxEco bằng tài khoản Người gửi (Sender)
2. Bấm tab "Hoạt động", mở đơn đã "Hoàn thành" để vào màn "Theo dõi đơn", bấm "✓ Cảm ơn người vận chuyển"
3. Chọn 1 loại quà, bấm "✓ Xác nhận tặng quà" và quan sát popup kết quả</t>
        </is>
      </c>
      <c r="I23" s="427" t="inlineStr">
        <is>
          <t>3. Popup hiển thị đủ 3 thành phần: (1) title "Đã gửi lời cảm ơn!", (2) nội dung "Món quà và lời cảm ơn của bạn đã được gửi đến người vận chuyển.", (3) nút "Về trang chủ"</t>
        </is>
      </c>
      <c r="J23" s="426" t="inlineStr">
        <is>
          <t>AI</t>
        </is>
      </c>
      <c r="K23" s="426" t="inlineStr">
        <is>
          <t>Pending</t>
        </is>
      </c>
      <c r="L23" s="426" t="inlineStr">
        <is>
          <t>No</t>
        </is>
      </c>
      <c r="M23" s="426" t="n"/>
      <c r="N23" s="428" t="n"/>
      <c r="O23" s="428" t="n"/>
      <c r="P23" s="428" t="n"/>
      <c r="Q23" s="428" t="n"/>
      <c r="R23" s="428" t="n"/>
      <c r="S23" s="428" t="n"/>
      <c r="T23" s="428" t="n"/>
      <c r="U23" s="428" t="n"/>
      <c r="V23" s="428" t="n"/>
      <c r="W23" s="428" t="n"/>
      <c r="X23" s="428" t="n"/>
      <c r="Y23" s="428" t="n"/>
      <c r="Z23" s="428" t="n"/>
      <c r="AA23" s="428" t="n"/>
      <c r="AB23" s="429" t="n"/>
      <c r="AC23" s="429" t="n"/>
      <c r="AD23" s="429" t="n"/>
      <c r="AE23" s="429" t="n"/>
      <c r="AF23" s="429" t="n"/>
      <c r="AG23" s="429" t="n"/>
      <c r="AH23" s="429" t="n"/>
      <c r="AI23" s="429" t="n"/>
      <c r="AJ23" s="429" t="n"/>
      <c r="AK23" s="429" t="n"/>
      <c r="AL23" s="429" t="n"/>
      <c r="AM23" s="430">
        <f>IF($A22="","",IF(OR($N22="Yes",$S22="Yes",$X22="Yes",$AC22="Yes",$AH22="Yes"),"Yes","No"))</f>
        <v/>
      </c>
      <c r="AN23" s="430">
        <f>IF($A22="","",IFERROR(IF($AI22&lt;&gt;"",$AI22,IF($AD22&lt;&gt;"",$AD22,IF($Y22&lt;&gt;"",$Y22,IF($T22&lt;&gt;"",$T22,IF($O22&lt;&gt;"",$O22,""))))),""))</f>
        <v/>
      </c>
      <c r="AO23" s="430">
        <f>IFERROR(IF($AJ22&lt;&gt;"",$AJ22,IF($AE22&lt;&gt;"",$AE22,IF($Z22&lt;&gt;"",$Z22,IF($U22&lt;&gt;"",$U22,IF($P22&lt;&gt;"",$P22,""))))),"")</f>
        <v/>
      </c>
      <c r="AP23" s="431" t="inlineStr">
        <is>
          <t>Field/column completeness check — auto-derived (xem generate.md Step 3b) | Text verbatim xác nhận qua ảnh Figma DOC-v1.0-04 (hash 808c2576…, 851d2b9f…)</t>
        </is>
      </c>
    </row>
    <row r="24" ht="60" customHeight="1" s="225">
      <c r="A24" s="426">
        <f>IF(C24="","",$C$2&amp;"."&amp;COUNTA($C$8:C24)&amp;"")</f>
        <v/>
      </c>
      <c r="B24" s="426" t="inlineStr">
        <is>
          <t>REQ-GIFT-001</t>
        </is>
      </c>
      <c r="C24" s="426" t="inlineStr">
        <is>
          <t>DOC-v1.0-01 §D3/§D4 (GIFT-01, BR-GIFT-01) + DOC-v1.0-02 §3.8 + ảnh DOC-v1.0-04</t>
        </is>
      </c>
      <c r="D24" s="426" t="inlineStr">
        <is>
          <t>Functional</t>
        </is>
      </c>
      <c r="E24" s="426" t="inlineStr">
        <is>
          <t>Low</t>
        </is>
      </c>
      <c r="F24" s="427" t="inlineStr">
        <is>
          <t>Check bấm "Về trang chủ" trong popup kết quả điều hướng đúng Trang chủ</t>
        </is>
      </c>
      <c r="G24" s="427" t="inlineStr">
        <is>
          <t>Popup "Đã gửi lời cảm ơn!" đang hiển thị sau khi gửi quà thành công</t>
        </is>
      </c>
      <c r="H24" s="427" t="inlineStr">
        <is>
          <t>1. Mở app FoxEco bằng tài khoản Người gửi (Sender)
2. Bấm tab "Hoạt động", mở đơn đã "Hoàn thành" để vào màn "Theo dõi đơn", bấm "✓ Cảm ơn người vận chuyển"
3. Chọn 1 loại quà, bấm "✓ Xác nhận tặng quà", sau đó bấm nút "Về trang chủ" trong popup</t>
        </is>
      </c>
      <c r="I24" s="427" t="inlineStr">
        <is>
          <t>3. Popup đóng lại và điều hướng về đúng màn Trang chủ (tab "Trang chủ" tại bottom nav được highlight)</t>
        </is>
      </c>
      <c r="J24" s="426" t="inlineStr">
        <is>
          <t>AI</t>
        </is>
      </c>
      <c r="K24" s="426" t="inlineStr">
        <is>
          <t>Pending</t>
        </is>
      </c>
      <c r="L24" s="426" t="inlineStr">
        <is>
          <t>No</t>
        </is>
      </c>
      <c r="M24" s="426" t="n"/>
      <c r="N24" s="428" t="n"/>
      <c r="O24" s="428" t="n"/>
      <c r="P24" s="428" t="n"/>
      <c r="Q24" s="428" t="n"/>
      <c r="R24" s="428" t="n"/>
      <c r="S24" s="428" t="n"/>
      <c r="T24" s="428" t="n"/>
      <c r="U24" s="428" t="n"/>
      <c r="V24" s="428" t="n"/>
      <c r="W24" s="428" t="n"/>
      <c r="X24" s="428" t="n"/>
      <c r="Y24" s="428" t="n"/>
      <c r="Z24" s="428" t="n"/>
      <c r="AA24" s="428" t="n"/>
      <c r="AB24" s="429" t="n"/>
      <c r="AC24" s="429" t="n"/>
      <c r="AD24" s="429" t="n"/>
      <c r="AE24" s="429" t="n"/>
      <c r="AF24" s="429" t="n"/>
      <c r="AG24" s="429" t="n"/>
      <c r="AH24" s="429" t="n"/>
      <c r="AI24" s="429" t="n"/>
      <c r="AJ24" s="429" t="n"/>
      <c r="AK24" s="429" t="n"/>
      <c r="AL24" s="429" t="n"/>
      <c r="AM24" s="430">
        <f>IF($A23="","",IF(OR($N23="Yes",$S23="Yes",$X23="Yes",$AC23="Yes",$AH23="Yes"),"Yes","No"))</f>
        <v/>
      </c>
      <c r="AN24" s="430">
        <f>IF($A23="","",IFERROR(IF($AI23&lt;&gt;"",$AI23,IF($AD23&lt;&gt;"",$AD23,IF($Y23&lt;&gt;"",$Y23,IF($T23&lt;&gt;"",$T23,IF($O23&lt;&gt;"",$O23,""))))),""))</f>
        <v/>
      </c>
      <c r="AO24" s="430">
        <f>IFERROR(IF($AJ23&lt;&gt;"",$AJ23,IF($AE23&lt;&gt;"",$AE23,IF($Z23&lt;&gt;"",$Z23,IF($U23&lt;&gt;"",$U23,IF($P23&lt;&gt;"",$P23,""))))),"")</f>
        <v/>
      </c>
      <c r="AP24" s="431" t="n"/>
    </row>
    <row r="25" ht="60" customHeight="1" s="225">
      <c r="A25" s="426">
        <f>IF(C25="","",$C$2&amp;"."&amp;COUNTA($C$8:C25)&amp;"")</f>
        <v/>
      </c>
      <c r="B25" s="426" t="inlineStr">
        <is>
          <t>REQ-GIFT-001</t>
        </is>
      </c>
      <c r="C25" s="426" t="inlineStr">
        <is>
          <t>DOC-v1.0-01 §D3/§D4 (GIFT-01, BR-GIFT-01) + DOC-v1.0-02 §3.8 + ảnh DOC-v1.0-04</t>
        </is>
      </c>
      <c r="D25" s="426" t="inlineStr">
        <is>
          <t>Integration</t>
        </is>
      </c>
      <c r="E25" s="426" t="inlineStr">
        <is>
          <t>Medium</t>
        </is>
      </c>
      <c r="F25" s="427" t="inlineStr">
        <is>
          <t>Check "Quà đã nhận" của Người vận chuyển tăng đúng loại quà vừa được tặng</t>
        </is>
      </c>
      <c r="G25" s="427" t="inlineStr">
        <is>
          <t>Carrier của đơn đã ghi nhận sẵn số lượng quà từng loại trước khi Sender tặng; Sender vừa gửi "☕ Ly cà phê" thành công</t>
        </is>
      </c>
      <c r="H25" s="427" t="inlineStr">
        <is>
          <t>1. Ghi nhận số lượng "☕ Ly cà phê" hiện có tại màn "Quà đã nhận" của tài khoản Carrier
2. Trên thiết bị Sender: gửi quà "☕ Ly cà phê" cho đơn đã hoàn thành của Carrier đó
3. Mở lại màn "Quà đã nhận" của tài khoản Carrier (Cá nhân → "Quà đã nhận")</t>
        </is>
      </c>
      <c r="I25" s="427" t="inlineStr">
        <is>
          <t>3. Số lượng "☕ Ly cà phê" tăng đúng 1 so với bước 1; các loại quà khác giữ nguyên; Carrier KHÔNG phải thao tác xác nhận nào để nhận quà</t>
        </is>
      </c>
      <c r="J25" s="426" t="inlineStr">
        <is>
          <t>AI</t>
        </is>
      </c>
      <c r="K25" s="426" t="inlineStr">
        <is>
          <t>Pending</t>
        </is>
      </c>
      <c r="L25" s="426" t="inlineStr">
        <is>
          <t>No</t>
        </is>
      </c>
      <c r="M25" s="426" t="n"/>
      <c r="N25" s="428" t="n"/>
      <c r="O25" s="428" t="n"/>
      <c r="P25" s="428" t="n"/>
      <c r="Q25" s="428" t="n"/>
      <c r="R25" s="428" t="n"/>
      <c r="S25" s="428" t="n"/>
      <c r="T25" s="428" t="n"/>
      <c r="U25" s="428" t="n"/>
      <c r="V25" s="428" t="n"/>
      <c r="W25" s="428" t="n"/>
      <c r="X25" s="428" t="n"/>
      <c r="Y25" s="428" t="n"/>
      <c r="Z25" s="428" t="n"/>
      <c r="AA25" s="428" t="n"/>
      <c r="AB25" s="429" t="n"/>
      <c r="AC25" s="429" t="n"/>
      <c r="AD25" s="429" t="n"/>
      <c r="AE25" s="429" t="n"/>
      <c r="AF25" s="429" t="n"/>
      <c r="AG25" s="429" t="n"/>
      <c r="AH25" s="429" t="n"/>
      <c r="AI25" s="429" t="n"/>
      <c r="AJ25" s="429" t="n"/>
      <c r="AK25" s="429" t="n"/>
      <c r="AL25" s="429" t="n"/>
      <c r="AM25" s="430">
        <f>IF($A24="","",IF(OR($N24="Yes",$S24="Yes",$X24="Yes",$AC24="Yes",$AH24="Yes"),"Yes","No"))</f>
        <v/>
      </c>
      <c r="AN25" s="430">
        <f>IF($A24="","",IFERROR(IF($AI24&lt;&gt;"",$AI24,IF($AD24&lt;&gt;"",$AD24,IF($Y24&lt;&gt;"",$Y24,IF($T24&lt;&gt;"",$T24,IF($O24&lt;&gt;"",$O24,""))))),""))</f>
        <v/>
      </c>
      <c r="AO25" s="430">
        <f>IFERROR(IF($AJ24&lt;&gt;"",$AJ24,IF($AE24&lt;&gt;"",$AE24,IF($Z24&lt;&gt;"",$Z24,IF($U24&lt;&gt;"",$U24,IF($P24&lt;&gt;"",$P24,""))))),"")</f>
        <v/>
      </c>
      <c r="AP25" s="431" t="inlineStr">
        <is>
          <t>Cấu trúc màn "Quà đã nhận" (card đếm theo loại + empty state + icon quay lại) đã cover tại TC-CANHAN (SC-GIFT-003/006/007) — tại đây chỉ verify tác động end-to-end của việc tặng quà</t>
        </is>
      </c>
    </row>
    <row r="26" ht="20" customHeight="1" s="225">
      <c r="A26" s="426" t="n"/>
      <c r="B26" s="432" t="inlineStr">
        <is>
          <t>Block Đổi nhãn nút sau khi đã gửi quà</t>
        </is>
      </c>
      <c r="C26" s="233" t="n"/>
      <c r="D26" s="233" t="n"/>
      <c r="E26" s="233" t="n"/>
      <c r="F26" s="233" t="n"/>
      <c r="G26" s="233" t="n"/>
      <c r="H26" s="233" t="n"/>
      <c r="I26" s="231" t="n"/>
      <c r="J26" s="426" t="n"/>
      <c r="K26" s="426" t="n"/>
      <c r="L26" s="426" t="n"/>
      <c r="M26" s="426" t="n"/>
      <c r="N26" s="428" t="n"/>
      <c r="O26" s="428" t="n"/>
      <c r="P26" s="428" t="n"/>
      <c r="Q26" s="428" t="n"/>
      <c r="R26" s="428" t="n"/>
      <c r="S26" s="428" t="n"/>
      <c r="T26" s="428" t="n"/>
      <c r="U26" s="428" t="n"/>
      <c r="V26" s="428" t="n"/>
      <c r="W26" s="428" t="n"/>
      <c r="X26" s="428" t="n"/>
      <c r="Y26" s="428" t="n"/>
      <c r="Z26" s="428" t="n"/>
      <c r="AA26" s="428" t="n"/>
      <c r="AB26" s="429" t="n"/>
      <c r="AC26" s="429" t="n"/>
      <c r="AD26" s="429" t="n"/>
      <c r="AE26" s="429" t="n"/>
      <c r="AF26" s="429" t="n"/>
      <c r="AG26" s="429" t="n"/>
      <c r="AH26" s="429" t="n"/>
      <c r="AI26" s="429" t="n"/>
      <c r="AJ26" s="429" t="n"/>
      <c r="AK26" s="429" t="n"/>
      <c r="AL26" s="429" t="n"/>
      <c r="AM26" s="430" t="n"/>
      <c r="AN26" s="430" t="n"/>
      <c r="AO26" s="430" t="n"/>
      <c r="AP26" s="431" t="n"/>
    </row>
    <row r="27" ht="60" customHeight="1" s="225">
      <c r="A27" s="426">
        <f>IF(C27="","",$C$2&amp;"."&amp;COUNTA($C$8:C27)&amp;"")</f>
        <v/>
      </c>
      <c r="B27" s="426" t="inlineStr">
        <is>
          <t>REQ-GIFT-003</t>
        </is>
      </c>
      <c r="C27" s="426" t="inlineStr">
        <is>
          <t>DOC-v1.0-04 + DOC-v1.0-05</t>
        </is>
      </c>
      <c r="D27" s="426" t="inlineStr">
        <is>
          <t>Functional</t>
        </is>
      </c>
      <c r="E27" s="426" t="inlineStr">
        <is>
          <t>Medium</t>
        </is>
      </c>
      <c r="F27" s="427" t="inlineStr">
        <is>
          <t>Check nút "Cảm ơn người vận chuyển" đổi thành nhãn "Bạn đã đánh giá" sau khi gửi quà</t>
        </is>
      </c>
      <c r="G27" s="427" t="inlineStr">
        <is>
          <t>Sender vừa gửi quà thành công cho 1 đơn đã "Hoàn thành"</t>
        </is>
      </c>
      <c r="H27" s="427" t="inlineStr">
        <is>
          <t>1. Mở app FoxEco bằng tài khoản Sender, mở đơn đã "Hoàn thành" và gửi quà thành công
2. Quay lại màn "Theo dõi đơn" của chính đơn vừa tặng quà
3. Quan sát nút hành động ở đáy màn</t>
        </is>
      </c>
      <c r="I27" s="427" t="inlineStr">
        <is>
          <t>3. Nút "✓ Cảm ơn người vận chuyển" đã đổi thành nhãn "Bạn đã đánh giá" ở trạng thái disable</t>
        </is>
      </c>
      <c r="J27" s="426" t="inlineStr">
        <is>
          <t>AI</t>
        </is>
      </c>
      <c r="K27" s="426" t="inlineStr">
        <is>
          <t>Pending</t>
        </is>
      </c>
      <c r="L27" s="426" t="inlineStr">
        <is>
          <t>No</t>
        </is>
      </c>
      <c r="M27" s="426" t="n"/>
      <c r="N27" s="428" t="n"/>
      <c r="O27" s="428" t="n"/>
      <c r="P27" s="428" t="n"/>
      <c r="Q27" s="428" t="n"/>
      <c r="R27" s="428" t="n"/>
      <c r="S27" s="428" t="n"/>
      <c r="T27" s="428" t="n"/>
      <c r="U27" s="428" t="n"/>
      <c r="V27" s="428" t="n"/>
      <c r="W27" s="428" t="n"/>
      <c r="X27" s="428" t="n"/>
      <c r="Y27" s="428" t="n"/>
      <c r="Z27" s="428" t="n"/>
      <c r="AA27" s="428" t="n"/>
      <c r="AB27" s="429" t="n"/>
      <c r="AC27" s="429" t="n"/>
      <c r="AD27" s="429" t="n"/>
      <c r="AE27" s="429" t="n"/>
      <c r="AF27" s="429" t="n"/>
      <c r="AG27" s="429" t="n"/>
      <c r="AH27" s="429" t="n"/>
      <c r="AI27" s="429" t="n"/>
      <c r="AJ27" s="429" t="n"/>
      <c r="AK27" s="429" t="n"/>
      <c r="AL27" s="429" t="n"/>
      <c r="AM27" s="430">
        <f>IF($A26="","",IF(OR($N26="Yes",$S26="Yes",$X26="Yes",$AC26="Yes",$AH26="Yes"),"Yes","No"))</f>
        <v/>
      </c>
      <c r="AN27" s="430">
        <f>IF($A26="","",IFERROR(IF($AI26&lt;&gt;"",$AI26,IF($AD26&lt;&gt;"",$AD26,IF($Y26&lt;&gt;"",$Y26,IF($T26&lt;&gt;"",$T26,IF($O26&lt;&gt;"",$O26,""))))),""))</f>
        <v/>
      </c>
      <c r="AO27" s="430">
        <f>IFERROR(IF($AJ26&lt;&gt;"",$AJ26,IF($AE26&lt;&gt;"",$AE26,IF($Z26&lt;&gt;"",$Z26,IF($U26&lt;&gt;"",$U26,IF($P26&lt;&gt;"",$P26,""))))),"")</f>
        <v/>
      </c>
      <c r="AP27" s="431" t="inlineStr">
        <is>
          <t>Technique: ST-gift-not-sent → gift-sent (đổi trạng thái nút sau hành động gửi quà)</t>
        </is>
      </c>
    </row>
    <row r="28" ht="60" customHeight="1" s="225">
      <c r="A28" s="426">
        <f>IF(C28="","",$C$2&amp;"."&amp;COUNTA($C$8:C28)&amp;"")</f>
        <v/>
      </c>
      <c r="B28" s="426" t="inlineStr">
        <is>
          <t>REQ-GIFT-003</t>
        </is>
      </c>
      <c r="C28" s="426" t="inlineStr">
        <is>
          <t>DOC-v1.0-04 + DOC-v1.0-05</t>
        </is>
      </c>
      <c r="D28" s="426" t="inlineStr">
        <is>
          <t>Functional</t>
        </is>
      </c>
      <c r="E28" s="426" t="inlineStr">
        <is>
          <t>Medium</t>
        </is>
      </c>
      <c r="F28" s="427" t="inlineStr">
        <is>
          <t>Check KHÔNG gửi quà lại lần 2 cho cùng 1 đơn</t>
        </is>
      </c>
      <c r="G28" s="427" t="inlineStr">
        <is>
          <t>Sender đã gửi quà thành công cho đơn này, nhãn hiện tại là "Bạn đã đánh giá"</t>
        </is>
      </c>
      <c r="H28" s="427" t="inlineStr">
        <is>
          <t>1. Mở app FoxEco bằng tài khoản Sender, mở đơn đã "Hoàn thành" và ĐÃ tặng quà trước đó
2. Bấm thử vào nhãn "Bạn đã đánh giá" ở đáy màn Theo dõi đơn
3. Quan sát kết quả sau khi bấm</t>
        </is>
      </c>
      <c r="I28" s="427" t="inlineStr">
        <is>
          <t>3. Nhãn KHÔNG phản hồi — không mở lại màn Tặng quà, không phát sinh thêm bản ghi quà nào cho đơn này</t>
        </is>
      </c>
      <c r="J28" s="426" t="inlineStr">
        <is>
          <t>AI</t>
        </is>
      </c>
      <c r="K28" s="426" t="inlineStr">
        <is>
          <t>Pending</t>
        </is>
      </c>
      <c r="L28" s="426" t="inlineStr">
        <is>
          <t>No</t>
        </is>
      </c>
      <c r="M28" s="426" t="n"/>
      <c r="N28" s="428" t="n"/>
      <c r="O28" s="428" t="n"/>
      <c r="P28" s="428" t="n"/>
      <c r="Q28" s="428" t="n"/>
      <c r="R28" s="428" t="n"/>
      <c r="S28" s="428" t="n"/>
      <c r="T28" s="428" t="n"/>
      <c r="U28" s="428" t="n"/>
      <c r="V28" s="428" t="n"/>
      <c r="W28" s="428" t="n"/>
      <c r="X28" s="428" t="n"/>
      <c r="Y28" s="428" t="n"/>
      <c r="Z28" s="428" t="n"/>
      <c r="AA28" s="428" t="n"/>
      <c r="AB28" s="429" t="n"/>
      <c r="AC28" s="429" t="n"/>
      <c r="AD28" s="429" t="n"/>
      <c r="AE28" s="429" t="n"/>
      <c r="AF28" s="429" t="n"/>
      <c r="AG28" s="429" t="n"/>
      <c r="AH28" s="429" t="n"/>
      <c r="AI28" s="429" t="n"/>
      <c r="AJ28" s="429" t="n"/>
      <c r="AK28" s="429" t="n"/>
      <c r="AL28" s="429" t="n"/>
      <c r="AM28" s="430">
        <f>IF($A27="","",IF(OR($N27="Yes",$S27="Yes",$X27="Yes",$AC27="Yes",$AH27="Yes"),"Yes","No"))</f>
        <v/>
      </c>
      <c r="AN28" s="430">
        <f>IF($A27="","",IFERROR(IF($AI27&lt;&gt;"",$AI27,IF($AD27&lt;&gt;"",$AD27,IF($Y27&lt;&gt;"",$Y27,IF($T27&lt;&gt;"",$T27,IF($O27&lt;&gt;"",$O27,""))))),""))</f>
        <v/>
      </c>
      <c r="AO28" s="430">
        <f>IFERROR(IF($AJ27&lt;&gt;"",$AJ27,IF($AE27&lt;&gt;"",$AE27,IF($Z27&lt;&gt;"",$Z27,IF($U27&lt;&gt;"",$U27,IF($P27&lt;&gt;"",$P27,""))))),"")</f>
        <v/>
      </c>
      <c r="AP28" s="431" t="inlineStr">
        <is>
          <t>Technique: ST-invalid-regift (transition không hợp lệ từ state đã-gửi-quà)</t>
        </is>
      </c>
    </row>
    <row r="29" s="225">
      <c r="A29" s="426" t="n"/>
      <c r="B29" s="433" t="n"/>
      <c r="C29" s="224" t="n"/>
      <c r="D29" s="224" t="n"/>
      <c r="E29" s="224" t="n"/>
      <c r="F29" s="434" t="n"/>
      <c r="G29" s="434" t="n"/>
      <c r="H29" s="434" t="n"/>
      <c r="I29" s="434" t="n"/>
      <c r="J29" s="426" t="n"/>
      <c r="K29" s="426" t="n"/>
      <c r="L29" s="426" t="n"/>
      <c r="M29" s="426" t="n"/>
      <c r="N29" s="428" t="n"/>
      <c r="O29" s="428" t="n"/>
      <c r="P29" s="428" t="n"/>
      <c r="Q29" s="428" t="n"/>
      <c r="R29" s="428" t="n"/>
      <c r="S29" s="428" t="n"/>
      <c r="T29" s="428" t="n"/>
      <c r="U29" s="428" t="n"/>
      <c r="V29" s="428" t="n"/>
      <c r="W29" s="428" t="n"/>
      <c r="X29" s="428" t="n"/>
      <c r="Y29" s="428" t="n"/>
      <c r="Z29" s="428" t="n"/>
      <c r="AA29" s="428" t="n"/>
      <c r="AB29" s="429" t="n"/>
      <c r="AC29" s="429" t="n"/>
      <c r="AD29" s="429" t="n"/>
      <c r="AE29" s="429" t="n"/>
      <c r="AF29" s="429" t="n"/>
      <c r="AG29" s="429" t="n"/>
      <c r="AH29" s="429" t="n"/>
      <c r="AI29" s="429" t="n"/>
      <c r="AJ29" s="429" t="n"/>
      <c r="AK29" s="429" t="n"/>
      <c r="AL29" s="429" t="n"/>
      <c r="AM29" s="430" t="n"/>
      <c r="AN29" s="430" t="n"/>
      <c r="AO29" s="430" t="n"/>
      <c r="AP29" s="431" t="n"/>
    </row>
    <row r="30" s="225">
      <c r="A30" s="426" t="n"/>
      <c r="B30" s="426" t="n"/>
      <c r="C30" s="426" t="n"/>
      <c r="D30" s="426" t="n"/>
      <c r="E30" s="426" t="n"/>
      <c r="F30" s="427" t="n"/>
      <c r="G30" s="427" t="n"/>
      <c r="H30" s="427" t="n"/>
      <c r="I30" s="427" t="n"/>
      <c r="J30" s="426" t="n"/>
      <c r="K30" s="426" t="n"/>
      <c r="L30" s="426" t="n"/>
      <c r="M30" s="426" t="n"/>
      <c r="N30" s="428" t="n"/>
      <c r="O30" s="428" t="n"/>
      <c r="P30" s="428" t="n"/>
      <c r="Q30" s="428" t="n"/>
      <c r="R30" s="428" t="n"/>
      <c r="S30" s="428" t="n"/>
      <c r="T30" s="428" t="n"/>
      <c r="U30" s="428" t="n"/>
      <c r="V30" s="428" t="n"/>
      <c r="W30" s="428" t="n"/>
      <c r="X30" s="428" t="n"/>
      <c r="Y30" s="428" t="n"/>
      <c r="Z30" s="428" t="n"/>
      <c r="AA30" s="428" t="n"/>
      <c r="AB30" s="429" t="n"/>
      <c r="AC30" s="429" t="n"/>
      <c r="AD30" s="429" t="n"/>
      <c r="AE30" s="429" t="n"/>
      <c r="AF30" s="429" t="n"/>
      <c r="AG30" s="429" t="n"/>
      <c r="AH30" s="429" t="n"/>
      <c r="AI30" s="429" t="n"/>
      <c r="AJ30" s="429" t="n"/>
      <c r="AK30" s="429" t="n"/>
      <c r="AL30" s="429" t="n"/>
      <c r="AM30" s="430" t="n"/>
      <c r="AN30" s="430" t="n"/>
      <c r="AO30" s="430" t="n"/>
      <c r="AP30" s="431" t="n"/>
    </row>
    <row r="31" s="225">
      <c r="A31" s="426" t="n"/>
      <c r="B31" s="426" t="n"/>
      <c r="C31" s="426" t="n"/>
      <c r="D31" s="426" t="n"/>
      <c r="E31" s="426" t="n"/>
      <c r="F31" s="427" t="n"/>
      <c r="G31" s="427" t="n"/>
      <c r="H31" s="427" t="n"/>
      <c r="I31" s="427" t="n"/>
      <c r="J31" s="426" t="n"/>
      <c r="K31" s="426" t="n"/>
      <c r="L31" s="426" t="n"/>
      <c r="M31" s="426" t="n"/>
      <c r="N31" s="428" t="n"/>
      <c r="O31" s="428" t="n"/>
      <c r="P31" s="428" t="n"/>
      <c r="Q31" s="428" t="n"/>
      <c r="R31" s="428" t="n"/>
      <c r="S31" s="428" t="n"/>
      <c r="T31" s="428" t="n"/>
      <c r="U31" s="428" t="n"/>
      <c r="V31" s="428" t="n"/>
      <c r="W31" s="428" t="n"/>
      <c r="X31" s="428" t="n"/>
      <c r="Y31" s="428" t="n"/>
      <c r="Z31" s="428" t="n"/>
      <c r="AA31" s="428" t="n"/>
      <c r="AB31" s="429" t="n"/>
      <c r="AC31" s="429" t="n"/>
      <c r="AD31" s="429" t="n"/>
      <c r="AE31" s="429" t="n"/>
      <c r="AF31" s="429" t="n"/>
      <c r="AG31" s="429" t="n"/>
      <c r="AH31" s="429" t="n"/>
      <c r="AI31" s="429" t="n"/>
      <c r="AJ31" s="429" t="n"/>
      <c r="AK31" s="429" t="n"/>
      <c r="AL31" s="429" t="n"/>
      <c r="AM31" s="430" t="n"/>
      <c r="AN31" s="430" t="n"/>
      <c r="AO31" s="430" t="n"/>
      <c r="AP31" s="431" t="n"/>
    </row>
    <row r="32" s="225">
      <c r="A32" s="426" t="n"/>
      <c r="B32" s="426" t="n"/>
      <c r="C32" s="426" t="n"/>
      <c r="D32" s="426" t="n"/>
      <c r="E32" s="426" t="n"/>
      <c r="F32" s="427" t="n"/>
      <c r="G32" s="427" t="n"/>
      <c r="H32" s="427" t="n"/>
      <c r="I32" s="427" t="n"/>
      <c r="J32" s="426" t="n"/>
      <c r="K32" s="426" t="n"/>
      <c r="L32" s="426" t="n"/>
      <c r="M32" s="426" t="n"/>
      <c r="N32" s="428" t="n"/>
      <c r="O32" s="428" t="n"/>
      <c r="P32" s="428" t="n"/>
      <c r="Q32" s="428" t="n"/>
      <c r="R32" s="428" t="n"/>
      <c r="S32" s="428" t="n"/>
      <c r="T32" s="428" t="n"/>
      <c r="U32" s="428" t="n"/>
      <c r="V32" s="428" t="n"/>
      <c r="W32" s="428" t="n"/>
      <c r="X32" s="428" t="n"/>
      <c r="Y32" s="428" t="n"/>
      <c r="Z32" s="428" t="n"/>
      <c r="AA32" s="428" t="n"/>
      <c r="AB32" s="429" t="n"/>
      <c r="AC32" s="429" t="n"/>
      <c r="AD32" s="429" t="n"/>
      <c r="AE32" s="429" t="n"/>
      <c r="AF32" s="429" t="n"/>
      <c r="AG32" s="429" t="n"/>
      <c r="AH32" s="429" t="n"/>
      <c r="AI32" s="429" t="n"/>
      <c r="AJ32" s="429" t="n"/>
      <c r="AK32" s="429" t="n"/>
      <c r="AL32" s="429" t="n"/>
      <c r="AM32" s="430" t="n"/>
      <c r="AN32" s="430" t="n"/>
      <c r="AO32" s="430" t="n"/>
      <c r="AP32" s="431" t="n"/>
    </row>
    <row r="33" s="225">
      <c r="A33" s="426" t="n"/>
      <c r="B33" s="426" t="n"/>
      <c r="C33" s="426" t="n"/>
      <c r="D33" s="426" t="n"/>
      <c r="E33" s="426" t="n"/>
      <c r="F33" s="427" t="n"/>
      <c r="G33" s="427" t="n"/>
      <c r="H33" s="427" t="n"/>
      <c r="I33" s="427" t="n"/>
      <c r="J33" s="426" t="n"/>
      <c r="K33" s="426" t="n"/>
      <c r="L33" s="426" t="n"/>
      <c r="M33" s="426" t="n"/>
      <c r="N33" s="428" t="n"/>
      <c r="O33" s="428" t="n"/>
      <c r="P33" s="428" t="n"/>
      <c r="Q33" s="428" t="n"/>
      <c r="R33" s="428" t="n"/>
      <c r="S33" s="428" t="n"/>
      <c r="T33" s="428" t="n"/>
      <c r="U33" s="428" t="n"/>
      <c r="V33" s="428" t="n"/>
      <c r="W33" s="428" t="n"/>
      <c r="X33" s="428" t="n"/>
      <c r="Y33" s="428" t="n"/>
      <c r="Z33" s="428" t="n"/>
      <c r="AA33" s="428" t="n"/>
      <c r="AB33" s="429" t="n"/>
      <c r="AC33" s="429" t="n"/>
      <c r="AD33" s="429" t="n"/>
      <c r="AE33" s="429" t="n"/>
      <c r="AF33" s="429" t="n"/>
      <c r="AG33" s="429" t="n"/>
      <c r="AH33" s="429" t="n"/>
      <c r="AI33" s="429" t="n"/>
      <c r="AJ33" s="429" t="n"/>
      <c r="AK33" s="429" t="n"/>
      <c r="AL33" s="429" t="n"/>
      <c r="AM33" s="430" t="n"/>
      <c r="AN33" s="430" t="n"/>
      <c r="AO33" s="430" t="n"/>
      <c r="AP33" s="431" t="n"/>
    </row>
    <row r="34" s="225">
      <c r="A34" s="426" t="n"/>
      <c r="B34" s="426" t="n"/>
      <c r="C34" s="426" t="n"/>
      <c r="D34" s="426" t="n"/>
      <c r="E34" s="426" t="n"/>
      <c r="F34" s="427" t="n"/>
      <c r="G34" s="427" t="n"/>
      <c r="H34" s="427" t="n"/>
      <c r="I34" s="427" t="n"/>
      <c r="J34" s="426" t="n"/>
      <c r="K34" s="426" t="n"/>
      <c r="L34" s="426" t="n"/>
      <c r="M34" s="426" t="n"/>
      <c r="N34" s="428" t="n"/>
      <c r="O34" s="428" t="n"/>
      <c r="P34" s="428" t="n"/>
      <c r="Q34" s="428" t="n"/>
      <c r="R34" s="428" t="n"/>
      <c r="S34" s="428" t="n"/>
      <c r="T34" s="428" t="n"/>
      <c r="U34" s="428" t="n"/>
      <c r="V34" s="428" t="n"/>
      <c r="W34" s="428" t="n"/>
      <c r="X34" s="428" t="n"/>
      <c r="Y34" s="428" t="n"/>
      <c r="Z34" s="428" t="n"/>
      <c r="AA34" s="428" t="n"/>
      <c r="AB34" s="429" t="n"/>
      <c r="AC34" s="429" t="n"/>
      <c r="AD34" s="429" t="n"/>
      <c r="AE34" s="429" t="n"/>
      <c r="AF34" s="429" t="n"/>
      <c r="AG34" s="429" t="n"/>
      <c r="AH34" s="429" t="n"/>
      <c r="AI34" s="429" t="n"/>
      <c r="AJ34" s="429" t="n"/>
      <c r="AK34" s="429" t="n"/>
      <c r="AL34" s="429" t="n"/>
      <c r="AM34" s="430" t="n"/>
      <c r="AN34" s="430" t="n"/>
      <c r="AO34" s="430" t="n"/>
      <c r="AP34" s="431" t="n"/>
    </row>
    <row r="35" s="225">
      <c r="A35" s="426" t="n"/>
      <c r="B35" s="426" t="n"/>
      <c r="C35" s="426" t="n"/>
      <c r="D35" s="426" t="n"/>
      <c r="E35" s="426" t="n"/>
      <c r="F35" s="427" t="n"/>
      <c r="G35" s="427" t="n"/>
      <c r="H35" s="427" t="n"/>
      <c r="I35" s="427" t="n"/>
      <c r="J35" s="426" t="n"/>
      <c r="K35" s="426" t="n"/>
      <c r="L35" s="426" t="n"/>
      <c r="M35" s="426" t="n"/>
      <c r="N35" s="428" t="n"/>
      <c r="O35" s="428" t="n"/>
      <c r="P35" s="428" t="n"/>
      <c r="Q35" s="428" t="n"/>
      <c r="R35" s="428" t="n"/>
      <c r="S35" s="428" t="n"/>
      <c r="T35" s="428" t="n"/>
      <c r="U35" s="428" t="n"/>
      <c r="V35" s="428" t="n"/>
      <c r="W35" s="428" t="n"/>
      <c r="X35" s="428" t="n"/>
      <c r="Y35" s="428" t="n"/>
      <c r="Z35" s="428" t="n"/>
      <c r="AA35" s="428" t="n"/>
      <c r="AB35" s="429" t="n"/>
      <c r="AC35" s="429" t="n"/>
      <c r="AD35" s="429" t="n"/>
      <c r="AE35" s="429" t="n"/>
      <c r="AF35" s="429" t="n"/>
      <c r="AG35" s="429" t="n"/>
      <c r="AH35" s="429" t="n"/>
      <c r="AI35" s="429" t="n"/>
      <c r="AJ35" s="429" t="n"/>
      <c r="AK35" s="429" t="n"/>
      <c r="AL35" s="429" t="n"/>
      <c r="AM35" s="430" t="n"/>
      <c r="AN35" s="430" t="n"/>
      <c r="AO35" s="430" t="n"/>
      <c r="AP35" s="431" t="n"/>
    </row>
    <row r="36" s="225">
      <c r="A36" s="426" t="n"/>
      <c r="B36" s="426" t="n"/>
      <c r="C36" s="426" t="n"/>
      <c r="D36" s="426" t="n"/>
      <c r="E36" s="426" t="n"/>
      <c r="F36" s="427" t="n"/>
      <c r="G36" s="427" t="n"/>
      <c r="H36" s="427" t="n"/>
      <c r="I36" s="427" t="n"/>
      <c r="J36" s="426" t="n"/>
      <c r="K36" s="426" t="n"/>
      <c r="L36" s="426" t="n"/>
      <c r="M36" s="426" t="n"/>
      <c r="N36" s="428" t="n"/>
      <c r="O36" s="428" t="n"/>
      <c r="P36" s="428" t="n"/>
      <c r="Q36" s="428" t="n"/>
      <c r="R36" s="428" t="n"/>
      <c r="S36" s="428" t="n"/>
      <c r="T36" s="428" t="n"/>
      <c r="U36" s="428" t="n"/>
      <c r="V36" s="428" t="n"/>
      <c r="W36" s="428" t="n"/>
      <c r="X36" s="428" t="n"/>
      <c r="Y36" s="428" t="n"/>
      <c r="Z36" s="428" t="n"/>
      <c r="AA36" s="428" t="n"/>
      <c r="AB36" s="429" t="n"/>
      <c r="AC36" s="429" t="n"/>
      <c r="AD36" s="429" t="n"/>
      <c r="AE36" s="429" t="n"/>
      <c r="AF36" s="429" t="n"/>
      <c r="AG36" s="429" t="n"/>
      <c r="AH36" s="429" t="n"/>
      <c r="AI36" s="429" t="n"/>
      <c r="AJ36" s="429" t="n"/>
      <c r="AK36" s="429" t="n"/>
      <c r="AL36" s="429" t="n"/>
      <c r="AM36" s="430" t="n"/>
      <c r="AN36" s="430" t="n"/>
      <c r="AO36" s="430" t="n"/>
      <c r="AP36" s="431" t="n"/>
    </row>
    <row r="37" s="225">
      <c r="A37" s="426" t="n"/>
      <c r="B37" s="426" t="n"/>
      <c r="C37" s="426" t="n"/>
      <c r="D37" s="426" t="n"/>
      <c r="E37" s="426" t="n"/>
      <c r="F37" s="427" t="n"/>
      <c r="G37" s="427" t="n"/>
      <c r="H37" s="427" t="n"/>
      <c r="I37" s="427" t="n"/>
      <c r="J37" s="426" t="n"/>
      <c r="K37" s="426" t="n"/>
      <c r="L37" s="426" t="n"/>
      <c r="M37" s="426" t="n"/>
      <c r="N37" s="428" t="n"/>
      <c r="O37" s="428" t="n"/>
      <c r="P37" s="428" t="n"/>
      <c r="Q37" s="428" t="n"/>
      <c r="R37" s="428" t="n"/>
      <c r="S37" s="428" t="n"/>
      <c r="T37" s="428" t="n"/>
      <c r="U37" s="428" t="n"/>
      <c r="V37" s="428" t="n"/>
      <c r="W37" s="428" t="n"/>
      <c r="X37" s="428" t="n"/>
      <c r="Y37" s="428" t="n"/>
      <c r="Z37" s="428" t="n"/>
      <c r="AA37" s="428" t="n"/>
      <c r="AB37" s="429" t="n"/>
      <c r="AC37" s="429" t="n"/>
      <c r="AD37" s="429" t="n"/>
      <c r="AE37" s="429" t="n"/>
      <c r="AF37" s="429" t="n"/>
      <c r="AG37" s="429" t="n"/>
      <c r="AH37" s="429" t="n"/>
      <c r="AI37" s="429" t="n"/>
      <c r="AJ37" s="429" t="n"/>
      <c r="AK37" s="429" t="n"/>
      <c r="AL37" s="429" t="n"/>
      <c r="AM37" s="430" t="n"/>
      <c r="AN37" s="430" t="n"/>
      <c r="AO37" s="430" t="n"/>
      <c r="AP37" s="431" t="n"/>
    </row>
    <row r="38" s="225">
      <c r="A38" s="426" t="n"/>
      <c r="B38" s="426" t="n"/>
      <c r="C38" s="426" t="n"/>
      <c r="D38" s="426" t="n"/>
      <c r="E38" s="426" t="n"/>
      <c r="F38" s="427" t="n"/>
      <c r="G38" s="427" t="n"/>
      <c r="H38" s="427" t="n"/>
      <c r="I38" s="427" t="n"/>
      <c r="J38" s="426" t="n"/>
      <c r="K38" s="426" t="n"/>
      <c r="L38" s="426" t="n"/>
      <c r="M38" s="426" t="n"/>
      <c r="N38" s="428" t="n"/>
      <c r="O38" s="428" t="n"/>
      <c r="P38" s="428" t="n"/>
      <c r="Q38" s="428" t="n"/>
      <c r="R38" s="428" t="n"/>
      <c r="S38" s="428" t="n"/>
      <c r="T38" s="428" t="n"/>
      <c r="U38" s="428" t="n"/>
      <c r="V38" s="428" t="n"/>
      <c r="W38" s="428" t="n"/>
      <c r="X38" s="428" t="n"/>
      <c r="Y38" s="428" t="n"/>
      <c r="Z38" s="428" t="n"/>
      <c r="AA38" s="428" t="n"/>
      <c r="AB38" s="429" t="n"/>
      <c r="AC38" s="429" t="n"/>
      <c r="AD38" s="429" t="n"/>
      <c r="AE38" s="429" t="n"/>
      <c r="AF38" s="429" t="n"/>
      <c r="AG38" s="429" t="n"/>
      <c r="AH38" s="429" t="n"/>
      <c r="AI38" s="429" t="n"/>
      <c r="AJ38" s="429" t="n"/>
      <c r="AK38" s="429" t="n"/>
      <c r="AL38" s="429" t="n"/>
      <c r="AM38" s="430" t="n"/>
      <c r="AN38" s="430" t="n"/>
      <c r="AO38" s="430" t="n"/>
      <c r="AP38" s="431" t="n"/>
    </row>
    <row r="39" s="225">
      <c r="A39" s="426" t="n"/>
      <c r="B39" s="426" t="n"/>
      <c r="C39" s="426" t="n"/>
      <c r="D39" s="426" t="n"/>
      <c r="E39" s="426" t="n"/>
      <c r="F39" s="427" t="n"/>
      <c r="G39" s="427" t="n"/>
      <c r="H39" s="427" t="n"/>
      <c r="I39" s="427" t="n"/>
      <c r="J39" s="426" t="n"/>
      <c r="K39" s="426" t="n"/>
      <c r="L39" s="426" t="n"/>
      <c r="M39" s="426" t="n"/>
      <c r="N39" s="428" t="n"/>
      <c r="O39" s="428" t="n"/>
      <c r="P39" s="428" t="n"/>
      <c r="Q39" s="428" t="n"/>
      <c r="R39" s="428" t="n"/>
      <c r="S39" s="428" t="n"/>
      <c r="T39" s="428" t="n"/>
      <c r="U39" s="428" t="n"/>
      <c r="V39" s="428" t="n"/>
      <c r="W39" s="428" t="n"/>
      <c r="X39" s="428" t="n"/>
      <c r="Y39" s="428" t="n"/>
      <c r="Z39" s="428" t="n"/>
      <c r="AA39" s="428" t="n"/>
      <c r="AB39" s="429" t="n"/>
      <c r="AC39" s="429" t="n"/>
      <c r="AD39" s="429" t="n"/>
      <c r="AE39" s="429" t="n"/>
      <c r="AF39" s="429" t="n"/>
      <c r="AG39" s="429" t="n"/>
      <c r="AH39" s="429" t="n"/>
      <c r="AI39" s="429" t="n"/>
      <c r="AJ39" s="429" t="n"/>
      <c r="AK39" s="429" t="n"/>
      <c r="AL39" s="429" t="n"/>
      <c r="AM39" s="430" t="n"/>
      <c r="AN39" s="430" t="n"/>
      <c r="AO39" s="430" t="n"/>
      <c r="AP39" s="431" t="n"/>
    </row>
    <row r="40" s="225">
      <c r="A40" s="426" t="n"/>
      <c r="B40" s="426" t="n"/>
      <c r="C40" s="426" t="n"/>
      <c r="D40" s="426" t="n"/>
      <c r="E40" s="426" t="n"/>
      <c r="F40" s="427" t="n"/>
      <c r="G40" s="427" t="n"/>
      <c r="H40" s="427" t="n"/>
      <c r="I40" s="427" t="n"/>
      <c r="J40" s="426" t="n"/>
      <c r="K40" s="426" t="n"/>
      <c r="L40" s="426" t="n"/>
      <c r="M40" s="426" t="n"/>
      <c r="N40" s="428" t="n"/>
      <c r="O40" s="428" t="n"/>
      <c r="P40" s="428" t="n"/>
      <c r="Q40" s="428" t="n"/>
      <c r="R40" s="428" t="n"/>
      <c r="S40" s="428" t="n"/>
      <c r="T40" s="428" t="n"/>
      <c r="U40" s="428" t="n"/>
      <c r="V40" s="428" t="n"/>
      <c r="W40" s="428" t="n"/>
      <c r="X40" s="428" t="n"/>
      <c r="Y40" s="428" t="n"/>
      <c r="Z40" s="428" t="n"/>
      <c r="AA40" s="428" t="n"/>
      <c r="AB40" s="429" t="n"/>
      <c r="AC40" s="429" t="n"/>
      <c r="AD40" s="429" t="n"/>
      <c r="AE40" s="429" t="n"/>
      <c r="AF40" s="429" t="n"/>
      <c r="AG40" s="429" t="n"/>
      <c r="AH40" s="429" t="n"/>
      <c r="AI40" s="429" t="n"/>
      <c r="AJ40" s="429" t="n"/>
      <c r="AK40" s="429" t="n"/>
      <c r="AL40" s="429" t="n"/>
      <c r="AM40" s="430" t="n"/>
      <c r="AN40" s="430" t="n"/>
      <c r="AO40" s="430" t="n"/>
      <c r="AP40" s="431" t="n"/>
    </row>
    <row r="41" s="225">
      <c r="A41" s="426" t="n"/>
      <c r="B41" s="426" t="n"/>
      <c r="C41" s="426" t="n"/>
      <c r="D41" s="426" t="n"/>
      <c r="E41" s="426" t="n"/>
      <c r="F41" s="427" t="n"/>
      <c r="G41" s="427" t="n"/>
      <c r="H41" s="427" t="n"/>
      <c r="I41" s="427" t="n"/>
      <c r="J41" s="426" t="n"/>
      <c r="K41" s="426" t="n"/>
      <c r="L41" s="426" t="n"/>
      <c r="M41" s="426" t="n"/>
      <c r="N41" s="428" t="n"/>
      <c r="O41" s="428" t="n"/>
      <c r="P41" s="428" t="n"/>
      <c r="Q41" s="428" t="n"/>
      <c r="R41" s="428" t="n"/>
      <c r="S41" s="428" t="n"/>
      <c r="T41" s="428" t="n"/>
      <c r="U41" s="428" t="n"/>
      <c r="V41" s="428" t="n"/>
      <c r="W41" s="428" t="n"/>
      <c r="X41" s="428" t="n"/>
      <c r="Y41" s="428" t="n"/>
      <c r="Z41" s="428" t="n"/>
      <c r="AA41" s="428" t="n"/>
      <c r="AB41" s="429" t="n"/>
      <c r="AC41" s="429" t="n"/>
      <c r="AD41" s="429" t="n"/>
      <c r="AE41" s="429" t="n"/>
      <c r="AF41" s="429" t="n"/>
      <c r="AG41" s="429" t="n"/>
      <c r="AH41" s="429" t="n"/>
      <c r="AI41" s="429" t="n"/>
      <c r="AJ41" s="429" t="n"/>
      <c r="AK41" s="429" t="n"/>
      <c r="AL41" s="429" t="n"/>
      <c r="AM41" s="430" t="n"/>
      <c r="AN41" s="430" t="n"/>
      <c r="AO41" s="430" t="n"/>
      <c r="AP41" s="431" t="n"/>
    </row>
    <row r="42" s="225">
      <c r="A42" s="426" t="n"/>
      <c r="B42" s="426" t="n"/>
      <c r="C42" s="426" t="n"/>
      <c r="D42" s="426" t="n"/>
      <c r="E42" s="426" t="n"/>
      <c r="F42" s="427" t="n"/>
      <c r="G42" s="427" t="n"/>
      <c r="H42" s="427" t="n"/>
      <c r="I42" s="427" t="n"/>
      <c r="J42" s="426" t="n"/>
      <c r="K42" s="426" t="n"/>
      <c r="L42" s="426" t="n"/>
      <c r="M42" s="426" t="n"/>
      <c r="N42" s="428" t="n"/>
      <c r="O42" s="428" t="n"/>
      <c r="P42" s="428" t="n"/>
      <c r="Q42" s="428" t="n"/>
      <c r="R42" s="428" t="n"/>
      <c r="S42" s="428" t="n"/>
      <c r="T42" s="428" t="n"/>
      <c r="U42" s="428" t="n"/>
      <c r="V42" s="428" t="n"/>
      <c r="W42" s="428" t="n"/>
      <c r="X42" s="428" t="n"/>
      <c r="Y42" s="428" t="n"/>
      <c r="Z42" s="428" t="n"/>
      <c r="AA42" s="428" t="n"/>
      <c r="AB42" s="429" t="n"/>
      <c r="AC42" s="429" t="n"/>
      <c r="AD42" s="429" t="n"/>
      <c r="AE42" s="429" t="n"/>
      <c r="AF42" s="429" t="n"/>
      <c r="AG42" s="429" t="n"/>
      <c r="AH42" s="429" t="n"/>
      <c r="AI42" s="429" t="n"/>
      <c r="AJ42" s="429" t="n"/>
      <c r="AK42" s="429" t="n"/>
      <c r="AL42" s="429" t="n"/>
      <c r="AM42" s="430" t="n"/>
      <c r="AN42" s="430" t="n"/>
      <c r="AO42" s="430" t="n"/>
      <c r="AP42" s="431" t="n"/>
    </row>
    <row r="43" s="225">
      <c r="A43" s="426" t="n"/>
      <c r="B43" s="426" t="n"/>
      <c r="C43" s="426" t="n"/>
      <c r="D43" s="426" t="n"/>
      <c r="E43" s="426" t="n"/>
      <c r="F43" s="427" t="n"/>
      <c r="G43" s="427" t="n"/>
      <c r="H43" s="427" t="n"/>
      <c r="I43" s="427" t="n"/>
      <c r="J43" s="426" t="n"/>
      <c r="K43" s="426" t="n"/>
      <c r="L43" s="426" t="n"/>
      <c r="M43" s="426" t="n"/>
      <c r="N43" s="428" t="n"/>
      <c r="O43" s="428" t="n"/>
      <c r="P43" s="428" t="n"/>
      <c r="Q43" s="428" t="n"/>
      <c r="R43" s="428" t="n"/>
      <c r="S43" s="428" t="n"/>
      <c r="T43" s="428" t="n"/>
      <c r="U43" s="428" t="n"/>
      <c r="V43" s="428" t="n"/>
      <c r="W43" s="428" t="n"/>
      <c r="X43" s="428" t="n"/>
      <c r="Y43" s="428" t="n"/>
      <c r="Z43" s="428" t="n"/>
      <c r="AA43" s="428" t="n"/>
      <c r="AB43" s="429" t="n"/>
      <c r="AC43" s="429" t="n"/>
      <c r="AD43" s="429" t="n"/>
      <c r="AE43" s="429" t="n"/>
      <c r="AF43" s="429" t="n"/>
      <c r="AG43" s="429" t="n"/>
      <c r="AH43" s="429" t="n"/>
      <c r="AI43" s="429" t="n"/>
      <c r="AJ43" s="429" t="n"/>
      <c r="AK43" s="429" t="n"/>
      <c r="AL43" s="429" t="n"/>
      <c r="AM43" s="430" t="n"/>
      <c r="AN43" s="430" t="n"/>
      <c r="AO43" s="430" t="n"/>
      <c r="AP43" s="431" t="n"/>
    </row>
    <row r="44" s="225">
      <c r="A44" s="426" t="n"/>
      <c r="B44" s="426" t="n"/>
      <c r="C44" s="426" t="n"/>
      <c r="D44" s="426" t="n"/>
      <c r="E44" s="426" t="n"/>
      <c r="F44" s="427" t="n"/>
      <c r="G44" s="427" t="n"/>
      <c r="H44" s="427" t="n"/>
      <c r="I44" s="427" t="n"/>
      <c r="J44" s="426" t="n"/>
      <c r="K44" s="426" t="n"/>
      <c r="L44" s="426" t="n"/>
      <c r="M44" s="426" t="n"/>
      <c r="N44" s="428" t="n"/>
      <c r="O44" s="428" t="n"/>
      <c r="P44" s="428" t="n"/>
      <c r="Q44" s="428" t="n"/>
      <c r="R44" s="428" t="n"/>
      <c r="S44" s="428" t="n"/>
      <c r="T44" s="428" t="n"/>
      <c r="U44" s="428" t="n"/>
      <c r="V44" s="428" t="n"/>
      <c r="W44" s="428" t="n"/>
      <c r="X44" s="428" t="n"/>
      <c r="Y44" s="428" t="n"/>
      <c r="Z44" s="428" t="n"/>
      <c r="AA44" s="428" t="n"/>
      <c r="AB44" s="429" t="n"/>
      <c r="AC44" s="429" t="n"/>
      <c r="AD44" s="429" t="n"/>
      <c r="AE44" s="429" t="n"/>
      <c r="AF44" s="429" t="n"/>
      <c r="AG44" s="429" t="n"/>
      <c r="AH44" s="429" t="n"/>
      <c r="AI44" s="429" t="n"/>
      <c r="AJ44" s="429" t="n"/>
      <c r="AK44" s="429" t="n"/>
      <c r="AL44" s="429" t="n"/>
      <c r="AM44" s="430" t="n"/>
      <c r="AN44" s="430" t="n"/>
      <c r="AO44" s="430" t="n"/>
      <c r="AP44" s="431" t="n"/>
    </row>
    <row r="45" s="225">
      <c r="A45" s="426" t="n"/>
      <c r="B45" s="426" t="n"/>
      <c r="C45" s="426" t="n"/>
      <c r="D45" s="426" t="n"/>
      <c r="E45" s="426" t="n"/>
      <c r="F45" s="427" t="n"/>
      <c r="G45" s="427" t="n"/>
      <c r="H45" s="427" t="n"/>
      <c r="I45" s="427" t="n"/>
      <c r="J45" s="426" t="n"/>
      <c r="K45" s="426" t="n"/>
      <c r="L45" s="426" t="n"/>
      <c r="M45" s="426" t="n"/>
      <c r="N45" s="428" t="n"/>
      <c r="O45" s="428" t="n"/>
      <c r="P45" s="428" t="n"/>
      <c r="Q45" s="428" t="n"/>
      <c r="R45" s="428" t="n"/>
      <c r="S45" s="428" t="n"/>
      <c r="T45" s="428" t="n"/>
      <c r="U45" s="428" t="n"/>
      <c r="V45" s="428" t="n"/>
      <c r="W45" s="428" t="n"/>
      <c r="X45" s="428" t="n"/>
      <c r="Y45" s="428" t="n"/>
      <c r="Z45" s="428" t="n"/>
      <c r="AA45" s="428" t="n"/>
      <c r="AB45" s="429" t="n"/>
      <c r="AC45" s="429" t="n"/>
      <c r="AD45" s="429" t="n"/>
      <c r="AE45" s="429" t="n"/>
      <c r="AF45" s="429" t="n"/>
      <c r="AG45" s="429" t="n"/>
      <c r="AH45" s="429" t="n"/>
      <c r="AI45" s="429" t="n"/>
      <c r="AJ45" s="429" t="n"/>
      <c r="AK45" s="429" t="n"/>
      <c r="AL45" s="429" t="n"/>
      <c r="AM45" s="430" t="n"/>
      <c r="AN45" s="430" t="n"/>
      <c r="AO45" s="430" t="n"/>
      <c r="AP45" s="431" t="n"/>
    </row>
    <row r="46" s="225">
      <c r="A46" s="426" t="n"/>
      <c r="B46" s="426" t="n"/>
      <c r="C46" s="426" t="n"/>
      <c r="D46" s="426" t="n"/>
      <c r="E46" s="426" t="n"/>
      <c r="F46" s="427" t="n"/>
      <c r="G46" s="427" t="n"/>
      <c r="H46" s="427" t="n"/>
      <c r="I46" s="427" t="n"/>
      <c r="J46" s="426" t="n"/>
      <c r="K46" s="426" t="n"/>
      <c r="L46" s="426" t="n"/>
      <c r="M46" s="426" t="n"/>
      <c r="N46" s="428" t="n"/>
      <c r="O46" s="428" t="n"/>
      <c r="P46" s="428" t="n"/>
      <c r="Q46" s="428" t="n"/>
      <c r="R46" s="428" t="n"/>
      <c r="S46" s="428" t="n"/>
      <c r="T46" s="428" t="n"/>
      <c r="U46" s="428" t="n"/>
      <c r="V46" s="428" t="n"/>
      <c r="W46" s="428" t="n"/>
      <c r="X46" s="428" t="n"/>
      <c r="Y46" s="428" t="n"/>
      <c r="Z46" s="428" t="n"/>
      <c r="AA46" s="428" t="n"/>
      <c r="AB46" s="429" t="n"/>
      <c r="AC46" s="429" t="n"/>
      <c r="AD46" s="429" t="n"/>
      <c r="AE46" s="429" t="n"/>
      <c r="AF46" s="429" t="n"/>
      <c r="AG46" s="429" t="n"/>
      <c r="AH46" s="429" t="n"/>
      <c r="AI46" s="429" t="n"/>
      <c r="AJ46" s="429" t="n"/>
      <c r="AK46" s="429" t="n"/>
      <c r="AL46" s="429" t="n"/>
      <c r="AM46" s="430" t="n"/>
      <c r="AN46" s="430" t="n"/>
      <c r="AO46" s="430" t="n"/>
      <c r="AP46" s="431" t="n"/>
    </row>
    <row r="47" s="225">
      <c r="A47" s="426" t="n"/>
      <c r="B47" s="426" t="n"/>
      <c r="C47" s="426" t="n"/>
      <c r="D47" s="426" t="n"/>
      <c r="E47" s="426" t="n"/>
      <c r="F47" s="427" t="n"/>
      <c r="G47" s="427" t="n"/>
      <c r="H47" s="427" t="n"/>
      <c r="I47" s="427" t="n"/>
      <c r="J47" s="426" t="n"/>
      <c r="K47" s="426" t="n"/>
      <c r="L47" s="426" t="n"/>
      <c r="M47" s="426" t="n"/>
      <c r="N47" s="428" t="n"/>
      <c r="O47" s="428" t="n"/>
      <c r="P47" s="428" t="n"/>
      <c r="Q47" s="428" t="n"/>
      <c r="R47" s="428" t="n"/>
      <c r="S47" s="428" t="n"/>
      <c r="T47" s="428" t="n"/>
      <c r="U47" s="428" t="n"/>
      <c r="V47" s="428" t="n"/>
      <c r="W47" s="428" t="n"/>
      <c r="X47" s="428" t="n"/>
      <c r="Y47" s="428" t="n"/>
      <c r="Z47" s="428" t="n"/>
      <c r="AA47" s="428" t="n"/>
      <c r="AB47" s="429" t="n"/>
      <c r="AC47" s="429" t="n"/>
      <c r="AD47" s="429" t="n"/>
      <c r="AE47" s="429" t="n"/>
      <c r="AF47" s="429" t="n"/>
      <c r="AG47" s="429" t="n"/>
      <c r="AH47" s="429" t="n"/>
      <c r="AI47" s="429" t="n"/>
      <c r="AJ47" s="429" t="n"/>
      <c r="AK47" s="429" t="n"/>
      <c r="AL47" s="429" t="n"/>
      <c r="AM47" s="430" t="n"/>
      <c r="AN47" s="430" t="n"/>
      <c r="AO47" s="430" t="n"/>
      <c r="AP47" s="431" t="n"/>
    </row>
    <row r="48" s="225">
      <c r="A48" s="426" t="n"/>
      <c r="B48" s="426" t="n"/>
      <c r="C48" s="426" t="n"/>
      <c r="D48" s="426" t="n"/>
      <c r="E48" s="426" t="n"/>
      <c r="F48" s="427" t="n"/>
      <c r="G48" s="427" t="n"/>
      <c r="H48" s="427" t="n"/>
      <c r="I48" s="427" t="n"/>
      <c r="J48" s="426" t="n"/>
      <c r="K48" s="426" t="n"/>
      <c r="L48" s="426" t="n"/>
      <c r="M48" s="426" t="n"/>
      <c r="N48" s="428" t="n"/>
      <c r="O48" s="428" t="n"/>
      <c r="P48" s="428" t="n"/>
      <c r="Q48" s="428" t="n"/>
      <c r="R48" s="428" t="n"/>
      <c r="S48" s="428" t="n"/>
      <c r="T48" s="428" t="n"/>
      <c r="U48" s="428" t="n"/>
      <c r="V48" s="428" t="n"/>
      <c r="W48" s="428" t="n"/>
      <c r="X48" s="428" t="n"/>
      <c r="Y48" s="428" t="n"/>
      <c r="Z48" s="428" t="n"/>
      <c r="AA48" s="428" t="n"/>
      <c r="AB48" s="429" t="n"/>
      <c r="AC48" s="429" t="n"/>
      <c r="AD48" s="429" t="n"/>
      <c r="AE48" s="429" t="n"/>
      <c r="AF48" s="429" t="n"/>
      <c r="AG48" s="429" t="n"/>
      <c r="AH48" s="429" t="n"/>
      <c r="AI48" s="429" t="n"/>
      <c r="AJ48" s="429" t="n"/>
      <c r="AK48" s="429" t="n"/>
      <c r="AL48" s="429" t="n"/>
      <c r="AM48" s="430" t="n"/>
      <c r="AN48" s="430" t="n"/>
      <c r="AO48" s="430" t="n"/>
      <c r="AP48" s="431" t="n"/>
    </row>
    <row r="49" s="225">
      <c r="A49" s="426" t="n"/>
      <c r="B49" s="426" t="n"/>
      <c r="C49" s="426" t="n"/>
      <c r="D49" s="426" t="n"/>
      <c r="E49" s="426" t="n"/>
      <c r="F49" s="427" t="n"/>
      <c r="G49" s="427" t="n"/>
      <c r="H49" s="427" t="n"/>
      <c r="I49" s="427" t="n"/>
      <c r="J49" s="426" t="n"/>
      <c r="K49" s="426" t="n"/>
      <c r="L49" s="426" t="n"/>
      <c r="M49" s="426" t="n"/>
      <c r="N49" s="428" t="n"/>
      <c r="O49" s="428" t="n"/>
      <c r="P49" s="428" t="n"/>
      <c r="Q49" s="428" t="n"/>
      <c r="R49" s="428" t="n"/>
      <c r="S49" s="428" t="n"/>
      <c r="T49" s="428" t="n"/>
      <c r="U49" s="428" t="n"/>
      <c r="V49" s="428" t="n"/>
      <c r="W49" s="428" t="n"/>
      <c r="X49" s="428" t="n"/>
      <c r="Y49" s="428" t="n"/>
      <c r="Z49" s="428" t="n"/>
      <c r="AA49" s="428" t="n"/>
      <c r="AB49" s="429" t="n"/>
      <c r="AC49" s="429" t="n"/>
      <c r="AD49" s="429" t="n"/>
      <c r="AE49" s="429" t="n"/>
      <c r="AF49" s="429" t="n"/>
      <c r="AG49" s="429" t="n"/>
      <c r="AH49" s="429" t="n"/>
      <c r="AI49" s="429" t="n"/>
      <c r="AJ49" s="429" t="n"/>
      <c r="AK49" s="429" t="n"/>
      <c r="AL49" s="429" t="n"/>
      <c r="AM49" s="430" t="n"/>
      <c r="AN49" s="430" t="n"/>
      <c r="AO49" s="430" t="n"/>
      <c r="AP49" s="431" t="n"/>
    </row>
    <row r="50" s="225">
      <c r="A50" s="426" t="n"/>
      <c r="B50" s="426" t="n"/>
      <c r="C50" s="426" t="n"/>
      <c r="D50" s="426" t="n"/>
      <c r="E50" s="426" t="n"/>
      <c r="F50" s="427" t="n"/>
      <c r="G50" s="427" t="n"/>
      <c r="H50" s="427" t="n"/>
      <c r="I50" s="427" t="n"/>
      <c r="J50" s="426" t="n"/>
      <c r="K50" s="426" t="n"/>
      <c r="L50" s="426" t="n"/>
      <c r="M50" s="426" t="n"/>
      <c r="N50" s="428" t="n"/>
      <c r="O50" s="428" t="n"/>
      <c r="P50" s="428" t="n"/>
      <c r="Q50" s="428" t="n"/>
      <c r="R50" s="428" t="n"/>
      <c r="S50" s="428" t="n"/>
      <c r="T50" s="428" t="n"/>
      <c r="U50" s="428" t="n"/>
      <c r="V50" s="428" t="n"/>
      <c r="W50" s="428" t="n"/>
      <c r="X50" s="428" t="n"/>
      <c r="Y50" s="428" t="n"/>
      <c r="Z50" s="428" t="n"/>
      <c r="AA50" s="428" t="n"/>
      <c r="AB50" s="429" t="n"/>
      <c r="AC50" s="429" t="n"/>
      <c r="AD50" s="429" t="n"/>
      <c r="AE50" s="429" t="n"/>
      <c r="AF50" s="429" t="n"/>
      <c r="AG50" s="429" t="n"/>
      <c r="AH50" s="429" t="n"/>
      <c r="AI50" s="429" t="n"/>
      <c r="AJ50" s="429" t="n"/>
      <c r="AK50" s="429" t="n"/>
      <c r="AL50" s="429" t="n"/>
      <c r="AM50" s="430" t="n"/>
      <c r="AN50" s="430" t="n"/>
      <c r="AO50" s="430" t="n"/>
      <c r="AP50" s="431" t="n"/>
    </row>
    <row r="51" s="225">
      <c r="A51" s="426" t="n"/>
      <c r="B51" s="426" t="n"/>
      <c r="C51" s="426" t="n"/>
      <c r="D51" s="426" t="n"/>
      <c r="E51" s="426" t="n"/>
      <c r="F51" s="427" t="n"/>
      <c r="G51" s="427" t="n"/>
      <c r="H51" s="427" t="n"/>
      <c r="I51" s="427" t="n"/>
      <c r="J51" s="426" t="n"/>
      <c r="K51" s="426" t="n"/>
      <c r="L51" s="426" t="n"/>
      <c r="M51" s="426" t="n"/>
      <c r="N51" s="428" t="n"/>
      <c r="O51" s="428" t="n"/>
      <c r="P51" s="428" t="n"/>
      <c r="Q51" s="428" t="n"/>
      <c r="R51" s="428" t="n"/>
      <c r="S51" s="428" t="n"/>
      <c r="T51" s="428" t="n"/>
      <c r="U51" s="428" t="n"/>
      <c r="V51" s="428" t="n"/>
      <c r="W51" s="428" t="n"/>
      <c r="X51" s="428" t="n"/>
      <c r="Y51" s="428" t="n"/>
      <c r="Z51" s="428" t="n"/>
      <c r="AA51" s="428" t="n"/>
      <c r="AB51" s="429" t="n"/>
      <c r="AC51" s="429" t="n"/>
      <c r="AD51" s="429" t="n"/>
      <c r="AE51" s="429" t="n"/>
      <c r="AF51" s="429" t="n"/>
      <c r="AG51" s="429" t="n"/>
      <c r="AH51" s="429" t="n"/>
      <c r="AI51" s="429" t="n"/>
      <c r="AJ51" s="429" t="n"/>
      <c r="AK51" s="429" t="n"/>
      <c r="AL51" s="429" t="n"/>
      <c r="AM51" s="430" t="n"/>
      <c r="AN51" s="430" t="n"/>
      <c r="AO51" s="430" t="n"/>
      <c r="AP51" s="431" t="n"/>
    </row>
    <row r="52" s="225">
      <c r="A52" s="426" t="n"/>
      <c r="B52" s="426" t="n"/>
      <c r="C52" s="426" t="n"/>
      <c r="D52" s="426" t="n"/>
      <c r="E52" s="426" t="n"/>
      <c r="F52" s="427" t="n"/>
      <c r="G52" s="427" t="n"/>
      <c r="H52" s="427" t="n"/>
      <c r="I52" s="427" t="n"/>
      <c r="J52" s="426" t="n"/>
      <c r="K52" s="426" t="n"/>
      <c r="L52" s="426" t="n"/>
      <c r="M52" s="426" t="n"/>
      <c r="N52" s="428" t="n"/>
      <c r="O52" s="428" t="n"/>
      <c r="P52" s="428" t="n"/>
      <c r="Q52" s="428" t="n"/>
      <c r="R52" s="428" t="n"/>
      <c r="S52" s="428" t="n"/>
      <c r="T52" s="428" t="n"/>
      <c r="U52" s="428" t="n"/>
      <c r="V52" s="428" t="n"/>
      <c r="W52" s="428" t="n"/>
      <c r="X52" s="428" t="n"/>
      <c r="Y52" s="428" t="n"/>
      <c r="Z52" s="428" t="n"/>
      <c r="AA52" s="428" t="n"/>
      <c r="AB52" s="429" t="n"/>
      <c r="AC52" s="429" t="n"/>
      <c r="AD52" s="429" t="n"/>
      <c r="AE52" s="429" t="n"/>
      <c r="AF52" s="429" t="n"/>
      <c r="AG52" s="429" t="n"/>
      <c r="AH52" s="429" t="n"/>
      <c r="AI52" s="429" t="n"/>
      <c r="AJ52" s="429" t="n"/>
      <c r="AK52" s="429" t="n"/>
      <c r="AL52" s="429" t="n"/>
      <c r="AM52" s="430" t="n"/>
      <c r="AN52" s="430" t="n"/>
      <c r="AO52" s="430" t="n"/>
      <c r="AP52" s="431" t="n"/>
    </row>
    <row r="53" s="225">
      <c r="A53" s="426" t="n"/>
      <c r="B53" s="426" t="n"/>
      <c r="C53" s="426" t="n"/>
      <c r="D53" s="426" t="n"/>
      <c r="E53" s="426" t="n"/>
      <c r="F53" s="427" t="n"/>
      <c r="G53" s="427" t="n"/>
      <c r="H53" s="427" t="n"/>
      <c r="I53" s="427" t="n"/>
      <c r="J53" s="426" t="n"/>
      <c r="K53" s="426" t="n"/>
      <c r="L53" s="426" t="n"/>
      <c r="M53" s="426" t="n"/>
      <c r="N53" s="428" t="n"/>
      <c r="O53" s="428" t="n"/>
      <c r="P53" s="428" t="n"/>
      <c r="Q53" s="428" t="n"/>
      <c r="R53" s="428" t="n"/>
      <c r="S53" s="428" t="n"/>
      <c r="T53" s="428" t="n"/>
      <c r="U53" s="428" t="n"/>
      <c r="V53" s="428" t="n"/>
      <c r="W53" s="428" t="n"/>
      <c r="X53" s="428" t="n"/>
      <c r="Y53" s="428" t="n"/>
      <c r="Z53" s="428" t="n"/>
      <c r="AA53" s="428" t="n"/>
      <c r="AB53" s="429" t="n"/>
      <c r="AC53" s="429" t="n"/>
      <c r="AD53" s="429" t="n"/>
      <c r="AE53" s="429" t="n"/>
      <c r="AF53" s="429" t="n"/>
      <c r="AG53" s="429" t="n"/>
      <c r="AH53" s="429" t="n"/>
      <c r="AI53" s="429" t="n"/>
      <c r="AJ53" s="429" t="n"/>
      <c r="AK53" s="429" t="n"/>
      <c r="AL53" s="429" t="n"/>
      <c r="AM53" s="430" t="n"/>
      <c r="AN53" s="430" t="n"/>
      <c r="AO53" s="430" t="n"/>
      <c r="AP53" s="431" t="n"/>
    </row>
    <row r="54" s="225">
      <c r="A54" s="426" t="n"/>
      <c r="B54" s="426" t="n"/>
      <c r="C54" s="426" t="n"/>
      <c r="D54" s="426" t="n"/>
      <c r="E54" s="426" t="n"/>
      <c r="F54" s="427" t="n"/>
      <c r="G54" s="427" t="n"/>
      <c r="H54" s="427" t="n"/>
      <c r="I54" s="427" t="n"/>
      <c r="J54" s="426" t="n"/>
      <c r="K54" s="426" t="n"/>
      <c r="L54" s="426" t="n"/>
      <c r="M54" s="426" t="n"/>
      <c r="N54" s="428" t="n"/>
      <c r="O54" s="428" t="n"/>
      <c r="P54" s="428" t="n"/>
      <c r="Q54" s="428" t="n"/>
      <c r="R54" s="428" t="n"/>
      <c r="S54" s="428" t="n"/>
      <c r="T54" s="428" t="n"/>
      <c r="U54" s="428" t="n"/>
      <c r="V54" s="428" t="n"/>
      <c r="W54" s="428" t="n"/>
      <c r="X54" s="428" t="n"/>
      <c r="Y54" s="428" t="n"/>
      <c r="Z54" s="428" t="n"/>
      <c r="AA54" s="428" t="n"/>
      <c r="AB54" s="429" t="n"/>
      <c r="AC54" s="429" t="n"/>
      <c r="AD54" s="429" t="n"/>
      <c r="AE54" s="429" t="n"/>
      <c r="AF54" s="429" t="n"/>
      <c r="AG54" s="429" t="n"/>
      <c r="AH54" s="429" t="n"/>
      <c r="AI54" s="429" t="n"/>
      <c r="AJ54" s="429" t="n"/>
      <c r="AK54" s="429" t="n"/>
      <c r="AL54" s="429" t="n"/>
      <c r="AM54" s="430" t="n"/>
      <c r="AN54" s="430" t="n"/>
      <c r="AO54" s="430" t="n"/>
      <c r="AP54" s="431" t="n"/>
    </row>
    <row r="55" s="225">
      <c r="A55" s="426" t="n"/>
      <c r="B55" s="426" t="n"/>
      <c r="C55" s="426" t="n"/>
      <c r="D55" s="426" t="n"/>
      <c r="E55" s="426" t="n"/>
      <c r="F55" s="427" t="n"/>
      <c r="G55" s="427" t="n"/>
      <c r="H55" s="427" t="n"/>
      <c r="I55" s="427" t="n"/>
      <c r="J55" s="426" t="n"/>
      <c r="K55" s="426" t="n"/>
      <c r="L55" s="426" t="n"/>
      <c r="M55" s="426" t="n"/>
      <c r="N55" s="428" t="n"/>
      <c r="O55" s="428" t="n"/>
      <c r="P55" s="428" t="n"/>
      <c r="Q55" s="428" t="n"/>
      <c r="R55" s="428" t="n"/>
      <c r="S55" s="428" t="n"/>
      <c r="T55" s="428" t="n"/>
      <c r="U55" s="428" t="n"/>
      <c r="V55" s="428" t="n"/>
      <c r="W55" s="428" t="n"/>
      <c r="X55" s="428" t="n"/>
      <c r="Y55" s="428" t="n"/>
      <c r="Z55" s="428" t="n"/>
      <c r="AA55" s="428" t="n"/>
      <c r="AB55" s="429" t="n"/>
      <c r="AC55" s="429" t="n"/>
      <c r="AD55" s="429" t="n"/>
      <c r="AE55" s="429" t="n"/>
      <c r="AF55" s="429" t="n"/>
      <c r="AG55" s="429" t="n"/>
      <c r="AH55" s="429" t="n"/>
      <c r="AI55" s="429" t="n"/>
      <c r="AJ55" s="429" t="n"/>
      <c r="AK55" s="429" t="n"/>
      <c r="AL55" s="429" t="n"/>
      <c r="AM55" s="430" t="n"/>
      <c r="AN55" s="430" t="n"/>
      <c r="AO55" s="430" t="n"/>
      <c r="AP55" s="431" t="n"/>
    </row>
    <row r="56" s="225">
      <c r="A56" s="426" t="n"/>
      <c r="B56" s="426" t="n"/>
      <c r="C56" s="426" t="n"/>
      <c r="D56" s="426" t="n"/>
      <c r="E56" s="426" t="n"/>
      <c r="F56" s="427" t="n"/>
      <c r="G56" s="427" t="n"/>
      <c r="H56" s="427" t="n"/>
      <c r="I56" s="427" t="n"/>
      <c r="J56" s="426" t="n"/>
      <c r="K56" s="426" t="n"/>
      <c r="L56" s="426" t="n"/>
      <c r="M56" s="426" t="n"/>
      <c r="N56" s="428" t="n"/>
      <c r="O56" s="428" t="n"/>
      <c r="P56" s="428" t="n"/>
      <c r="Q56" s="428" t="n"/>
      <c r="R56" s="428" t="n"/>
      <c r="S56" s="428" t="n"/>
      <c r="T56" s="428" t="n"/>
      <c r="U56" s="428" t="n"/>
      <c r="V56" s="428" t="n"/>
      <c r="W56" s="428" t="n"/>
      <c r="X56" s="428" t="n"/>
      <c r="Y56" s="428" t="n"/>
      <c r="Z56" s="428" t="n"/>
      <c r="AA56" s="428" t="n"/>
      <c r="AB56" s="429" t="n"/>
      <c r="AC56" s="429" t="n"/>
      <c r="AD56" s="429" t="n"/>
      <c r="AE56" s="429" t="n"/>
      <c r="AF56" s="429" t="n"/>
      <c r="AG56" s="429" t="n"/>
      <c r="AH56" s="429" t="n"/>
      <c r="AI56" s="429" t="n"/>
      <c r="AJ56" s="429" t="n"/>
      <c r="AK56" s="429" t="n"/>
      <c r="AL56" s="429" t="n"/>
      <c r="AM56" s="430" t="n"/>
      <c r="AN56" s="430" t="n"/>
      <c r="AO56" s="430" t="n"/>
      <c r="AP56" s="431" t="n"/>
    </row>
    <row r="57" s="225">
      <c r="A57" s="426" t="n"/>
      <c r="B57" s="426" t="n"/>
      <c r="C57" s="426" t="n"/>
      <c r="D57" s="426" t="n"/>
      <c r="E57" s="426" t="n"/>
      <c r="F57" s="427" t="n"/>
      <c r="G57" s="427" t="n"/>
      <c r="H57" s="427" t="n"/>
      <c r="I57" s="427" t="n"/>
      <c r="J57" s="426" t="n"/>
      <c r="K57" s="426" t="n"/>
      <c r="L57" s="426" t="n"/>
      <c r="M57" s="426" t="n"/>
      <c r="N57" s="428" t="n"/>
      <c r="O57" s="428" t="n"/>
      <c r="P57" s="428" t="n"/>
      <c r="Q57" s="428" t="n"/>
      <c r="R57" s="428" t="n"/>
      <c r="S57" s="428" t="n"/>
      <c r="T57" s="428" t="n"/>
      <c r="U57" s="428" t="n"/>
      <c r="V57" s="428" t="n"/>
      <c r="W57" s="428" t="n"/>
      <c r="X57" s="428" t="n"/>
      <c r="Y57" s="428" t="n"/>
      <c r="Z57" s="428" t="n"/>
      <c r="AA57" s="428" t="n"/>
      <c r="AB57" s="429" t="n"/>
      <c r="AC57" s="429" t="n"/>
      <c r="AD57" s="429" t="n"/>
      <c r="AE57" s="429" t="n"/>
      <c r="AF57" s="429" t="n"/>
      <c r="AG57" s="429" t="n"/>
      <c r="AH57" s="429" t="n"/>
      <c r="AI57" s="429" t="n"/>
      <c r="AJ57" s="429" t="n"/>
      <c r="AK57" s="429" t="n"/>
      <c r="AL57" s="429" t="n"/>
      <c r="AM57" s="430" t="n"/>
      <c r="AN57" s="430" t="n"/>
      <c r="AO57" s="430" t="n"/>
      <c r="AP57" s="431" t="n"/>
    </row>
    <row r="58" s="225">
      <c r="A58" s="426" t="n"/>
      <c r="B58" s="426" t="n"/>
      <c r="C58" s="426" t="n"/>
      <c r="D58" s="426" t="n"/>
      <c r="E58" s="426" t="n"/>
      <c r="F58" s="426" t="n"/>
      <c r="G58" s="426" t="n"/>
      <c r="H58" s="426" t="n"/>
      <c r="I58" s="426" t="n"/>
      <c r="J58" s="426" t="n"/>
      <c r="K58" s="426" t="n"/>
      <c r="L58" s="426" t="n"/>
      <c r="M58" s="426" t="n"/>
      <c r="N58" s="426" t="n"/>
      <c r="O58" s="426" t="n"/>
      <c r="P58" s="426" t="n"/>
      <c r="Q58" s="426" t="n"/>
      <c r="R58" s="435" t="n"/>
      <c r="S58" s="435" t="n"/>
      <c r="T58" s="435" t="n"/>
      <c r="U58" s="435" t="n"/>
      <c r="V58" s="435" t="n"/>
      <c r="W58" s="435" t="n"/>
      <c r="X58" s="435" t="n"/>
      <c r="Y58" s="435" t="n"/>
      <c r="Z58" s="435" t="n"/>
      <c r="AA58" s="435" t="n"/>
      <c r="AM58" s="436" t="n"/>
      <c r="AN58" s="436" t="n"/>
    </row>
    <row r="59" s="225">
      <c r="A59" s="426" t="n"/>
      <c r="B59" s="426" t="n"/>
      <c r="C59" s="426" t="n"/>
      <c r="D59" s="426" t="n"/>
      <c r="E59" s="426" t="n"/>
      <c r="F59" s="426" t="n"/>
      <c r="G59" s="426" t="n"/>
      <c r="H59" s="426" t="n"/>
      <c r="I59" s="426" t="n"/>
      <c r="J59" s="426" t="n"/>
      <c r="K59" s="426" t="n"/>
      <c r="L59" s="426" t="n"/>
      <c r="M59" s="426" t="n"/>
      <c r="N59" s="426" t="n"/>
      <c r="O59" s="426" t="n"/>
      <c r="P59" s="426" t="n"/>
      <c r="Q59" s="426" t="n"/>
      <c r="R59" s="435" t="n"/>
      <c r="S59" s="435" t="n"/>
      <c r="T59" s="435" t="n"/>
      <c r="U59" s="435" t="n"/>
      <c r="V59" s="435" t="n"/>
      <c r="W59" s="435" t="n"/>
      <c r="X59" s="435" t="n"/>
      <c r="Y59" s="435" t="n"/>
      <c r="Z59" s="435" t="n"/>
      <c r="AA59" s="435" t="n"/>
      <c r="AM59" s="436" t="n"/>
      <c r="AN59" s="436" t="n"/>
    </row>
    <row r="60" s="225">
      <c r="A60" s="426" t="n"/>
      <c r="B60" s="426" t="n"/>
      <c r="C60" s="426" t="n"/>
      <c r="D60" s="426" t="n"/>
      <c r="E60" s="426" t="n"/>
      <c r="F60" s="426" t="n"/>
      <c r="G60" s="426" t="n"/>
      <c r="H60" s="426" t="n"/>
      <c r="I60" s="426" t="n"/>
      <c r="J60" s="426" t="n"/>
      <c r="K60" s="426" t="n"/>
      <c r="L60" s="426" t="n"/>
      <c r="M60" s="426" t="n"/>
      <c r="N60" s="426" t="n"/>
      <c r="O60" s="426" t="n"/>
      <c r="P60" s="426" t="n"/>
      <c r="Q60" s="426" t="n"/>
      <c r="R60" s="435" t="n"/>
      <c r="S60" s="435" t="n"/>
      <c r="T60" s="435" t="n"/>
      <c r="U60" s="435" t="n"/>
      <c r="V60" s="435" t="n"/>
      <c r="W60" s="435" t="n"/>
      <c r="X60" s="435" t="n"/>
      <c r="Y60" s="435" t="n"/>
      <c r="Z60" s="435" t="n"/>
      <c r="AA60" s="435" t="n"/>
      <c r="AM60" s="436" t="n"/>
      <c r="AN60" s="436" t="n"/>
    </row>
    <row r="61" s="225">
      <c r="A61" s="426" t="n"/>
      <c r="B61" s="426" t="n"/>
      <c r="C61" s="426" t="n"/>
      <c r="D61" s="426" t="n"/>
      <c r="E61" s="426" t="n"/>
      <c r="F61" s="426" t="n"/>
      <c r="G61" s="426" t="n"/>
      <c r="H61" s="426" t="n"/>
      <c r="I61" s="426" t="n"/>
      <c r="J61" s="426" t="n"/>
      <c r="K61" s="426" t="n"/>
      <c r="L61" s="426" t="n"/>
      <c r="M61" s="426" t="n"/>
      <c r="N61" s="426" t="n"/>
      <c r="O61" s="426" t="n"/>
      <c r="P61" s="426" t="n"/>
      <c r="Q61" s="426" t="n"/>
      <c r="R61" s="435" t="n"/>
      <c r="S61" s="435" t="n"/>
      <c r="T61" s="435" t="n"/>
      <c r="U61" s="435" t="n"/>
      <c r="V61" s="435" t="n"/>
      <c r="W61" s="435" t="n"/>
      <c r="X61" s="435" t="n"/>
      <c r="Y61" s="435" t="n"/>
      <c r="Z61" s="435" t="n"/>
      <c r="AA61" s="435" t="n"/>
      <c r="AM61" s="436" t="n"/>
      <c r="AN61" s="436" t="n"/>
    </row>
    <row r="62" s="225">
      <c r="A62" s="426" t="n"/>
      <c r="B62" s="426" t="n"/>
      <c r="C62" s="426" t="n"/>
      <c r="D62" s="426" t="n"/>
      <c r="E62" s="426" t="n"/>
      <c r="F62" s="426" t="n"/>
      <c r="G62" s="426" t="n"/>
      <c r="H62" s="426" t="n"/>
      <c r="I62" s="426" t="n"/>
      <c r="J62" s="426" t="n"/>
      <c r="K62" s="426" t="n"/>
      <c r="L62" s="426" t="n"/>
      <c r="M62" s="426" t="n"/>
      <c r="N62" s="426" t="n"/>
      <c r="O62" s="426" t="n"/>
      <c r="P62" s="426" t="n"/>
      <c r="Q62" s="426" t="n"/>
      <c r="R62" s="435" t="n"/>
      <c r="S62" s="435" t="n"/>
      <c r="T62" s="435" t="n"/>
      <c r="U62" s="435" t="n"/>
      <c r="V62" s="435" t="n"/>
      <c r="W62" s="435" t="n"/>
      <c r="X62" s="435" t="n"/>
      <c r="Y62" s="435" t="n"/>
      <c r="Z62" s="435" t="n"/>
      <c r="AA62" s="435" t="n"/>
      <c r="AM62" s="436" t="n"/>
      <c r="AN62" s="436" t="n"/>
    </row>
    <row r="63" s="225">
      <c r="A63" s="435" t="n"/>
      <c r="B63" s="435" t="n"/>
      <c r="C63" s="435" t="n"/>
      <c r="D63" s="435" t="n"/>
      <c r="E63" s="435" t="n"/>
      <c r="F63" s="435" t="n"/>
      <c r="G63" s="435" t="n"/>
      <c r="H63" s="435" t="n"/>
      <c r="I63" s="435" t="n"/>
      <c r="J63" s="435" t="n"/>
      <c r="K63" s="435" t="n"/>
      <c r="L63" s="435" t="n"/>
      <c r="M63" s="435" t="n"/>
      <c r="N63" s="435" t="n"/>
      <c r="O63" s="435" t="n"/>
      <c r="P63" s="435" t="n"/>
      <c r="Q63" s="435" t="n"/>
      <c r="R63" s="435" t="n"/>
      <c r="S63" s="435" t="n"/>
      <c r="T63" s="435" t="n"/>
      <c r="U63" s="435" t="n"/>
      <c r="V63" s="435" t="n"/>
      <c r="W63" s="435" t="n"/>
      <c r="X63" s="435" t="n"/>
      <c r="Y63" s="435" t="n"/>
      <c r="Z63" s="435" t="n"/>
      <c r="AA63" s="435" t="n"/>
      <c r="AQ63" s="224" t="n"/>
    </row>
    <row r="64" s="225">
      <c r="A64" s="435" t="n"/>
      <c r="B64" s="435" t="n"/>
      <c r="C64" s="435" t="n"/>
      <c r="D64" s="435" t="n"/>
      <c r="E64" s="435" t="n"/>
      <c r="F64" s="435" t="n"/>
      <c r="G64" s="435" t="n"/>
      <c r="H64" s="435" t="n"/>
      <c r="I64" s="435" t="n"/>
      <c r="J64" s="435" t="n"/>
      <c r="K64" s="435" t="n"/>
      <c r="L64" s="435" t="n"/>
      <c r="M64" s="435" t="n"/>
      <c r="N64" s="435" t="n"/>
      <c r="O64" s="435" t="n"/>
      <c r="P64" s="435" t="n"/>
      <c r="Q64" s="435" t="n"/>
      <c r="R64" s="435" t="n"/>
      <c r="S64" s="435" t="n"/>
      <c r="T64" s="435" t="n"/>
      <c r="U64" s="435" t="n"/>
      <c r="V64" s="435" t="n"/>
      <c r="W64" s="435" t="n"/>
      <c r="X64" s="435" t="n"/>
      <c r="Y64" s="435" t="n"/>
      <c r="Z64" s="435" t="n"/>
      <c r="AA64" s="435" t="n"/>
      <c r="AQ64" s="224" t="n"/>
    </row>
    <row r="65" s="225">
      <c r="A65" s="435" t="n"/>
      <c r="B65" s="435" t="n"/>
      <c r="C65" s="435" t="n"/>
      <c r="D65" s="435" t="n"/>
      <c r="E65" s="435" t="n"/>
      <c r="F65" s="435" t="n"/>
      <c r="G65" s="435" t="n"/>
      <c r="H65" s="435" t="n"/>
      <c r="I65" s="435" t="n"/>
      <c r="J65" s="435" t="n"/>
      <c r="K65" s="435" t="n"/>
      <c r="L65" s="435" t="n"/>
      <c r="M65" s="435" t="n"/>
      <c r="N65" s="435" t="n"/>
      <c r="O65" s="435" t="n"/>
      <c r="P65" s="435" t="n"/>
      <c r="Q65" s="435" t="n"/>
      <c r="R65" s="435" t="n"/>
      <c r="S65" s="435" t="n"/>
      <c r="T65" s="435" t="n"/>
      <c r="U65" s="435" t="n"/>
      <c r="V65" s="435" t="n"/>
      <c r="W65" s="435" t="n"/>
      <c r="X65" s="435" t="n"/>
      <c r="Y65" s="435" t="n"/>
      <c r="Z65" s="435" t="n"/>
      <c r="AA65" s="435" t="n"/>
      <c r="AQ65" s="224" t="n"/>
    </row>
    <row r="66" s="225">
      <c r="A66" s="435" t="n"/>
      <c r="B66" s="435" t="n"/>
      <c r="C66" s="435" t="n"/>
      <c r="D66" s="435" t="n"/>
      <c r="E66" s="435" t="n"/>
      <c r="F66" s="435" t="n"/>
      <c r="G66" s="435" t="n"/>
      <c r="H66" s="435" t="n"/>
      <c r="I66" s="435" t="n"/>
      <c r="J66" s="435" t="n"/>
      <c r="K66" s="435" t="n"/>
      <c r="L66" s="435" t="n"/>
      <c r="M66" s="435" t="n"/>
      <c r="N66" s="435" t="n"/>
      <c r="O66" s="435" t="n"/>
      <c r="P66" s="435" t="n"/>
      <c r="Q66" s="435" t="n"/>
      <c r="R66" s="435" t="n"/>
      <c r="S66" s="435" t="n"/>
      <c r="T66" s="435" t="n"/>
      <c r="U66" s="435" t="n"/>
      <c r="V66" s="435" t="n"/>
      <c r="W66" s="435" t="n"/>
      <c r="X66" s="435" t="n"/>
      <c r="Y66" s="435" t="n"/>
      <c r="Z66" s="435" t="n"/>
      <c r="AA66" s="435" t="n"/>
      <c r="AQ66" s="224" t="n"/>
    </row>
    <row r="67" s="225">
      <c r="A67" s="435" t="n"/>
      <c r="B67" s="435" t="n"/>
      <c r="C67" s="435" t="n"/>
      <c r="D67" s="435" t="n"/>
      <c r="E67" s="435" t="n"/>
      <c r="F67" s="435" t="n"/>
      <c r="G67" s="435" t="n"/>
      <c r="H67" s="435" t="n"/>
      <c r="I67" s="435" t="n"/>
      <c r="J67" s="435" t="n"/>
      <c r="K67" s="435" t="n"/>
      <c r="L67" s="435" t="n"/>
      <c r="M67" s="435" t="n"/>
      <c r="N67" s="435" t="n"/>
      <c r="O67" s="435" t="n"/>
      <c r="P67" s="435" t="n"/>
      <c r="Q67" s="435" t="n"/>
      <c r="R67" s="435" t="n"/>
      <c r="S67" s="435" t="n"/>
      <c r="T67" s="435" t="n"/>
      <c r="U67" s="435" t="n"/>
      <c r="V67" s="435" t="n"/>
      <c r="W67" s="435" t="n"/>
      <c r="X67" s="435" t="n"/>
      <c r="Y67" s="435" t="n"/>
      <c r="Z67" s="435" t="n"/>
      <c r="AA67" s="435" t="n"/>
      <c r="AQ67" s="224" t="n"/>
    </row>
    <row r="68" s="225">
      <c r="A68" s="435" t="n"/>
      <c r="B68" s="435" t="n"/>
      <c r="C68" s="435" t="n"/>
      <c r="D68" s="435" t="n"/>
      <c r="E68" s="435" t="n"/>
      <c r="F68" s="435" t="n"/>
      <c r="G68" s="435" t="n"/>
      <c r="H68" s="435" t="n"/>
      <c r="I68" s="435" t="n"/>
      <c r="J68" s="435" t="n"/>
      <c r="K68" s="435" t="n"/>
      <c r="L68" s="435" t="n"/>
      <c r="M68" s="435" t="n"/>
      <c r="N68" s="435" t="n"/>
      <c r="O68" s="435" t="n"/>
      <c r="P68" s="435" t="n"/>
      <c r="Q68" s="435" t="n"/>
      <c r="R68" s="435" t="n"/>
      <c r="S68" s="435" t="n"/>
      <c r="T68" s="435" t="n"/>
      <c r="U68" s="435" t="n"/>
      <c r="V68" s="435" t="n"/>
      <c r="W68" s="435" t="n"/>
      <c r="X68" s="435" t="n"/>
      <c r="Y68" s="435" t="n"/>
      <c r="Z68" s="435" t="n"/>
      <c r="AA68" s="435" t="n"/>
      <c r="AQ68" s="224" t="n"/>
    </row>
    <row r="69" s="225">
      <c r="A69" s="435" t="n"/>
      <c r="B69" s="435" t="n"/>
      <c r="C69" s="435" t="n"/>
      <c r="D69" s="435" t="n"/>
      <c r="E69" s="435" t="n"/>
      <c r="F69" s="435" t="n"/>
      <c r="G69" s="435" t="n"/>
      <c r="H69" s="435" t="n"/>
      <c r="I69" s="435" t="n"/>
      <c r="J69" s="435" t="n"/>
      <c r="K69" s="435" t="n"/>
      <c r="L69" s="435" t="n"/>
      <c r="M69" s="435" t="n"/>
      <c r="N69" s="435" t="n"/>
      <c r="O69" s="435" t="n"/>
      <c r="P69" s="435" t="n"/>
      <c r="Q69" s="435" t="n"/>
      <c r="R69" s="435" t="n"/>
      <c r="S69" s="435" t="n"/>
      <c r="T69" s="435" t="n"/>
      <c r="U69" s="435" t="n"/>
      <c r="V69" s="435" t="n"/>
      <c r="W69" s="435" t="n"/>
      <c r="X69" s="435" t="n"/>
      <c r="Y69" s="435" t="n"/>
      <c r="Z69" s="435" t="n"/>
      <c r="AA69" s="435" t="n"/>
      <c r="AQ69" s="224" t="n"/>
    </row>
    <row r="70" s="225">
      <c r="A70" s="435" t="n"/>
      <c r="B70" s="435" t="n"/>
      <c r="C70" s="435" t="n"/>
      <c r="D70" s="435" t="n"/>
      <c r="E70" s="435" t="n"/>
      <c r="F70" s="435" t="n"/>
      <c r="G70" s="435" t="n"/>
      <c r="H70" s="435" t="n"/>
      <c r="I70" s="435" t="n"/>
      <c r="J70" s="435" t="n"/>
      <c r="K70" s="435" t="n"/>
      <c r="L70" s="435" t="n"/>
      <c r="M70" s="435" t="n"/>
      <c r="N70" s="435" t="n"/>
      <c r="O70" s="435" t="n"/>
      <c r="P70" s="435" t="n"/>
      <c r="Q70" s="435" t="n"/>
      <c r="R70" s="435" t="n"/>
      <c r="S70" s="435" t="n"/>
      <c r="T70" s="435" t="n"/>
      <c r="U70" s="435" t="n"/>
      <c r="V70" s="435" t="n"/>
      <c r="W70" s="435" t="n"/>
      <c r="X70" s="435" t="n"/>
      <c r="Y70" s="435" t="n"/>
      <c r="Z70" s="435" t="n"/>
      <c r="AA70" s="435" t="n"/>
      <c r="AQ70" s="224" t="n"/>
    </row>
    <row r="71" s="225">
      <c r="A71" s="435" t="n"/>
      <c r="B71" s="435" t="n"/>
      <c r="C71" s="435" t="n"/>
      <c r="D71" s="435" t="n"/>
      <c r="E71" s="435" t="n"/>
      <c r="F71" s="435" t="n"/>
      <c r="G71" s="435" t="n"/>
      <c r="H71" s="435" t="n"/>
      <c r="I71" s="435" t="n"/>
      <c r="J71" s="435" t="n"/>
      <c r="K71" s="435" t="n"/>
      <c r="L71" s="435" t="n"/>
      <c r="M71" s="435" t="n"/>
      <c r="N71" s="435" t="n"/>
      <c r="O71" s="435" t="n"/>
      <c r="P71" s="435" t="n"/>
      <c r="Q71" s="435" t="n"/>
      <c r="R71" s="435" t="n"/>
      <c r="S71" s="435" t="n"/>
      <c r="T71" s="435" t="n"/>
      <c r="U71" s="435" t="n"/>
      <c r="V71" s="435" t="n"/>
      <c r="W71" s="435" t="n"/>
      <c r="X71" s="435" t="n"/>
      <c r="Y71" s="435" t="n"/>
      <c r="Z71" s="435" t="n"/>
      <c r="AA71" s="435" t="n"/>
      <c r="AQ71" s="224" t="n"/>
    </row>
    <row r="72" s="225">
      <c r="A72" s="435" t="n"/>
      <c r="B72" s="435" t="n"/>
      <c r="C72" s="435" t="n"/>
      <c r="D72" s="435" t="n"/>
      <c r="E72" s="435" t="n"/>
      <c r="F72" s="435" t="n"/>
      <c r="G72" s="435" t="n"/>
      <c r="H72" s="435" t="n"/>
      <c r="I72" s="435" t="n"/>
      <c r="J72" s="435" t="n"/>
      <c r="K72" s="435" t="n"/>
      <c r="L72" s="435" t="n"/>
      <c r="M72" s="435" t="n"/>
      <c r="N72" s="435" t="n"/>
      <c r="O72" s="435" t="n"/>
      <c r="P72" s="435" t="n"/>
      <c r="Q72" s="435" t="n"/>
      <c r="R72" s="435" t="n"/>
      <c r="S72" s="435" t="n"/>
      <c r="T72" s="435" t="n"/>
      <c r="U72" s="435" t="n"/>
      <c r="V72" s="435" t="n"/>
      <c r="W72" s="435" t="n"/>
      <c r="X72" s="435" t="n"/>
      <c r="Y72" s="435" t="n"/>
      <c r="Z72" s="435" t="n"/>
      <c r="AA72" s="435" t="n"/>
      <c r="AQ72" s="224" t="n"/>
    </row>
    <row r="73" s="225">
      <c r="A73" s="435" t="n"/>
      <c r="B73" s="435" t="n"/>
      <c r="C73" s="435" t="n"/>
      <c r="D73" s="435" t="n"/>
      <c r="E73" s="435" t="n"/>
      <c r="F73" s="435" t="n"/>
      <c r="G73" s="435" t="n"/>
      <c r="H73" s="435" t="n"/>
      <c r="I73" s="435" t="n"/>
      <c r="J73" s="435" t="n"/>
      <c r="K73" s="435" t="n"/>
      <c r="L73" s="435" t="n"/>
      <c r="M73" s="435" t="n"/>
      <c r="N73" s="435" t="n"/>
      <c r="O73" s="435" t="n"/>
      <c r="P73" s="435" t="n"/>
      <c r="Q73" s="435" t="n"/>
      <c r="R73" s="435" t="n"/>
      <c r="S73" s="435" t="n"/>
      <c r="T73" s="435" t="n"/>
      <c r="U73" s="435" t="n"/>
      <c r="V73" s="435" t="n"/>
      <c r="W73" s="435" t="n"/>
      <c r="X73" s="435" t="n"/>
      <c r="Y73" s="435" t="n"/>
      <c r="Z73" s="435" t="n"/>
      <c r="AA73" s="435" t="n"/>
      <c r="AQ73" s="224" t="n"/>
    </row>
    <row r="74" s="225">
      <c r="A74" s="435" t="n"/>
      <c r="B74" s="435" t="n"/>
      <c r="C74" s="435" t="n"/>
      <c r="D74" s="435" t="n"/>
      <c r="E74" s="435" t="n"/>
      <c r="F74" s="435" t="n"/>
      <c r="G74" s="435" t="n"/>
      <c r="H74" s="435" t="n"/>
      <c r="I74" s="435" t="n"/>
      <c r="J74" s="435" t="n"/>
      <c r="K74" s="435" t="n"/>
      <c r="L74" s="435" t="n"/>
      <c r="M74" s="435" t="n"/>
      <c r="N74" s="435" t="n"/>
      <c r="O74" s="435" t="n"/>
      <c r="P74" s="435" t="n"/>
      <c r="Q74" s="435" t="n"/>
      <c r="R74" s="435" t="n"/>
      <c r="S74" s="435" t="n"/>
      <c r="T74" s="435" t="n"/>
      <c r="U74" s="435" t="n"/>
      <c r="V74" s="435" t="n"/>
      <c r="W74" s="435" t="n"/>
      <c r="X74" s="435" t="n"/>
      <c r="Y74" s="435" t="n"/>
      <c r="Z74" s="435" t="n"/>
      <c r="AA74" s="435" t="n"/>
      <c r="AQ74" s="224" t="n"/>
    </row>
    <row r="75" s="225">
      <c r="A75" s="435" t="n"/>
      <c r="B75" s="435" t="n"/>
      <c r="C75" s="435" t="n"/>
      <c r="D75" s="435" t="n"/>
      <c r="E75" s="435" t="n"/>
      <c r="F75" s="435" t="n"/>
      <c r="G75" s="435" t="n"/>
      <c r="H75" s="435" t="n"/>
      <c r="I75" s="435" t="n"/>
      <c r="J75" s="435" t="n"/>
      <c r="K75" s="435" t="n"/>
      <c r="L75" s="435" t="n"/>
      <c r="M75" s="435" t="n"/>
      <c r="N75" s="435" t="n"/>
      <c r="O75" s="435" t="n"/>
      <c r="P75" s="435" t="n"/>
      <c r="Q75" s="435" t="n"/>
      <c r="R75" s="435" t="n"/>
      <c r="S75" s="435" t="n"/>
      <c r="T75" s="435" t="n"/>
      <c r="U75" s="435" t="n"/>
      <c r="V75" s="435" t="n"/>
      <c r="W75" s="435" t="n"/>
      <c r="X75" s="435" t="n"/>
      <c r="Y75" s="435" t="n"/>
      <c r="Z75" s="435" t="n"/>
      <c r="AA75" s="435" t="n"/>
      <c r="AQ75" s="224" t="n"/>
    </row>
    <row r="76" s="225">
      <c r="A76" s="435" t="n"/>
      <c r="B76" s="435" t="n"/>
      <c r="C76" s="435" t="n"/>
      <c r="D76" s="435" t="n"/>
      <c r="E76" s="435" t="n"/>
      <c r="F76" s="435" t="n"/>
      <c r="G76" s="435" t="n"/>
      <c r="H76" s="435" t="n"/>
      <c r="I76" s="435" t="n"/>
      <c r="J76" s="435" t="n"/>
      <c r="K76" s="435" t="n"/>
      <c r="L76" s="435" t="n"/>
      <c r="M76" s="435" t="n"/>
      <c r="N76" s="435" t="n"/>
      <c r="O76" s="435" t="n"/>
      <c r="P76" s="435" t="n"/>
      <c r="Q76" s="435" t="n"/>
      <c r="R76" s="435" t="n"/>
      <c r="S76" s="435" t="n"/>
      <c r="T76" s="435" t="n"/>
      <c r="U76" s="435" t="n"/>
      <c r="V76" s="435" t="n"/>
      <c r="W76" s="435" t="n"/>
      <c r="X76" s="435" t="n"/>
      <c r="Y76" s="435" t="n"/>
      <c r="Z76" s="435" t="n"/>
      <c r="AA76" s="435" t="n"/>
      <c r="AQ76" s="224" t="n"/>
    </row>
    <row r="77" s="225">
      <c r="A77" s="435" t="n"/>
      <c r="B77" s="435" t="n"/>
      <c r="C77" s="435" t="n"/>
      <c r="D77" s="435" t="n"/>
      <c r="E77" s="435" t="n"/>
      <c r="F77" s="435" t="n"/>
      <c r="G77" s="435" t="n"/>
      <c r="H77" s="435" t="n"/>
      <c r="I77" s="435" t="n"/>
      <c r="J77" s="435" t="n"/>
      <c r="K77" s="435" t="n"/>
      <c r="L77" s="435" t="n"/>
      <c r="M77" s="435" t="n"/>
      <c r="N77" s="435" t="n"/>
      <c r="O77" s="435" t="n"/>
      <c r="P77" s="435" t="n"/>
      <c r="Q77" s="435" t="n"/>
      <c r="R77" s="435" t="n"/>
      <c r="S77" s="435" t="n"/>
      <c r="T77" s="435" t="n"/>
      <c r="U77" s="435" t="n"/>
      <c r="V77" s="435" t="n"/>
      <c r="W77" s="435" t="n"/>
      <c r="X77" s="435" t="n"/>
      <c r="Y77" s="435" t="n"/>
      <c r="Z77" s="435" t="n"/>
      <c r="AA77" s="435" t="n"/>
      <c r="AQ77" s="224" t="n"/>
    </row>
    <row r="78" s="225">
      <c r="A78" s="435" t="n"/>
      <c r="B78" s="435" t="n"/>
      <c r="C78" s="435" t="n"/>
      <c r="D78" s="435" t="n"/>
      <c r="E78" s="435" t="n"/>
      <c r="F78" s="435" t="n"/>
      <c r="G78" s="435" t="n"/>
      <c r="H78" s="435" t="n"/>
      <c r="I78" s="435" t="n"/>
      <c r="J78" s="435" t="n"/>
      <c r="K78" s="435" t="n"/>
      <c r="L78" s="435" t="n"/>
      <c r="M78" s="435" t="n"/>
      <c r="N78" s="435" t="n"/>
      <c r="O78" s="435" t="n"/>
      <c r="P78" s="435" t="n"/>
      <c r="Q78" s="435" t="n"/>
      <c r="R78" s="435" t="n"/>
      <c r="S78" s="435" t="n"/>
      <c r="T78" s="435" t="n"/>
      <c r="U78" s="435" t="n"/>
      <c r="V78" s="435" t="n"/>
      <c r="W78" s="435" t="n"/>
      <c r="X78" s="435" t="n"/>
      <c r="Y78" s="435" t="n"/>
      <c r="Z78" s="435" t="n"/>
      <c r="AA78" s="435" t="n"/>
      <c r="AQ78" s="224" t="n"/>
    </row>
    <row r="79" s="225">
      <c r="A79" s="435" t="n"/>
      <c r="B79" s="435" t="n"/>
      <c r="C79" s="435" t="n"/>
      <c r="D79" s="435" t="n"/>
      <c r="E79" s="435" t="n"/>
      <c r="F79" s="435" t="n"/>
      <c r="G79" s="435" t="n"/>
      <c r="H79" s="435" t="n"/>
      <c r="I79" s="435" t="n"/>
      <c r="J79" s="435" t="n"/>
      <c r="K79" s="435" t="n"/>
      <c r="L79" s="435" t="n"/>
      <c r="M79" s="435" t="n"/>
      <c r="N79" s="435" t="n"/>
      <c r="O79" s="435" t="n"/>
      <c r="P79" s="435" t="n"/>
      <c r="Q79" s="435" t="n"/>
      <c r="R79" s="435" t="n"/>
      <c r="S79" s="435" t="n"/>
      <c r="T79" s="435" t="n"/>
      <c r="U79" s="435" t="n"/>
      <c r="V79" s="435" t="n"/>
      <c r="W79" s="435" t="n"/>
      <c r="X79" s="435" t="n"/>
      <c r="Y79" s="435" t="n"/>
      <c r="Z79" s="435" t="n"/>
      <c r="AA79" s="435" t="n"/>
      <c r="AQ79" s="224" t="n"/>
    </row>
    <row r="80" s="225">
      <c r="A80" s="435" t="n"/>
      <c r="B80" s="435" t="n"/>
      <c r="C80" s="435" t="n"/>
      <c r="D80" s="435" t="n"/>
      <c r="E80" s="435" t="n"/>
      <c r="F80" s="435" t="n"/>
      <c r="G80" s="435" t="n"/>
      <c r="H80" s="435" t="n"/>
      <c r="I80" s="435" t="n"/>
      <c r="J80" s="435" t="n"/>
      <c r="K80" s="435" t="n"/>
      <c r="L80" s="435" t="n"/>
      <c r="M80" s="435" t="n"/>
      <c r="N80" s="435" t="n"/>
      <c r="O80" s="435" t="n"/>
      <c r="P80" s="435" t="n"/>
      <c r="Q80" s="435" t="n"/>
      <c r="R80" s="435" t="n"/>
      <c r="S80" s="435" t="n"/>
      <c r="T80" s="435" t="n"/>
      <c r="U80" s="435" t="n"/>
      <c r="V80" s="435" t="n"/>
      <c r="W80" s="435" t="n"/>
      <c r="X80" s="435" t="n"/>
      <c r="Y80" s="435" t="n"/>
      <c r="Z80" s="435" t="n"/>
      <c r="AA80" s="435" t="n"/>
      <c r="AQ80" s="224" t="n"/>
    </row>
    <row r="81" s="225">
      <c r="A81" s="435" t="n"/>
      <c r="B81" s="435" t="n"/>
      <c r="C81" s="435" t="n"/>
      <c r="D81" s="435" t="n"/>
      <c r="E81" s="435" t="n"/>
      <c r="F81" s="435" t="n"/>
      <c r="G81" s="435" t="n"/>
      <c r="H81" s="435" t="n"/>
      <c r="I81" s="435" t="n"/>
      <c r="J81" s="435" t="n"/>
      <c r="K81" s="435" t="n"/>
      <c r="L81" s="435" t="n"/>
      <c r="M81" s="435" t="n"/>
      <c r="N81" s="435" t="n"/>
      <c r="O81" s="435" t="n"/>
      <c r="P81" s="435" t="n"/>
      <c r="Q81" s="435" t="n"/>
      <c r="R81" s="435" t="n"/>
      <c r="S81" s="435" t="n"/>
      <c r="T81" s="435" t="n"/>
      <c r="U81" s="435" t="n"/>
      <c r="V81" s="435" t="n"/>
      <c r="W81" s="435" t="n"/>
      <c r="X81" s="435" t="n"/>
      <c r="Y81" s="435" t="n"/>
      <c r="Z81" s="435" t="n"/>
      <c r="AA81" s="435" t="n"/>
      <c r="AQ81" s="224" t="n"/>
    </row>
    <row r="82" s="225">
      <c r="A82" s="435" t="n"/>
      <c r="B82" s="435" t="n"/>
      <c r="C82" s="435" t="n"/>
      <c r="D82" s="435" t="n"/>
      <c r="E82" s="435" t="n"/>
      <c r="F82" s="435" t="n"/>
      <c r="G82" s="435" t="n"/>
      <c r="H82" s="435" t="n"/>
      <c r="I82" s="435" t="n"/>
      <c r="J82" s="435" t="n"/>
      <c r="K82" s="435" t="n"/>
      <c r="L82" s="435" t="n"/>
      <c r="M82" s="435" t="n"/>
      <c r="N82" s="435" t="n"/>
      <c r="O82" s="435" t="n"/>
      <c r="P82" s="435" t="n"/>
      <c r="Q82" s="435" t="n"/>
      <c r="R82" s="435" t="n"/>
      <c r="S82" s="435" t="n"/>
      <c r="T82" s="435" t="n"/>
      <c r="U82" s="435" t="n"/>
      <c r="V82" s="435" t="n"/>
      <c r="W82" s="435" t="n"/>
      <c r="X82" s="435" t="n"/>
      <c r="Y82" s="435" t="n"/>
      <c r="Z82" s="435" t="n"/>
      <c r="AA82" s="435" t="n"/>
      <c r="AQ82" s="224" t="n"/>
    </row>
    <row r="83" s="225">
      <c r="A83" s="435" t="n"/>
      <c r="B83" s="435" t="n"/>
      <c r="C83" s="435" t="n"/>
      <c r="D83" s="435" t="n"/>
      <c r="E83" s="435" t="n"/>
      <c r="F83" s="435" t="n"/>
      <c r="G83" s="435" t="n"/>
      <c r="H83" s="435" t="n"/>
      <c r="I83" s="435" t="n"/>
      <c r="J83" s="435" t="n"/>
      <c r="K83" s="435" t="n"/>
      <c r="L83" s="435" t="n"/>
      <c r="M83" s="435" t="n"/>
      <c r="N83" s="435" t="n"/>
      <c r="O83" s="435" t="n"/>
      <c r="P83" s="435" t="n"/>
      <c r="Q83" s="435" t="n"/>
      <c r="R83" s="435" t="n"/>
      <c r="S83" s="435" t="n"/>
      <c r="T83" s="435" t="n"/>
      <c r="U83" s="435" t="n"/>
      <c r="V83" s="435" t="n"/>
      <c r="W83" s="435" t="n"/>
      <c r="X83" s="435" t="n"/>
      <c r="Y83" s="435" t="n"/>
      <c r="Z83" s="435" t="n"/>
      <c r="AA83" s="435" t="n"/>
      <c r="AQ83" s="224" t="n"/>
    </row>
    <row r="84" s="225">
      <c r="A84" s="435" t="n"/>
      <c r="B84" s="435" t="n"/>
      <c r="C84" s="435" t="n"/>
      <c r="D84" s="435" t="n"/>
      <c r="E84" s="435" t="n"/>
      <c r="F84" s="435" t="n"/>
      <c r="G84" s="435" t="n"/>
      <c r="H84" s="435" t="n"/>
      <c r="I84" s="435" t="n"/>
      <c r="J84" s="435" t="n"/>
      <c r="K84" s="435" t="n"/>
      <c r="L84" s="435" t="n"/>
      <c r="M84" s="435" t="n"/>
      <c r="N84" s="435" t="n"/>
      <c r="O84" s="435" t="n"/>
      <c r="P84" s="435" t="n"/>
      <c r="Q84" s="435" t="n"/>
      <c r="R84" s="435" t="n"/>
      <c r="S84" s="435" t="n"/>
      <c r="T84" s="435" t="n"/>
      <c r="U84" s="435" t="n"/>
      <c r="V84" s="435" t="n"/>
      <c r="W84" s="435" t="n"/>
      <c r="X84" s="435" t="n"/>
      <c r="Y84" s="435" t="n"/>
      <c r="Z84" s="435" t="n"/>
      <c r="AA84" s="435" t="n"/>
      <c r="AQ84" s="224" t="n"/>
    </row>
    <row r="85" s="225">
      <c r="A85" s="435" t="n"/>
      <c r="B85" s="435" t="n"/>
      <c r="C85" s="435" t="n"/>
      <c r="D85" s="435" t="n"/>
      <c r="E85" s="435" t="n"/>
      <c r="F85" s="435" t="n"/>
      <c r="G85" s="435" t="n"/>
      <c r="H85" s="435" t="n"/>
      <c r="I85" s="435" t="n"/>
      <c r="J85" s="435" t="n"/>
      <c r="K85" s="435" t="n"/>
      <c r="L85" s="435" t="n"/>
      <c r="M85" s="435" t="n"/>
      <c r="N85" s="435" t="n"/>
      <c r="O85" s="435" t="n"/>
      <c r="P85" s="435" t="n"/>
      <c r="Q85" s="435" t="n"/>
      <c r="R85" s="435" t="n"/>
      <c r="S85" s="435" t="n"/>
      <c r="T85" s="435" t="n"/>
      <c r="U85" s="435" t="n"/>
      <c r="V85" s="435" t="n"/>
      <c r="W85" s="435" t="n"/>
      <c r="X85" s="435" t="n"/>
      <c r="Y85" s="435" t="n"/>
      <c r="Z85" s="435" t="n"/>
      <c r="AA85" s="435" t="n"/>
      <c r="AQ85" s="224" t="n"/>
    </row>
    <row r="86" s="225">
      <c r="A86" s="435" t="n"/>
      <c r="B86" s="435" t="n"/>
      <c r="C86" s="435" t="n"/>
      <c r="D86" s="435" t="n"/>
      <c r="E86" s="435" t="n"/>
      <c r="F86" s="435" t="n"/>
      <c r="G86" s="435" t="n"/>
      <c r="H86" s="435" t="n"/>
      <c r="I86" s="435" t="n"/>
      <c r="J86" s="435" t="n"/>
      <c r="K86" s="435" t="n"/>
      <c r="L86" s="435" t="n"/>
      <c r="M86" s="435" t="n"/>
      <c r="N86" s="435" t="n"/>
      <c r="O86" s="435" t="n"/>
      <c r="P86" s="435" t="n"/>
      <c r="Q86" s="435" t="n"/>
      <c r="R86" s="435" t="n"/>
      <c r="S86" s="435" t="n"/>
      <c r="T86" s="435" t="n"/>
      <c r="U86" s="435" t="n"/>
      <c r="V86" s="435" t="n"/>
      <c r="W86" s="435" t="n"/>
      <c r="X86" s="435" t="n"/>
      <c r="Y86" s="435" t="n"/>
      <c r="Z86" s="435" t="n"/>
      <c r="AA86" s="435" t="n"/>
      <c r="AQ86" s="224" t="n"/>
    </row>
    <row r="87" s="225">
      <c r="A87" s="435" t="n"/>
      <c r="B87" s="435" t="n"/>
      <c r="C87" s="435" t="n"/>
      <c r="D87" s="435" t="n"/>
      <c r="E87" s="435" t="n"/>
      <c r="F87" s="435" t="n"/>
      <c r="G87" s="435" t="n"/>
      <c r="H87" s="435" t="n"/>
      <c r="I87" s="435" t="n"/>
      <c r="J87" s="435" t="n"/>
      <c r="K87" s="435" t="n"/>
      <c r="L87" s="435" t="n"/>
      <c r="M87" s="435" t="n"/>
      <c r="N87" s="435" t="n"/>
      <c r="O87" s="435" t="n"/>
      <c r="P87" s="435" t="n"/>
      <c r="Q87" s="435" t="n"/>
      <c r="R87" s="435" t="n"/>
      <c r="S87" s="435" t="n"/>
      <c r="T87" s="435" t="n"/>
      <c r="U87" s="435" t="n"/>
      <c r="V87" s="435" t="n"/>
      <c r="W87" s="435" t="n"/>
      <c r="X87" s="435" t="n"/>
      <c r="Y87" s="435" t="n"/>
      <c r="Z87" s="435" t="n"/>
      <c r="AA87" s="435" t="n"/>
      <c r="AQ87" s="224" t="n"/>
    </row>
    <row r="88" s="225">
      <c r="A88" s="435" t="n"/>
      <c r="B88" s="435" t="n"/>
      <c r="C88" s="435" t="n"/>
      <c r="D88" s="435" t="n"/>
      <c r="E88" s="435" t="n"/>
      <c r="F88" s="435" t="n"/>
      <c r="G88" s="435" t="n"/>
      <c r="H88" s="435" t="n"/>
      <c r="I88" s="435" t="n"/>
      <c r="J88" s="435" t="n"/>
      <c r="K88" s="435" t="n"/>
      <c r="L88" s="435" t="n"/>
      <c r="M88" s="435" t="n"/>
      <c r="N88" s="435" t="n"/>
      <c r="O88" s="435" t="n"/>
      <c r="P88" s="435" t="n"/>
      <c r="Q88" s="435" t="n"/>
      <c r="R88" s="435" t="n"/>
      <c r="S88" s="435" t="n"/>
      <c r="T88" s="435" t="n"/>
      <c r="U88" s="435" t="n"/>
      <c r="V88" s="435" t="n"/>
      <c r="W88" s="435" t="n"/>
      <c r="X88" s="435" t="n"/>
      <c r="Y88" s="435" t="n"/>
      <c r="Z88" s="435" t="n"/>
      <c r="AA88" s="435" t="n"/>
      <c r="AQ88" s="224" t="n"/>
    </row>
    <row r="89" s="225">
      <c r="A89" s="435" t="n"/>
      <c r="B89" s="435" t="n"/>
      <c r="C89" s="435" t="n"/>
      <c r="D89" s="435" t="n"/>
      <c r="E89" s="435" t="n"/>
      <c r="F89" s="435" t="n"/>
      <c r="G89" s="435" t="n"/>
      <c r="H89" s="435" t="n"/>
      <c r="I89" s="435" t="n"/>
      <c r="J89" s="435" t="n"/>
      <c r="K89" s="435" t="n"/>
      <c r="L89" s="435" t="n"/>
      <c r="M89" s="435" t="n"/>
      <c r="N89" s="435" t="n"/>
      <c r="O89" s="435" t="n"/>
      <c r="P89" s="435" t="n"/>
      <c r="Q89" s="435" t="n"/>
      <c r="R89" s="435" t="n"/>
      <c r="S89" s="435" t="n"/>
      <c r="T89" s="435" t="n"/>
      <c r="U89" s="435" t="n"/>
      <c r="V89" s="435" t="n"/>
      <c r="W89" s="435" t="n"/>
      <c r="X89" s="435" t="n"/>
      <c r="Y89" s="435" t="n"/>
      <c r="Z89" s="435" t="n"/>
      <c r="AA89" s="435" t="n"/>
      <c r="AQ89" s="224" t="n"/>
    </row>
    <row r="90" s="225">
      <c r="A90" s="435" t="n"/>
      <c r="B90" s="435" t="n"/>
      <c r="C90" s="435" t="n"/>
      <c r="D90" s="435" t="n"/>
      <c r="E90" s="435" t="n"/>
      <c r="F90" s="435" t="n"/>
      <c r="G90" s="435" t="n"/>
      <c r="H90" s="435" t="n"/>
      <c r="I90" s="435" t="n"/>
      <c r="J90" s="435" t="n"/>
      <c r="K90" s="435" t="n"/>
      <c r="L90" s="435" t="n"/>
      <c r="M90" s="435" t="n"/>
      <c r="N90" s="435" t="n"/>
      <c r="O90" s="435" t="n"/>
      <c r="P90" s="435" t="n"/>
      <c r="Q90" s="435" t="n"/>
      <c r="R90" s="435" t="n"/>
      <c r="S90" s="435" t="n"/>
      <c r="T90" s="435" t="n"/>
      <c r="U90" s="435" t="n"/>
      <c r="V90" s="435" t="n"/>
      <c r="W90" s="435" t="n"/>
      <c r="X90" s="435" t="n"/>
      <c r="Y90" s="435" t="n"/>
      <c r="Z90" s="435" t="n"/>
      <c r="AA90" s="435" t="n"/>
      <c r="AQ90" s="224" t="n"/>
    </row>
    <row r="91" s="225">
      <c r="A91" s="435" t="n"/>
      <c r="B91" s="435" t="n"/>
      <c r="C91" s="435" t="n"/>
      <c r="D91" s="435" t="n"/>
      <c r="E91" s="435" t="n"/>
      <c r="F91" s="435" t="n"/>
      <c r="G91" s="435" t="n"/>
      <c r="H91" s="435" t="n"/>
      <c r="I91" s="435" t="n"/>
      <c r="J91" s="435" t="n"/>
      <c r="K91" s="435" t="n"/>
      <c r="L91" s="435" t="n"/>
      <c r="M91" s="435" t="n"/>
      <c r="N91" s="435" t="n"/>
      <c r="O91" s="435" t="n"/>
      <c r="P91" s="435" t="n"/>
      <c r="Q91" s="435" t="n"/>
      <c r="R91" s="435" t="n"/>
      <c r="S91" s="435" t="n"/>
      <c r="T91" s="435" t="n"/>
      <c r="U91" s="435" t="n"/>
      <c r="V91" s="435" t="n"/>
      <c r="W91" s="435" t="n"/>
      <c r="X91" s="435" t="n"/>
      <c r="Y91" s="435" t="n"/>
      <c r="Z91" s="435" t="n"/>
      <c r="AA91" s="435" t="n"/>
      <c r="AQ91" s="224" t="n"/>
    </row>
    <row r="92" s="225">
      <c r="A92" s="435" t="n"/>
      <c r="B92" s="435" t="n"/>
      <c r="C92" s="435" t="n"/>
      <c r="D92" s="435" t="n"/>
      <c r="E92" s="435" t="n"/>
      <c r="F92" s="435" t="n"/>
      <c r="G92" s="435" t="n"/>
      <c r="H92" s="435" t="n"/>
      <c r="I92" s="435" t="n"/>
      <c r="J92" s="435" t="n"/>
      <c r="K92" s="435" t="n"/>
      <c r="L92" s="435" t="n"/>
      <c r="M92" s="435" t="n"/>
      <c r="N92" s="435" t="n"/>
      <c r="O92" s="435" t="n"/>
      <c r="P92" s="435" t="n"/>
      <c r="Q92" s="435" t="n"/>
      <c r="R92" s="435" t="n"/>
      <c r="S92" s="435" t="n"/>
      <c r="T92" s="435" t="n"/>
      <c r="U92" s="435" t="n"/>
      <c r="V92" s="435" t="n"/>
      <c r="W92" s="435" t="n"/>
      <c r="X92" s="435" t="n"/>
      <c r="Y92" s="435" t="n"/>
      <c r="Z92" s="435" t="n"/>
      <c r="AA92" s="435" t="n"/>
      <c r="AQ92" s="224" t="n"/>
    </row>
    <row r="93" s="225">
      <c r="A93" s="435" t="n"/>
      <c r="B93" s="435" t="n"/>
      <c r="C93" s="435" t="n"/>
      <c r="D93" s="435" t="n"/>
      <c r="E93" s="435" t="n"/>
      <c r="F93" s="435" t="n"/>
      <c r="G93" s="435" t="n"/>
      <c r="H93" s="435" t="n"/>
      <c r="I93" s="435" t="n"/>
      <c r="J93" s="435" t="n"/>
      <c r="K93" s="435" t="n"/>
      <c r="L93" s="435" t="n"/>
      <c r="M93" s="435" t="n"/>
      <c r="N93" s="435" t="n"/>
      <c r="O93" s="435" t="n"/>
      <c r="P93" s="435" t="n"/>
      <c r="Q93" s="435" t="n"/>
      <c r="R93" s="435" t="n"/>
      <c r="S93" s="435" t="n"/>
      <c r="T93" s="435" t="n"/>
      <c r="U93" s="435" t="n"/>
      <c r="V93" s="435" t="n"/>
      <c r="W93" s="435" t="n"/>
      <c r="X93" s="435" t="n"/>
      <c r="Y93" s="435" t="n"/>
      <c r="Z93" s="435" t="n"/>
      <c r="AA93" s="435" t="n"/>
      <c r="AQ93" s="224" t="n"/>
    </row>
    <row r="94" s="225">
      <c r="A94" s="435" t="n"/>
      <c r="B94" s="435" t="n"/>
      <c r="C94" s="435" t="n"/>
      <c r="D94" s="435" t="n"/>
      <c r="E94" s="435" t="n"/>
      <c r="F94" s="435" t="n"/>
      <c r="G94" s="435" t="n"/>
      <c r="H94" s="435" t="n"/>
      <c r="I94" s="435" t="n"/>
      <c r="J94" s="435" t="n"/>
      <c r="K94" s="435" t="n"/>
      <c r="L94" s="435" t="n"/>
      <c r="M94" s="435" t="n"/>
      <c r="N94" s="435" t="n"/>
      <c r="O94" s="435" t="n"/>
      <c r="P94" s="435" t="n"/>
      <c r="Q94" s="435" t="n"/>
      <c r="R94" s="435" t="n"/>
      <c r="S94" s="435" t="n"/>
      <c r="T94" s="435" t="n"/>
      <c r="U94" s="435" t="n"/>
      <c r="V94" s="435" t="n"/>
      <c r="W94" s="435" t="n"/>
      <c r="X94" s="435" t="n"/>
      <c r="Y94" s="435" t="n"/>
      <c r="Z94" s="435" t="n"/>
      <c r="AA94" s="435" t="n"/>
      <c r="AQ94" s="224" t="n"/>
    </row>
    <row r="95" s="225">
      <c r="D95" s="224" t="n"/>
      <c r="E95" s="224" t="n"/>
      <c r="AQ95" s="224" t="n"/>
    </row>
    <row r="96" s="225">
      <c r="D96" s="224" t="n"/>
      <c r="E96" s="224" t="n"/>
      <c r="AQ96" s="224" t="n"/>
    </row>
    <row r="97" s="225">
      <c r="D97" s="224" t="n"/>
      <c r="E97" s="224" t="n"/>
      <c r="AQ97" s="224" t="n"/>
    </row>
    <row r="98" s="225">
      <c r="D98" s="224" t="n"/>
      <c r="E98" s="224" t="n"/>
      <c r="AQ98" s="224" t="n"/>
    </row>
    <row r="99" s="225">
      <c r="D99" s="224" t="n"/>
      <c r="E99" s="224" t="n"/>
      <c r="AQ99" s="224" t="n"/>
    </row>
    <row r="100" s="225">
      <c r="D100" s="224" t="n"/>
      <c r="E100" s="224" t="n"/>
      <c r="AQ100" s="224" t="n"/>
    </row>
    <row r="101" s="225">
      <c r="D101" s="224" t="n"/>
      <c r="E101" s="224" t="n"/>
      <c r="AQ101" s="224" t="n"/>
    </row>
    <row r="102" s="225">
      <c r="D102" s="224" t="n"/>
      <c r="E102" s="224" t="n"/>
      <c r="AQ102" s="224" t="n"/>
    </row>
    <row r="103" s="225">
      <c r="D103" s="224" t="n"/>
      <c r="E103" s="224" t="n"/>
      <c r="AQ103" s="224" t="n"/>
    </row>
    <row r="104" s="225">
      <c r="D104" s="224" t="n"/>
      <c r="E104" s="224" t="n"/>
      <c r="AQ104" s="224" t="n"/>
    </row>
    <row r="105" s="225">
      <c r="D105" s="224" t="n"/>
      <c r="E105" s="224" t="n"/>
      <c r="AQ105" s="224" t="n"/>
    </row>
    <row r="106" s="225">
      <c r="D106" s="224" t="n"/>
      <c r="E106" s="224" t="n"/>
      <c r="AQ106" s="224" t="n"/>
    </row>
    <row r="107" s="225">
      <c r="D107" s="224" t="n"/>
      <c r="E107" s="224" t="n"/>
      <c r="AQ107" s="224" t="n"/>
    </row>
    <row r="108" s="225">
      <c r="D108" s="224" t="n"/>
      <c r="E108" s="224" t="n"/>
      <c r="AQ108" s="224" t="n"/>
    </row>
    <row r="109" s="225">
      <c r="D109" s="224" t="n"/>
      <c r="E109" s="224" t="n"/>
      <c r="AQ109" s="224" t="n"/>
    </row>
    <row r="110" s="225">
      <c r="D110" s="224" t="n"/>
      <c r="E110" s="224" t="n"/>
      <c r="AQ110" s="224" t="n"/>
    </row>
    <row r="111" s="225">
      <c r="D111" s="224" t="n"/>
      <c r="E111" s="224" t="n"/>
      <c r="AQ111" s="224" t="n"/>
    </row>
    <row r="112" s="225">
      <c r="D112" s="224" t="n"/>
      <c r="E112" s="224" t="n"/>
      <c r="AQ112" s="224" t="n"/>
    </row>
    <row r="113" s="225">
      <c r="D113" s="224" t="n"/>
      <c r="E113" s="224" t="n"/>
      <c r="AQ113" s="224" t="n"/>
    </row>
    <row r="114" s="225">
      <c r="D114" s="224" t="n"/>
      <c r="E114" s="224" t="n"/>
      <c r="AQ114" s="224" t="n"/>
    </row>
    <row r="115" s="225">
      <c r="D115" s="224" t="n"/>
      <c r="E115" s="224" t="n"/>
      <c r="AQ115" s="224" t="n"/>
    </row>
    <row r="116" s="225">
      <c r="D116" s="224" t="n"/>
      <c r="E116" s="224" t="n"/>
      <c r="AQ116" s="224" t="n"/>
    </row>
    <row r="117" s="225">
      <c r="D117" s="224" t="n"/>
      <c r="E117" s="224" t="n"/>
      <c r="AQ117" s="224" t="n"/>
    </row>
    <row r="118" s="225">
      <c r="D118" s="224" t="n"/>
      <c r="E118" s="224" t="n"/>
      <c r="AQ118" s="224" t="n"/>
    </row>
    <row r="119" s="225">
      <c r="D119" s="224" t="n"/>
      <c r="E119" s="224" t="n"/>
      <c r="AQ119" s="224" t="n"/>
    </row>
    <row r="120" s="225">
      <c r="D120" s="224" t="n"/>
      <c r="E120" s="224" t="n"/>
      <c r="AQ120" s="224" t="n"/>
    </row>
    <row r="121" s="225">
      <c r="D121" s="224" t="n"/>
      <c r="E121" s="224" t="n"/>
      <c r="AQ121" s="224" t="n"/>
    </row>
    <row r="122" s="225">
      <c r="D122" s="224" t="n"/>
      <c r="E122" s="224" t="n"/>
      <c r="AQ122" s="224" t="n"/>
    </row>
    <row r="123" s="225">
      <c r="D123" s="224" t="n"/>
      <c r="E123" s="224" t="n"/>
      <c r="AQ123" s="224" t="n"/>
    </row>
    <row r="124" s="225">
      <c r="D124" s="224" t="n"/>
      <c r="E124" s="224" t="n"/>
      <c r="AQ124" s="224" t="n"/>
    </row>
    <row r="125" s="225">
      <c r="D125" s="224" t="n"/>
      <c r="E125" s="224" t="n"/>
      <c r="AQ125" s="224" t="n"/>
    </row>
    <row r="126" s="225">
      <c r="D126" s="224" t="n"/>
      <c r="E126" s="224" t="n"/>
      <c r="AQ126" s="224" t="n"/>
    </row>
    <row r="127" s="225">
      <c r="D127" s="224" t="n"/>
      <c r="E127" s="224" t="n"/>
      <c r="AQ127" s="224" t="n"/>
    </row>
    <row r="128" s="225">
      <c r="D128" s="224" t="n"/>
      <c r="E128" s="224" t="n"/>
      <c r="AQ128" s="224" t="n"/>
    </row>
    <row r="129" s="225">
      <c r="D129" s="224" t="n"/>
      <c r="E129" s="224" t="n"/>
      <c r="AQ129" s="224" t="n"/>
    </row>
    <row r="130" s="225">
      <c r="D130" s="224" t="n"/>
      <c r="E130" s="224" t="n"/>
      <c r="AQ130" s="224" t="n"/>
    </row>
    <row r="131" s="225">
      <c r="D131" s="224" t="n"/>
      <c r="E131" s="224" t="n"/>
      <c r="AQ131" s="224" t="n"/>
    </row>
    <row r="132" s="225">
      <c r="D132" s="224" t="n"/>
      <c r="E132" s="224" t="n"/>
      <c r="AQ132" s="224" t="n"/>
    </row>
    <row r="133" s="225">
      <c r="D133" s="224" t="n"/>
      <c r="E133" s="224" t="n"/>
      <c r="AQ133" s="224" t="n"/>
    </row>
    <row r="134" s="225">
      <c r="D134" s="224" t="n"/>
      <c r="E134" s="224" t="n"/>
      <c r="AQ134" s="224" t="n"/>
    </row>
    <row r="135" s="225">
      <c r="D135" s="224" t="n"/>
      <c r="E135" s="224" t="n"/>
      <c r="AQ135" s="224" t="n"/>
    </row>
    <row r="136" s="225">
      <c r="D136" s="224" t="n"/>
      <c r="E136" s="224" t="n"/>
      <c r="AQ136" s="224" t="n"/>
    </row>
    <row r="137" s="225">
      <c r="D137" s="224" t="n"/>
      <c r="E137" s="224" t="n"/>
      <c r="AQ137" s="224" t="n"/>
    </row>
    <row r="138" s="225">
      <c r="D138" s="224" t="n"/>
      <c r="E138" s="224" t="n"/>
      <c r="AQ138" s="224" t="n"/>
    </row>
    <row r="139" s="225">
      <c r="D139" s="224" t="n"/>
      <c r="E139" s="224" t="n"/>
      <c r="AQ139" s="224" t="n"/>
    </row>
    <row r="140" s="225">
      <c r="D140" s="224" t="n"/>
      <c r="E140" s="224" t="n"/>
      <c r="AQ140" s="224" t="n"/>
    </row>
    <row r="141" s="225">
      <c r="D141" s="224" t="n"/>
      <c r="E141" s="224" t="n"/>
      <c r="AQ141" s="224" t="n"/>
    </row>
    <row r="142" s="225">
      <c r="D142" s="224" t="n"/>
      <c r="E142" s="224" t="n"/>
      <c r="AQ142" s="224" t="n"/>
    </row>
    <row r="143" s="225">
      <c r="D143" s="224" t="n"/>
      <c r="E143" s="224" t="n"/>
      <c r="AQ143" s="224" t="n"/>
    </row>
    <row r="144" s="225">
      <c r="D144" s="224" t="n"/>
      <c r="E144" s="224" t="n"/>
      <c r="AQ144" s="224" t="n"/>
    </row>
    <row r="145" s="225">
      <c r="D145" s="224" t="n"/>
      <c r="E145" s="224" t="n"/>
      <c r="AQ145" s="224" t="n"/>
    </row>
    <row r="146" s="225">
      <c r="D146" s="224" t="n"/>
      <c r="E146" s="224" t="n"/>
      <c r="AQ146" s="224" t="n"/>
    </row>
    <row r="147" s="225">
      <c r="D147" s="224" t="n"/>
      <c r="E147" s="224" t="n"/>
      <c r="AQ147" s="224" t="n"/>
    </row>
    <row r="148" s="225">
      <c r="D148" s="224" t="n"/>
      <c r="E148" s="224" t="n"/>
      <c r="AQ148" s="224" t="n"/>
    </row>
    <row r="149" s="225">
      <c r="D149" s="224" t="n"/>
      <c r="E149" s="224" t="n"/>
      <c r="AQ149" s="224" t="n"/>
    </row>
    <row r="150" s="225">
      <c r="D150" s="224" t="n"/>
      <c r="E150" s="224" t="n"/>
      <c r="AQ150" s="224" t="n"/>
    </row>
    <row r="151" s="225">
      <c r="D151" s="224" t="n"/>
      <c r="E151" s="224" t="n"/>
      <c r="AQ151" s="224" t="n"/>
    </row>
    <row r="152" s="225">
      <c r="D152" s="224" t="n"/>
      <c r="E152" s="224" t="n"/>
      <c r="AQ152" s="224" t="n"/>
    </row>
    <row r="153" s="225">
      <c r="D153" s="224" t="n"/>
      <c r="E153" s="224" t="n"/>
      <c r="AQ153" s="224" t="n"/>
    </row>
    <row r="154" s="225">
      <c r="D154" s="224" t="n"/>
      <c r="E154" s="224" t="n"/>
      <c r="AQ154" s="224" t="n"/>
    </row>
    <row r="155" s="225">
      <c r="D155" s="224" t="n"/>
      <c r="E155" s="224" t="n"/>
      <c r="AQ155" s="224" t="n"/>
    </row>
    <row r="156" s="225">
      <c r="D156" s="224" t="n"/>
      <c r="E156" s="224" t="n"/>
      <c r="AQ156" s="224" t="n"/>
    </row>
    <row r="157" s="225">
      <c r="D157" s="224" t="n"/>
      <c r="E157" s="224" t="n"/>
      <c r="AQ157" s="224" t="n"/>
    </row>
    <row r="158" s="225">
      <c r="D158" s="224" t="n"/>
      <c r="E158" s="224" t="n"/>
      <c r="AQ158" s="224" t="n"/>
    </row>
    <row r="159" s="225">
      <c r="D159" s="224" t="n"/>
      <c r="E159" s="224" t="n"/>
      <c r="AQ159" s="224" t="n"/>
    </row>
    <row r="160" s="225">
      <c r="D160" s="224" t="n"/>
      <c r="E160" s="224" t="n"/>
      <c r="AQ160" s="224" t="n"/>
    </row>
    <row r="161" s="225">
      <c r="D161" s="224" t="n"/>
      <c r="E161" s="224" t="n"/>
      <c r="AQ161" s="224" t="n"/>
    </row>
    <row r="162" s="225">
      <c r="D162" s="224" t="n"/>
      <c r="E162" s="224" t="n"/>
      <c r="AQ162" s="224" t="n"/>
    </row>
    <row r="163" s="225">
      <c r="D163" s="224" t="n"/>
      <c r="E163" s="224" t="n"/>
      <c r="AQ163" s="224" t="n"/>
    </row>
    <row r="164" s="225">
      <c r="D164" s="224" t="n"/>
      <c r="E164" s="224" t="n"/>
      <c r="AQ164" s="224" t="n"/>
    </row>
    <row r="165" s="225">
      <c r="D165" s="224" t="n"/>
      <c r="E165" s="224" t="n"/>
      <c r="AQ165" s="224" t="n"/>
    </row>
    <row r="166" s="225">
      <c r="D166" s="224" t="n"/>
      <c r="E166" s="224" t="n"/>
      <c r="AQ166" s="224" t="n"/>
    </row>
    <row r="167" s="225">
      <c r="D167" s="224" t="n"/>
      <c r="E167" s="224" t="n"/>
      <c r="AQ167" s="224" t="n"/>
    </row>
    <row r="168" s="225">
      <c r="D168" s="224" t="n"/>
      <c r="E168" s="224" t="n"/>
      <c r="AQ168" s="224" t="n"/>
    </row>
    <row r="169" s="225">
      <c r="D169" s="224" t="n"/>
      <c r="E169" s="224" t="n"/>
      <c r="AQ169" s="224" t="n"/>
    </row>
    <row r="170" s="225">
      <c r="D170" s="224" t="n"/>
      <c r="E170" s="224" t="n"/>
      <c r="AQ170" s="224" t="n"/>
    </row>
    <row r="171" s="225">
      <c r="D171" s="224" t="n"/>
      <c r="E171" s="224" t="n"/>
      <c r="AQ171" s="224" t="n"/>
    </row>
    <row r="172" s="225">
      <c r="D172" s="224" t="n"/>
      <c r="E172" s="224" t="n"/>
      <c r="AQ172" s="224" t="n"/>
    </row>
    <row r="173" s="225">
      <c r="D173" s="224" t="n"/>
      <c r="E173" s="224" t="n"/>
      <c r="AQ173" s="224" t="n"/>
    </row>
    <row r="174" s="225">
      <c r="D174" s="224" t="n"/>
      <c r="E174" s="224" t="n"/>
      <c r="AQ174" s="224" t="n"/>
    </row>
    <row r="175" s="225">
      <c r="D175" s="224" t="n"/>
      <c r="E175" s="224" t="n"/>
      <c r="AQ175" s="224" t="n"/>
    </row>
    <row r="176" s="225">
      <c r="D176" s="224" t="n"/>
      <c r="E176" s="224" t="n"/>
      <c r="AQ176" s="224" t="n"/>
    </row>
    <row r="177" s="225">
      <c r="D177" s="224" t="n"/>
      <c r="E177" s="224" t="n"/>
      <c r="AQ177" s="224" t="n"/>
    </row>
    <row r="178" s="225">
      <c r="D178" s="224" t="n"/>
      <c r="E178" s="224" t="n"/>
      <c r="AQ178" s="224" t="n"/>
    </row>
    <row r="179" s="225">
      <c r="D179" s="224" t="n"/>
      <c r="E179" s="224" t="n"/>
      <c r="AQ179" s="224" t="n"/>
    </row>
    <row r="180" s="225">
      <c r="D180" s="224" t="n"/>
      <c r="E180" s="224" t="n"/>
      <c r="AQ180" s="224" t="n"/>
    </row>
    <row r="181" s="225">
      <c r="D181" s="224" t="n"/>
      <c r="E181" s="224" t="n"/>
      <c r="AQ181" s="224" t="n"/>
    </row>
    <row r="182" s="225">
      <c r="D182" s="224" t="n"/>
      <c r="E182" s="224" t="n"/>
      <c r="AQ182" s="224" t="n"/>
    </row>
    <row r="183" s="225">
      <c r="D183" s="224" t="n"/>
      <c r="E183" s="224" t="n"/>
      <c r="AQ183" s="224" t="n"/>
    </row>
    <row r="184" s="225">
      <c r="D184" s="224" t="n"/>
      <c r="E184" s="224" t="n"/>
      <c r="AQ184" s="224" t="n"/>
    </row>
    <row r="185" s="225">
      <c r="D185" s="224" t="n"/>
      <c r="E185" s="224" t="n"/>
      <c r="AQ185" s="224" t="n"/>
    </row>
    <row r="186" s="225">
      <c r="D186" s="224" t="n"/>
      <c r="E186" s="224" t="n"/>
      <c r="AQ186" s="224" t="n"/>
    </row>
    <row r="187" s="225">
      <c r="D187" s="224" t="n"/>
      <c r="E187" s="224" t="n"/>
      <c r="AQ187" s="224" t="n"/>
    </row>
    <row r="188" s="225">
      <c r="D188" s="224" t="n"/>
      <c r="E188" s="224" t="n"/>
      <c r="AQ188" s="224" t="n"/>
    </row>
    <row r="189" s="225">
      <c r="D189" s="224" t="n"/>
      <c r="E189" s="224" t="n"/>
      <c r="AQ189" s="224" t="n"/>
    </row>
    <row r="190" s="225">
      <c r="D190" s="224" t="n"/>
      <c r="E190" s="224" t="n"/>
      <c r="AQ190" s="224" t="n"/>
    </row>
    <row r="191" s="225">
      <c r="D191" s="224" t="n"/>
      <c r="E191" s="224" t="n"/>
      <c r="AQ191" s="224" t="n"/>
    </row>
    <row r="192" s="225">
      <c r="D192" s="224" t="n"/>
      <c r="E192" s="224" t="n"/>
      <c r="AQ192" s="224" t="n"/>
    </row>
    <row r="193" s="225">
      <c r="D193" s="224" t="n"/>
      <c r="E193" s="224" t="n"/>
      <c r="AQ193" s="224" t="n"/>
    </row>
    <row r="194" s="225">
      <c r="D194" s="224" t="n"/>
      <c r="E194" s="224" t="n"/>
      <c r="AQ194" s="224" t="n"/>
    </row>
    <row r="195" s="225">
      <c r="D195" s="224" t="n"/>
      <c r="E195" s="224" t="n"/>
      <c r="AQ195" s="224" t="n"/>
    </row>
    <row r="196" s="225">
      <c r="D196" s="224" t="n"/>
      <c r="E196" s="224" t="n"/>
      <c r="AQ196" s="224" t="n"/>
    </row>
    <row r="197" s="225">
      <c r="D197" s="224" t="n"/>
      <c r="E197" s="224" t="n"/>
      <c r="AQ197" s="224" t="n"/>
    </row>
    <row r="198" s="225">
      <c r="D198" s="224" t="n"/>
      <c r="E198" s="224" t="n"/>
      <c r="AQ198" s="224" t="n"/>
    </row>
    <row r="199" s="225">
      <c r="D199" s="224" t="n"/>
      <c r="E199" s="224" t="n"/>
      <c r="AQ199" s="224" t="n"/>
    </row>
    <row r="200" s="225">
      <c r="D200" s="224" t="n"/>
      <c r="E200" s="224" t="n"/>
      <c r="AQ200" s="224" t="n"/>
    </row>
    <row r="201" s="225">
      <c r="D201" s="224" t="n"/>
      <c r="E201" s="224" t="n"/>
      <c r="AQ201" s="224" t="n"/>
    </row>
    <row r="202" s="225">
      <c r="D202" s="224" t="n"/>
      <c r="E202" s="224" t="n"/>
      <c r="AQ202" s="224" t="n"/>
    </row>
    <row r="203" s="225">
      <c r="D203" s="224" t="n"/>
      <c r="E203" s="224" t="n"/>
      <c r="AQ203" s="224" t="n"/>
    </row>
    <row r="204" s="225">
      <c r="D204" s="224" t="n"/>
      <c r="E204" s="224" t="n"/>
      <c r="AQ204" s="224" t="n"/>
    </row>
    <row r="205" s="225">
      <c r="D205" s="224" t="n"/>
      <c r="E205" s="224" t="n"/>
      <c r="AQ205" s="224" t="n"/>
    </row>
    <row r="206" s="225">
      <c r="D206" s="224" t="n"/>
      <c r="E206" s="224" t="n"/>
      <c r="AQ206" s="224" t="n"/>
    </row>
    <row r="207" s="225">
      <c r="D207" s="224" t="n"/>
      <c r="E207" s="224" t="n"/>
      <c r="AQ207" s="224" t="n"/>
    </row>
    <row r="208" s="225">
      <c r="D208" s="224" t="n"/>
      <c r="E208" s="224" t="n"/>
      <c r="AQ208" s="224" t="n"/>
    </row>
    <row r="209" s="225">
      <c r="D209" s="224" t="n"/>
      <c r="E209" s="224" t="n"/>
      <c r="AQ209" s="224" t="n"/>
    </row>
    <row r="210" s="225">
      <c r="D210" s="224" t="n"/>
      <c r="E210" s="224" t="n"/>
      <c r="AQ210" s="224" t="n"/>
    </row>
    <row r="211" s="225">
      <c r="D211" s="224" t="n"/>
      <c r="E211" s="224" t="n"/>
      <c r="AQ211" s="224" t="n"/>
    </row>
    <row r="212" s="225">
      <c r="D212" s="224" t="n"/>
      <c r="E212" s="224" t="n"/>
      <c r="AQ212" s="224" t="n"/>
    </row>
    <row r="213" s="225">
      <c r="D213" s="224" t="n"/>
      <c r="E213" s="224" t="n"/>
      <c r="AQ213" s="224" t="n"/>
    </row>
    <row r="214" s="225">
      <c r="D214" s="224" t="n"/>
      <c r="E214" s="224" t="n"/>
      <c r="AQ214" s="224" t="n"/>
    </row>
    <row r="215" s="225">
      <c r="D215" s="224" t="n"/>
      <c r="E215" s="224" t="n"/>
      <c r="AQ215" s="224" t="n"/>
    </row>
    <row r="216" s="225">
      <c r="D216" s="224" t="n"/>
      <c r="E216" s="224" t="n"/>
      <c r="AQ216" s="224" t="n"/>
    </row>
    <row r="217" s="225">
      <c r="D217" s="224" t="n"/>
      <c r="E217" s="224" t="n"/>
      <c r="AQ217" s="224" t="n"/>
    </row>
    <row r="218" s="225">
      <c r="D218" s="224" t="n"/>
      <c r="E218" s="224" t="n"/>
      <c r="AQ218" s="224" t="n"/>
    </row>
    <row r="219" s="225">
      <c r="D219" s="224" t="n"/>
      <c r="E219" s="224" t="n"/>
      <c r="AQ219" s="224" t="n"/>
    </row>
    <row r="220" s="225">
      <c r="D220" s="224" t="n"/>
      <c r="E220" s="224" t="n"/>
      <c r="AQ220" s="224" t="n"/>
    </row>
    <row r="221" s="225">
      <c r="D221" s="224" t="n"/>
      <c r="E221" s="224" t="n"/>
      <c r="AQ221" s="224" t="n"/>
    </row>
    <row r="222" s="225">
      <c r="D222" s="224" t="n"/>
      <c r="E222" s="224" t="n"/>
      <c r="AQ222" s="224" t="n"/>
    </row>
    <row r="223" s="225">
      <c r="D223" s="224" t="n"/>
      <c r="E223" s="224" t="n"/>
    </row>
    <row r="224" s="225">
      <c r="D224" s="224" t="n"/>
      <c r="E224" s="224" t="n"/>
    </row>
    <row r="225" s="225">
      <c r="D225" s="224" t="n"/>
      <c r="E225" s="224" t="n"/>
    </row>
    <row r="226" s="225">
      <c r="D226" s="224" t="n"/>
      <c r="E226" s="224" t="n"/>
    </row>
    <row r="227" s="225">
      <c r="D227" s="224" t="n"/>
      <c r="E227" s="224" t="n"/>
    </row>
    <row r="228" s="225">
      <c r="D228" s="224" t="n"/>
      <c r="E228" s="224" t="n"/>
    </row>
    <row r="229" s="225">
      <c r="D229" s="224" t="n"/>
      <c r="E229" s="224" t="n"/>
    </row>
    <row r="230" s="225">
      <c r="D230" s="224" t="n"/>
      <c r="E230" s="224" t="n"/>
    </row>
    <row r="231" s="225">
      <c r="D231" s="224" t="n"/>
      <c r="E231" s="224" t="n"/>
    </row>
    <row r="232" s="225">
      <c r="D232" s="224" t="n"/>
      <c r="E232" s="224" t="n"/>
    </row>
    <row r="233" s="225">
      <c r="D233" s="224" t="n"/>
      <c r="E233" s="224" t="n"/>
    </row>
    <row r="234" s="225">
      <c r="D234" s="224" t="n"/>
      <c r="E234" s="224" t="n"/>
    </row>
    <row r="235" s="225">
      <c r="D235" s="224" t="n"/>
      <c r="E235" s="224" t="n"/>
    </row>
    <row r="236" s="225">
      <c r="D236" s="224" t="n"/>
      <c r="E236" s="224" t="n"/>
    </row>
    <row r="237" s="225">
      <c r="D237" s="224" t="n"/>
      <c r="E237" s="224" t="n"/>
    </row>
    <row r="238" s="225">
      <c r="D238" s="224" t="n"/>
      <c r="E238" s="224" t="n"/>
    </row>
    <row r="239" s="225">
      <c r="D239" s="224" t="n"/>
      <c r="E239" s="224" t="n"/>
    </row>
    <row r="240" s="225">
      <c r="D240" s="224" t="n"/>
      <c r="E240" s="224" t="n"/>
    </row>
    <row r="241" s="225">
      <c r="D241" s="224" t="n"/>
      <c r="E241" s="224" t="n"/>
    </row>
    <row r="242" s="225">
      <c r="D242" s="224" t="n"/>
      <c r="E242" s="224" t="n"/>
    </row>
    <row r="243" s="225">
      <c r="D243" s="224" t="n"/>
      <c r="E243" s="224" t="n"/>
    </row>
    <row r="244" s="225">
      <c r="D244" s="224" t="n"/>
      <c r="E244" s="224" t="n"/>
    </row>
    <row r="245" s="225">
      <c r="D245" s="224" t="n"/>
      <c r="E245" s="224" t="n"/>
    </row>
    <row r="246" s="225">
      <c r="D246" s="224" t="n"/>
      <c r="E246" s="224" t="n"/>
    </row>
    <row r="247" s="225">
      <c r="D247" s="224" t="n"/>
      <c r="E247" s="224" t="n"/>
    </row>
    <row r="248" s="225">
      <c r="D248" s="224" t="n"/>
      <c r="E248" s="224" t="n"/>
    </row>
    <row r="249" s="225">
      <c r="D249" s="224" t="n"/>
      <c r="E249" s="224" t="n"/>
    </row>
    <row r="250" s="225">
      <c r="D250" s="224" t="n"/>
      <c r="E250" s="224" t="n"/>
    </row>
    <row r="251" s="225">
      <c r="D251" s="224" t="n"/>
      <c r="E251" s="224" t="n"/>
    </row>
    <row r="252" s="225">
      <c r="D252" s="224" t="n"/>
      <c r="E252" s="224" t="n"/>
    </row>
    <row r="253" s="225">
      <c r="D253" s="224" t="n"/>
      <c r="E253" s="224" t="n"/>
    </row>
    <row r="254" s="225">
      <c r="D254" s="224" t="n"/>
      <c r="E254" s="224" t="n"/>
    </row>
    <row r="255" s="225">
      <c r="D255" s="224" t="n"/>
      <c r="E255" s="224" t="n"/>
    </row>
    <row r="256" s="225">
      <c r="D256" s="224" t="n"/>
      <c r="E256" s="224" t="n"/>
    </row>
    <row r="257" s="225">
      <c r="D257" s="224" t="n"/>
      <c r="E257" s="224" t="n"/>
    </row>
    <row r="258" s="225">
      <c r="D258" s="224" t="n"/>
      <c r="E258" s="224" t="n"/>
    </row>
    <row r="259" s="225">
      <c r="D259" s="224" t="n"/>
      <c r="E259" s="224" t="n"/>
    </row>
    <row r="260" s="225">
      <c r="D260" s="224" t="n"/>
      <c r="E260" s="224" t="n"/>
    </row>
    <row r="261" s="225">
      <c r="D261" s="224" t="n"/>
      <c r="E261" s="224" t="n"/>
    </row>
    <row r="262" s="225">
      <c r="D262" s="224" t="n"/>
      <c r="E262" s="224" t="n"/>
    </row>
    <row r="263" s="225">
      <c r="D263" s="224" t="n"/>
      <c r="E263" s="224" t="n"/>
    </row>
    <row r="264" s="225">
      <c r="D264" s="224" t="n"/>
      <c r="E264" s="224" t="n"/>
    </row>
    <row r="265" s="225">
      <c r="D265" s="224" t="n"/>
      <c r="E265" s="224" t="n"/>
    </row>
    <row r="266" s="225">
      <c r="D266" s="224" t="n"/>
      <c r="E266" s="224" t="n"/>
    </row>
    <row r="267" s="225">
      <c r="D267" s="224" t="n"/>
      <c r="E267" s="224" t="n"/>
    </row>
    <row r="268" s="225">
      <c r="D268" s="224" t="n"/>
      <c r="E268" s="224" t="n"/>
    </row>
    <row r="269" s="225">
      <c r="D269" s="224" t="n"/>
      <c r="E269" s="224" t="n"/>
    </row>
    <row r="270" s="225">
      <c r="D270" s="224" t="n"/>
      <c r="E270" s="224" t="n"/>
    </row>
    <row r="271" s="225">
      <c r="D271" s="224" t="n"/>
      <c r="E271" s="224" t="n"/>
    </row>
    <row r="272" s="225">
      <c r="D272" s="224" t="n"/>
      <c r="E272" s="224" t="n"/>
    </row>
    <row r="273" s="225">
      <c r="D273" s="224" t="n"/>
      <c r="E273" s="224" t="n"/>
    </row>
    <row r="274" s="225">
      <c r="D274" s="224" t="n"/>
      <c r="E274" s="224" t="n"/>
    </row>
    <row r="275" s="225">
      <c r="D275" s="224" t="n"/>
      <c r="E275" s="224" t="n"/>
    </row>
    <row r="276" s="225">
      <c r="D276" s="224" t="n"/>
      <c r="E276" s="224" t="n"/>
    </row>
    <row r="277" s="225">
      <c r="D277" s="224" t="n"/>
      <c r="E277" s="224" t="n"/>
    </row>
    <row r="278" s="225">
      <c r="D278" s="224" t="n"/>
      <c r="E278" s="224" t="n"/>
    </row>
    <row r="279" s="225">
      <c r="D279" s="224" t="n"/>
      <c r="E279" s="224" t="n"/>
    </row>
    <row r="280" s="225">
      <c r="D280" s="224" t="n"/>
      <c r="E280" s="224" t="n"/>
    </row>
    <row r="281" s="225">
      <c r="D281" s="224" t="n"/>
      <c r="E281" s="224" t="n"/>
    </row>
    <row r="282" s="225">
      <c r="D282" s="224" t="n"/>
      <c r="E282" s="224" t="n"/>
    </row>
    <row r="283" s="225">
      <c r="D283" s="224" t="n"/>
      <c r="E283" s="224" t="n"/>
    </row>
    <row r="284" s="225">
      <c r="D284" s="224" t="n"/>
      <c r="E284" s="224" t="n"/>
    </row>
    <row r="285" s="225">
      <c r="D285" s="224" t="n"/>
      <c r="E285" s="224" t="n"/>
    </row>
    <row r="286" s="225">
      <c r="D286" s="224" t="n"/>
      <c r="E286" s="224" t="n"/>
    </row>
    <row r="287" s="225">
      <c r="D287" s="224" t="n"/>
      <c r="E287" s="224" t="n"/>
    </row>
    <row r="288" s="225">
      <c r="D288" s="224" t="n"/>
      <c r="E288" s="224" t="n"/>
    </row>
    <row r="289" s="225">
      <c r="D289" s="224" t="n"/>
      <c r="E289" s="224" t="n"/>
    </row>
    <row r="290" s="225">
      <c r="D290" s="224" t="n"/>
      <c r="E290" s="224" t="n"/>
    </row>
    <row r="291" s="225">
      <c r="D291" s="224" t="n"/>
      <c r="E291" s="224" t="n"/>
    </row>
    <row r="292" s="225">
      <c r="D292" s="224" t="n"/>
      <c r="E292" s="224" t="n"/>
    </row>
    <row r="293" s="225">
      <c r="D293" s="224" t="n"/>
      <c r="E293" s="224" t="n"/>
    </row>
    <row r="294" s="225">
      <c r="D294" s="224" t="n"/>
      <c r="E294" s="224" t="n"/>
    </row>
    <row r="295" s="225">
      <c r="D295" s="224" t="n"/>
      <c r="E295" s="224" t="n"/>
    </row>
    <row r="296" s="225">
      <c r="D296" s="224" t="n"/>
      <c r="E296" s="224" t="n"/>
    </row>
    <row r="297" s="225">
      <c r="D297" s="224" t="n"/>
      <c r="E297" s="224" t="n"/>
    </row>
    <row r="298" s="225">
      <c r="D298" s="224" t="n"/>
      <c r="E298" s="224" t="n"/>
    </row>
    <row r="299" s="225">
      <c r="D299" s="224" t="n"/>
      <c r="E299" s="224" t="n"/>
    </row>
    <row r="300" s="225">
      <c r="D300" s="224" t="n"/>
      <c r="E300" s="224" t="n"/>
    </row>
    <row r="301" s="225">
      <c r="D301" s="224" t="n"/>
      <c r="E301" s="224" t="n"/>
    </row>
    <row r="302" s="225">
      <c r="D302" s="224" t="n"/>
      <c r="E302" s="224" t="n"/>
    </row>
    <row r="303" s="225">
      <c r="D303" s="224" t="n"/>
      <c r="E303" s="224" t="n"/>
    </row>
    <row r="304" s="225">
      <c r="D304" s="224" t="n"/>
      <c r="E304" s="224" t="n"/>
    </row>
    <row r="305" s="225">
      <c r="D305" s="224" t="n"/>
      <c r="E305" s="224" t="n"/>
    </row>
    <row r="306" s="225">
      <c r="D306" s="224" t="n"/>
      <c r="E306" s="224" t="n"/>
    </row>
    <row r="307" s="225">
      <c r="D307" s="224" t="n"/>
      <c r="E307" s="224" t="n"/>
    </row>
    <row r="308" s="225">
      <c r="D308" s="224" t="n"/>
      <c r="E308" s="224" t="n"/>
    </row>
    <row r="309" s="225">
      <c r="D309" s="224" t="n"/>
      <c r="E309" s="224" t="n"/>
    </row>
    <row r="310" s="225">
      <c r="D310" s="224" t="n"/>
      <c r="E310" s="224" t="n"/>
    </row>
    <row r="311" s="225">
      <c r="D311" s="224" t="n"/>
      <c r="E311" s="224" t="n"/>
    </row>
    <row r="312" s="225">
      <c r="D312" s="224" t="n"/>
      <c r="E312" s="224" t="n"/>
    </row>
    <row r="313" s="225">
      <c r="D313" s="224" t="n"/>
      <c r="E313" s="224" t="n"/>
    </row>
    <row r="314" s="225">
      <c r="D314" s="224" t="n"/>
      <c r="E314" s="224" t="n"/>
    </row>
    <row r="315" s="225">
      <c r="D315" s="224" t="n"/>
      <c r="E315" s="224" t="n"/>
    </row>
    <row r="316" s="225">
      <c r="D316" s="224" t="n"/>
      <c r="E316" s="224" t="n"/>
    </row>
    <row r="317" s="225">
      <c r="D317" s="224" t="n"/>
      <c r="E317" s="224" t="n"/>
    </row>
    <row r="318" s="225">
      <c r="D318" s="224" t="n"/>
      <c r="E318" s="224" t="n"/>
    </row>
    <row r="319" s="225">
      <c r="D319" s="224" t="n"/>
      <c r="E319" s="224" t="n"/>
    </row>
    <row r="320" s="225">
      <c r="D320" s="224" t="n"/>
      <c r="E320" s="224" t="n"/>
    </row>
    <row r="321" s="225">
      <c r="D321" s="224" t="n"/>
      <c r="E321" s="224" t="n"/>
    </row>
    <row r="322" s="225">
      <c r="D322" s="224" t="n"/>
      <c r="E322" s="224" t="n"/>
    </row>
    <row r="323" s="225">
      <c r="D323" s="224" t="n"/>
      <c r="E323" s="224" t="n"/>
    </row>
    <row r="324" s="225">
      <c r="D324" s="224" t="n"/>
      <c r="E324" s="224" t="n"/>
    </row>
    <row r="325" s="225">
      <c r="D325" s="224" t="n"/>
      <c r="E325" s="224" t="n"/>
    </row>
    <row r="326" s="225">
      <c r="D326" s="224" t="n"/>
      <c r="E326" s="224" t="n"/>
    </row>
    <row r="327" s="225">
      <c r="D327" s="224" t="n"/>
      <c r="E327" s="224" t="n"/>
    </row>
    <row r="328" s="225">
      <c r="D328" s="224" t="n"/>
      <c r="E328" s="224" t="n"/>
    </row>
    <row r="329" s="225">
      <c r="D329" s="224" t="n"/>
      <c r="E329" s="224" t="n"/>
    </row>
    <row r="330" s="225">
      <c r="D330" s="224" t="n"/>
      <c r="E330" s="224" t="n"/>
    </row>
    <row r="331" s="225">
      <c r="D331" s="224" t="n"/>
      <c r="E331" s="224" t="n"/>
    </row>
    <row r="332" s="225">
      <c r="D332" s="224" t="n"/>
      <c r="E332" s="224" t="n"/>
    </row>
    <row r="333" s="225">
      <c r="D333" s="224" t="n"/>
      <c r="E333" s="224" t="n"/>
    </row>
    <row r="334" s="225">
      <c r="D334" s="224" t="n"/>
      <c r="E334" s="224" t="n"/>
    </row>
    <row r="335" s="225">
      <c r="D335" s="224" t="n"/>
      <c r="E335" s="224" t="n"/>
    </row>
    <row r="336" s="225">
      <c r="D336" s="224" t="n"/>
      <c r="E336" s="224" t="n"/>
    </row>
    <row r="337" s="225">
      <c r="D337" s="224" t="n"/>
      <c r="E337" s="224" t="n"/>
    </row>
    <row r="338" s="225">
      <c r="D338" s="224" t="n"/>
      <c r="E338" s="224" t="n"/>
    </row>
    <row r="339" s="225">
      <c r="D339" s="224" t="n"/>
      <c r="E339" s="224" t="n"/>
    </row>
    <row r="340" s="225">
      <c r="D340" s="224" t="n"/>
      <c r="E340" s="224" t="n"/>
    </row>
    <row r="341" s="225">
      <c r="D341" s="224" t="n"/>
      <c r="E341" s="224" t="n"/>
    </row>
    <row r="342" s="225">
      <c r="D342" s="224" t="n"/>
      <c r="E342" s="224" t="n"/>
    </row>
    <row r="343" s="225">
      <c r="D343" s="224" t="n"/>
      <c r="E343" s="224" t="n"/>
    </row>
    <row r="344" s="225">
      <c r="D344" s="224" t="n"/>
      <c r="E344" s="224" t="n"/>
    </row>
    <row r="345" s="225">
      <c r="D345" s="224" t="n"/>
      <c r="E345" s="224" t="n"/>
    </row>
    <row r="346" s="225">
      <c r="D346" s="224" t="n"/>
      <c r="E346" s="224" t="n"/>
    </row>
    <row r="347" s="225">
      <c r="D347" s="224" t="n"/>
      <c r="E347" s="224" t="n"/>
    </row>
    <row r="348" s="225">
      <c r="D348" s="224" t="n"/>
      <c r="E348" s="224" t="n"/>
    </row>
    <row r="349" s="225">
      <c r="D349" s="224" t="n"/>
      <c r="E349" s="224" t="n"/>
    </row>
    <row r="350" s="225">
      <c r="D350" s="224" t="n"/>
      <c r="E350" s="224" t="n"/>
    </row>
    <row r="351" s="225">
      <c r="D351" s="224" t="n"/>
      <c r="E351" s="224" t="n"/>
    </row>
    <row r="352" s="225">
      <c r="D352" s="224" t="n"/>
      <c r="E352" s="224" t="n"/>
    </row>
    <row r="353" s="225">
      <c r="D353" s="224" t="n"/>
      <c r="E353" s="224" t="n"/>
    </row>
    <row r="354" s="225">
      <c r="D354" s="224" t="n"/>
      <c r="E354" s="224" t="n"/>
    </row>
    <row r="355" s="225">
      <c r="D355" s="224" t="n"/>
      <c r="E355" s="224" t="n"/>
    </row>
    <row r="356" s="225">
      <c r="D356" s="224" t="n"/>
      <c r="E356" s="224" t="n"/>
    </row>
    <row r="357" s="225">
      <c r="D357" s="224" t="n"/>
      <c r="E357" s="224" t="n"/>
    </row>
    <row r="358" s="225">
      <c r="D358" s="224" t="n"/>
      <c r="E358" s="224" t="n"/>
    </row>
    <row r="359" s="225">
      <c r="D359" s="224" t="n"/>
      <c r="E359" s="224" t="n"/>
    </row>
    <row r="360" s="225">
      <c r="D360" s="224" t="n"/>
      <c r="E360" s="224" t="n"/>
    </row>
    <row r="361" s="225">
      <c r="D361" s="224" t="n"/>
      <c r="E361" s="224" t="n"/>
    </row>
    <row r="362" s="225">
      <c r="D362" s="224" t="n"/>
      <c r="E362" s="224" t="n"/>
    </row>
    <row r="363" s="225">
      <c r="D363" s="224" t="n"/>
      <c r="E363" s="224" t="n"/>
    </row>
    <row r="364" s="225">
      <c r="D364" s="224" t="n"/>
      <c r="E364" s="224" t="n"/>
    </row>
    <row r="365" s="225">
      <c r="D365" s="224" t="n"/>
      <c r="E365" s="224" t="n"/>
    </row>
    <row r="366" s="225">
      <c r="D366" s="224" t="n"/>
      <c r="E366" s="224" t="n"/>
    </row>
    <row r="367" s="225">
      <c r="D367" s="224" t="n"/>
      <c r="E367" s="224" t="n"/>
    </row>
    <row r="368" s="225">
      <c r="D368" s="224" t="n"/>
      <c r="E368" s="224" t="n"/>
    </row>
    <row r="369" s="225">
      <c r="D369" s="224" t="n"/>
      <c r="E369" s="224" t="n"/>
    </row>
    <row r="370" s="225">
      <c r="D370" s="224" t="n"/>
      <c r="E370" s="224" t="n"/>
    </row>
    <row r="371" s="225">
      <c r="D371" s="224" t="n"/>
      <c r="E371" s="224" t="n"/>
    </row>
    <row r="372" s="225">
      <c r="D372" s="224" t="n"/>
      <c r="E372" s="224" t="n"/>
    </row>
    <row r="373" s="225">
      <c r="D373" s="224" t="n"/>
      <c r="E373" s="224" t="n"/>
    </row>
    <row r="374" s="225">
      <c r="D374" s="224" t="n"/>
      <c r="E374" s="224" t="n"/>
    </row>
    <row r="375" s="225">
      <c r="D375" s="224" t="n"/>
      <c r="E375" s="224" t="n"/>
    </row>
    <row r="376" s="225">
      <c r="D376" s="224" t="n"/>
      <c r="E376" s="224" t="n"/>
    </row>
    <row r="377" s="225">
      <c r="D377" s="224" t="n"/>
      <c r="E377" s="224" t="n"/>
    </row>
    <row r="378" s="225">
      <c r="D378" s="224" t="n"/>
      <c r="E378" s="224" t="n"/>
    </row>
    <row r="379" s="225">
      <c r="D379" s="224" t="n"/>
      <c r="E379" s="224" t="n"/>
    </row>
    <row r="380" s="225">
      <c r="D380" s="224" t="n"/>
      <c r="E380" s="224" t="n"/>
    </row>
    <row r="381" s="225">
      <c r="D381" s="224" t="n"/>
      <c r="E381" s="224" t="n"/>
    </row>
    <row r="382" s="225">
      <c r="D382" s="224" t="n"/>
      <c r="E382" s="224" t="n"/>
    </row>
    <row r="383" s="225">
      <c r="D383" s="224" t="n"/>
      <c r="E383" s="224" t="n"/>
    </row>
    <row r="384" s="225">
      <c r="D384" s="224" t="n"/>
      <c r="E384" s="224" t="n"/>
    </row>
    <row r="385" s="225">
      <c r="D385" s="224" t="n"/>
      <c r="E385" s="224" t="n"/>
    </row>
    <row r="386" s="225">
      <c r="D386" s="224" t="n"/>
      <c r="E386" s="224" t="n"/>
    </row>
    <row r="387" s="225">
      <c r="D387" s="224" t="n"/>
      <c r="E387" s="224" t="n"/>
    </row>
    <row r="388" s="225">
      <c r="D388" s="224" t="n"/>
      <c r="E388" s="224" t="n"/>
    </row>
    <row r="389" s="225">
      <c r="D389" s="224" t="n"/>
      <c r="E389" s="224" t="n"/>
    </row>
    <row r="390" s="225">
      <c r="D390" s="224" t="n"/>
      <c r="E390" s="224" t="n"/>
    </row>
    <row r="391" s="225">
      <c r="D391" s="224" t="n"/>
      <c r="E391" s="224" t="n"/>
    </row>
    <row r="392" s="225">
      <c r="D392" s="224" t="n"/>
      <c r="E392" s="224" t="n"/>
    </row>
    <row r="393" s="225">
      <c r="D393" s="224" t="n"/>
      <c r="E393" s="224" t="n"/>
    </row>
    <row r="394" s="225">
      <c r="D394" s="224" t="n"/>
      <c r="E394" s="224" t="n"/>
    </row>
    <row r="395" s="225">
      <c r="D395" s="224" t="n"/>
      <c r="E395" s="224" t="n"/>
    </row>
    <row r="396" s="225">
      <c r="D396" s="224" t="n"/>
      <c r="E396" s="224" t="n"/>
    </row>
    <row r="397" s="225">
      <c r="D397" s="224" t="n"/>
      <c r="E397" s="224" t="n"/>
    </row>
    <row r="398" s="225">
      <c r="D398" s="224" t="n"/>
      <c r="E398" s="224" t="n"/>
    </row>
    <row r="399" s="225">
      <c r="D399" s="224" t="n"/>
      <c r="E399" s="224" t="n"/>
    </row>
    <row r="400" s="225">
      <c r="D400" s="224" t="n"/>
      <c r="E400" s="224" t="n"/>
    </row>
    <row r="401" s="225">
      <c r="D401" s="224" t="n"/>
      <c r="E401" s="224" t="n"/>
    </row>
    <row r="402" s="225">
      <c r="D402" s="224" t="n"/>
      <c r="E402" s="224" t="n"/>
    </row>
    <row r="403" s="225">
      <c r="D403" s="224" t="n"/>
      <c r="E403" s="224" t="n"/>
    </row>
    <row r="404" s="225">
      <c r="D404" s="224" t="n"/>
      <c r="E404" s="224" t="n"/>
    </row>
    <row r="405" s="225">
      <c r="D405" s="224" t="n"/>
      <c r="E405" s="224" t="n"/>
    </row>
    <row r="406" s="225">
      <c r="D406" s="224" t="n"/>
      <c r="E406" s="224" t="n"/>
    </row>
    <row r="407" s="225">
      <c r="D407" s="224" t="n"/>
      <c r="E407" s="224" t="n"/>
    </row>
    <row r="408" s="225">
      <c r="D408" s="224" t="n"/>
      <c r="E408" s="224" t="n"/>
    </row>
    <row r="409" s="225">
      <c r="D409" s="224" t="n"/>
      <c r="E409" s="224" t="n"/>
    </row>
    <row r="410" s="225">
      <c r="D410" s="224" t="n"/>
      <c r="E410" s="224" t="n"/>
    </row>
    <row r="411" s="225">
      <c r="D411" s="224" t="n"/>
      <c r="E411" s="224" t="n"/>
    </row>
    <row r="412" s="225">
      <c r="D412" s="224" t="n"/>
      <c r="E412" s="224" t="n"/>
    </row>
    <row r="413" s="225">
      <c r="D413" s="224" t="n"/>
      <c r="E413" s="224" t="n"/>
    </row>
    <row r="414" s="225">
      <c r="D414" s="224" t="n"/>
      <c r="E414" s="224" t="n"/>
    </row>
    <row r="415" s="225">
      <c r="D415" s="224" t="n"/>
      <c r="E415" s="224" t="n"/>
    </row>
    <row r="416" s="225">
      <c r="D416" s="224" t="n"/>
      <c r="E416" s="224" t="n"/>
    </row>
    <row r="417" s="225">
      <c r="D417" s="224" t="n"/>
      <c r="E417" s="224" t="n"/>
    </row>
    <row r="418" s="225">
      <c r="D418" s="224" t="n"/>
      <c r="E418" s="224" t="n"/>
    </row>
    <row r="419" s="225">
      <c r="D419" s="224" t="n"/>
      <c r="E419" s="224" t="n"/>
    </row>
    <row r="420" s="225">
      <c r="D420" s="224" t="n"/>
      <c r="E420" s="224" t="n"/>
    </row>
    <row r="421" s="225">
      <c r="D421" s="224" t="n"/>
      <c r="E421" s="224" t="n"/>
    </row>
    <row r="422" s="225">
      <c r="D422" s="224" t="n"/>
      <c r="E422" s="224" t="n"/>
    </row>
    <row r="423" s="225">
      <c r="D423" s="224" t="n"/>
      <c r="E423" s="224" t="n"/>
    </row>
    <row r="424" s="225">
      <c r="D424" s="224" t="n"/>
      <c r="E424" s="224" t="n"/>
    </row>
    <row r="425" s="225">
      <c r="D425" s="224" t="n"/>
      <c r="E425" s="224" t="n"/>
    </row>
    <row r="426" s="225">
      <c r="D426" s="224" t="n"/>
      <c r="E426" s="224" t="n"/>
    </row>
    <row r="427" s="225">
      <c r="D427" s="224" t="n"/>
      <c r="E427" s="224" t="n"/>
    </row>
    <row r="428" s="225">
      <c r="D428" s="224" t="n"/>
      <c r="E428" s="224" t="n"/>
    </row>
    <row r="429" s="225">
      <c r="D429" s="224" t="n"/>
      <c r="E429" s="224" t="n"/>
    </row>
    <row r="430" s="225">
      <c r="D430" s="224" t="n"/>
      <c r="E430" s="224" t="n"/>
    </row>
    <row r="431" s="225">
      <c r="D431" s="224" t="n"/>
      <c r="E431" s="224" t="n"/>
    </row>
    <row r="432" s="225">
      <c r="D432" s="224" t="n"/>
      <c r="E432" s="224" t="n"/>
    </row>
    <row r="433" s="225">
      <c r="D433" s="224" t="n"/>
      <c r="E433" s="224" t="n"/>
    </row>
    <row r="434" s="225">
      <c r="D434" s="224" t="n"/>
      <c r="E434" s="224" t="n"/>
    </row>
    <row r="435" s="225">
      <c r="D435" s="224" t="n"/>
      <c r="E435" s="224" t="n"/>
    </row>
    <row r="436" s="225">
      <c r="D436" s="224" t="n"/>
      <c r="E436" s="224" t="n"/>
    </row>
    <row r="437" s="225">
      <c r="D437" s="224" t="n"/>
      <c r="E437" s="224" t="n"/>
    </row>
    <row r="438" s="225">
      <c r="D438" s="224" t="n"/>
      <c r="E438" s="224" t="n"/>
    </row>
    <row r="439" s="225">
      <c r="D439" s="224" t="n"/>
      <c r="E439" s="224" t="n"/>
    </row>
    <row r="440" s="225">
      <c r="D440" s="224" t="n"/>
      <c r="E440" s="224" t="n"/>
    </row>
    <row r="441" s="225">
      <c r="D441" s="224" t="n"/>
      <c r="E441" s="224" t="n"/>
    </row>
    <row r="442" s="225">
      <c r="D442" s="224" t="n"/>
      <c r="E442" s="224" t="n"/>
    </row>
    <row r="443" s="225">
      <c r="D443" s="224" t="n"/>
      <c r="E443" s="224" t="n"/>
    </row>
    <row r="444" s="225">
      <c r="D444" s="224" t="n"/>
      <c r="E444" s="224" t="n"/>
    </row>
    <row r="445" s="225">
      <c r="D445" s="224" t="n"/>
      <c r="E445" s="224" t="n"/>
    </row>
    <row r="446" s="225">
      <c r="D446" s="224" t="n"/>
      <c r="E446" s="224" t="n"/>
    </row>
    <row r="447" s="225">
      <c r="D447" s="224" t="n"/>
      <c r="E447" s="224" t="n"/>
    </row>
    <row r="448" s="225">
      <c r="D448" s="224" t="n"/>
      <c r="E448" s="224" t="n"/>
    </row>
    <row r="449" s="225">
      <c r="D449" s="224" t="n"/>
      <c r="E449" s="224" t="n"/>
    </row>
    <row r="450" s="225">
      <c r="D450" s="224" t="n"/>
      <c r="E450" s="224" t="n"/>
    </row>
    <row r="451" s="225">
      <c r="D451" s="224" t="n"/>
      <c r="E451" s="224" t="n"/>
    </row>
    <row r="452" s="225">
      <c r="D452" s="224" t="n"/>
      <c r="E452" s="224" t="n"/>
    </row>
    <row r="453" s="225">
      <c r="D453" s="224" t="n"/>
      <c r="E453" s="224" t="n"/>
    </row>
    <row r="454" s="225">
      <c r="D454" s="224" t="n"/>
      <c r="E454" s="224" t="n"/>
    </row>
    <row r="455" s="225">
      <c r="D455" s="224" t="n"/>
      <c r="E455" s="224" t="n"/>
    </row>
    <row r="456" s="225">
      <c r="D456" s="224" t="n"/>
      <c r="E456" s="224" t="n"/>
    </row>
    <row r="457" s="225">
      <c r="D457" s="224" t="n"/>
      <c r="E457" s="224" t="n"/>
    </row>
    <row r="458" s="225">
      <c r="D458" s="224" t="n"/>
      <c r="E458" s="224" t="n"/>
    </row>
    <row r="459" s="225">
      <c r="D459" s="224" t="n"/>
      <c r="E459" s="224" t="n"/>
    </row>
    <row r="460" s="225">
      <c r="D460" s="224" t="n"/>
      <c r="E460" s="224" t="n"/>
    </row>
    <row r="461" s="225">
      <c r="D461" s="224" t="n"/>
      <c r="E461" s="224" t="n"/>
    </row>
    <row r="462" s="225">
      <c r="D462" s="224" t="n"/>
      <c r="E462" s="224" t="n"/>
    </row>
    <row r="463" s="225">
      <c r="D463" s="224" t="n"/>
      <c r="E463" s="224" t="n"/>
    </row>
    <row r="464" s="225">
      <c r="D464" s="224" t="n"/>
      <c r="E464" s="224" t="n"/>
    </row>
    <row r="465" s="225">
      <c r="D465" s="224" t="n"/>
      <c r="E465" s="224" t="n"/>
    </row>
    <row r="466" s="225">
      <c r="D466" s="224" t="n"/>
      <c r="E466" s="224" t="n"/>
    </row>
    <row r="467" s="225">
      <c r="D467" s="224" t="n"/>
      <c r="E467" s="224" t="n"/>
    </row>
    <row r="468" s="225">
      <c r="D468" s="224" t="n"/>
      <c r="E468" s="224" t="n"/>
    </row>
    <row r="469" s="225">
      <c r="D469" s="224" t="n"/>
      <c r="E469" s="224" t="n"/>
    </row>
    <row r="470" s="225">
      <c r="D470" s="224" t="n"/>
      <c r="E470" s="224" t="n"/>
    </row>
    <row r="471" s="225">
      <c r="D471" s="224" t="n"/>
      <c r="E471" s="224" t="n"/>
    </row>
    <row r="472" s="225">
      <c r="D472" s="224" t="n"/>
      <c r="E472" s="224" t="n"/>
    </row>
    <row r="473" s="225">
      <c r="D473" s="224" t="n"/>
      <c r="E473" s="224" t="n"/>
    </row>
    <row r="474" s="225">
      <c r="D474" s="224" t="n"/>
      <c r="E474" s="224" t="n"/>
    </row>
    <row r="475" s="225">
      <c r="D475" s="224" t="n"/>
      <c r="E475" s="224" t="n"/>
    </row>
    <row r="476" s="225">
      <c r="D476" s="224" t="n"/>
      <c r="E476" s="224" t="n"/>
    </row>
    <row r="477" s="225">
      <c r="D477" s="224" t="n"/>
      <c r="E477" s="224" t="n"/>
    </row>
    <row r="478" s="225">
      <c r="D478" s="224" t="n"/>
      <c r="E478" s="224" t="n"/>
    </row>
    <row r="479" s="225">
      <c r="D479" s="224" t="n"/>
      <c r="E479" s="224" t="n"/>
    </row>
    <row r="480" s="225">
      <c r="D480" s="224" t="n"/>
      <c r="E480" s="224" t="n"/>
    </row>
    <row r="481" s="225">
      <c r="D481" s="224" t="n"/>
      <c r="E481" s="224" t="n"/>
    </row>
    <row r="482" s="225">
      <c r="D482" s="224" t="n"/>
      <c r="E482" s="224" t="n"/>
    </row>
    <row r="483" s="225">
      <c r="D483" s="224" t="n"/>
      <c r="E483" s="224" t="n"/>
    </row>
    <row r="484" s="225">
      <c r="D484" s="224" t="n"/>
      <c r="E484" s="224" t="n"/>
    </row>
    <row r="485" s="225">
      <c r="D485" s="224" t="n"/>
      <c r="E485" s="224" t="n"/>
    </row>
    <row r="486" s="225">
      <c r="D486" s="224" t="n"/>
      <c r="E486" s="224" t="n"/>
    </row>
    <row r="487" s="225">
      <c r="D487" s="224" t="n"/>
      <c r="E487" s="224" t="n"/>
    </row>
    <row r="488" s="225">
      <c r="D488" s="224" t="n"/>
      <c r="E488" s="224" t="n"/>
    </row>
    <row r="489" s="225">
      <c r="D489" s="224" t="n"/>
      <c r="E489" s="224" t="n"/>
    </row>
    <row r="490" s="225">
      <c r="D490" s="224" t="n"/>
      <c r="E490" s="224" t="n"/>
    </row>
    <row r="491" s="225">
      <c r="D491" s="224" t="n"/>
      <c r="E491" s="224" t="n"/>
    </row>
    <row r="492" s="225">
      <c r="D492" s="224" t="n"/>
      <c r="E492" s="224" t="n"/>
    </row>
    <row r="493" s="225">
      <c r="D493" s="224" t="n"/>
      <c r="E493" s="224" t="n"/>
    </row>
    <row r="494" s="225">
      <c r="D494" s="224" t="n"/>
      <c r="E494" s="224" t="n"/>
    </row>
    <row r="495" s="225">
      <c r="D495" s="224" t="n"/>
      <c r="E495" s="224" t="n"/>
    </row>
    <row r="496" s="225">
      <c r="D496" s="224" t="n"/>
      <c r="E496" s="224" t="n"/>
    </row>
    <row r="497" s="225">
      <c r="D497" s="224" t="n"/>
      <c r="E497" s="224" t="n"/>
    </row>
    <row r="498" s="225">
      <c r="D498" s="224" t="n"/>
      <c r="E498" s="224" t="n"/>
    </row>
    <row r="499" s="225">
      <c r="D499" s="224" t="n"/>
      <c r="E499" s="224" t="n"/>
    </row>
    <row r="500" s="225">
      <c r="D500" s="224" t="n"/>
      <c r="E500" s="224" t="n"/>
    </row>
    <row r="501" s="225">
      <c r="D501" s="224" t="n"/>
      <c r="E501" s="224" t="n"/>
    </row>
    <row r="502" s="225">
      <c r="D502" s="224" t="n"/>
      <c r="E502" s="224" t="n"/>
    </row>
    <row r="503" ht="15.75" customHeight="1" s="225"/>
    <row r="504" ht="15.75" customHeight="1" s="225"/>
    <row r="505" ht="15.75" customHeight="1" s="225"/>
    <row r="506" ht="15.75" customHeight="1" s="225"/>
    <row r="507" ht="15.75" customHeight="1" s="225"/>
    <row r="508" ht="15.75" customHeight="1" s="225"/>
    <row r="509" ht="15.75" customHeight="1" s="225"/>
    <row r="510" ht="15.75" customHeight="1" s="225"/>
    <row r="511" ht="15.75" customHeight="1" s="225"/>
    <row r="512" ht="15.75" customHeight="1" s="225"/>
    <row r="513" ht="15.75" customHeight="1" s="225"/>
    <row r="514" ht="15.75" customHeight="1" s="225"/>
    <row r="515" ht="15.75" customHeight="1" s="225"/>
    <row r="516" ht="15.75" customHeight="1" s="225"/>
    <row r="517" ht="15.75" customHeight="1" s="225"/>
    <row r="518" ht="15.75" customHeight="1" s="225"/>
    <row r="519" ht="15.75" customHeight="1" s="225"/>
    <row r="520" ht="15.75" customHeight="1" s="225"/>
    <row r="521" ht="15.75" customHeight="1" s="225"/>
    <row r="522" ht="15.75" customHeight="1" s="225"/>
    <row r="523" ht="15.75" customHeight="1" s="225"/>
    <row r="524" ht="15.75" customHeight="1" s="225"/>
    <row r="525" ht="15.75" customHeight="1" s="225"/>
    <row r="526" ht="15.75" customHeight="1" s="225"/>
    <row r="527" ht="15.75" customHeight="1" s="225"/>
    <row r="528" ht="15.75" customHeight="1" s="225"/>
    <row r="529" ht="15.75" customHeight="1" s="225"/>
    <row r="530" ht="15.75" customHeight="1" s="225"/>
    <row r="531" ht="15.75" customHeight="1" s="225"/>
    <row r="532" ht="15.75" customHeight="1" s="225"/>
    <row r="533" ht="15.75" customHeight="1" s="225"/>
    <row r="534" ht="15.75" customHeight="1" s="225"/>
    <row r="535" ht="15.75" customHeight="1" s="225"/>
    <row r="536" ht="15.75" customHeight="1" s="225"/>
    <row r="537" ht="15.75" customHeight="1" s="225"/>
    <row r="538" ht="15.75" customHeight="1" s="225"/>
    <row r="539" ht="15.75" customHeight="1" s="225"/>
    <row r="540" ht="15.75" customHeight="1" s="225"/>
    <row r="541" ht="15.75" customHeight="1" s="225"/>
    <row r="542" ht="15.75" customHeight="1" s="225"/>
    <row r="543" ht="15.75" customHeight="1" s="225"/>
    <row r="544" ht="15.75" customHeight="1" s="225"/>
    <row r="545" ht="15.75" customHeight="1" s="225"/>
    <row r="546" ht="15.75" customHeight="1" s="225"/>
    <row r="547" ht="15.75" customHeight="1" s="225"/>
    <row r="548" ht="15.75" customHeight="1" s="225"/>
    <row r="549" ht="15.75" customHeight="1" s="225"/>
    <row r="550" ht="15.75" customHeight="1" s="225"/>
    <row r="551" ht="15.75" customHeight="1" s="225"/>
    <row r="552" ht="15.75" customHeight="1" s="225"/>
    <row r="553" ht="15.75" customHeight="1" s="225"/>
    <row r="554" ht="15.75" customHeight="1" s="225"/>
    <row r="555" ht="15.75" customHeight="1" s="225"/>
    <row r="556" ht="15.75" customHeight="1" s="225"/>
    <row r="557" ht="15.75" customHeight="1" s="225"/>
    <row r="558" ht="15.75" customHeight="1" s="225"/>
    <row r="559" ht="15.75" customHeight="1" s="225"/>
    <row r="560" ht="15.75" customHeight="1" s="225"/>
    <row r="561" ht="15.75" customHeight="1" s="225"/>
    <row r="562" ht="15.75" customHeight="1" s="225"/>
    <row r="563" ht="15.75" customHeight="1" s="225"/>
    <row r="564" ht="15.75" customHeight="1" s="225"/>
    <row r="565" ht="15.75" customHeight="1" s="225"/>
    <row r="566" ht="15.75" customHeight="1" s="225"/>
    <row r="567" ht="15.75" customHeight="1" s="225"/>
    <row r="568" ht="15.75" customHeight="1" s="225"/>
    <row r="569" ht="15.75" customHeight="1" s="225"/>
    <row r="570" ht="15.75" customHeight="1" s="225"/>
    <row r="571" ht="15.75" customHeight="1" s="225"/>
    <row r="572" ht="15.75" customHeight="1" s="225"/>
    <row r="573" ht="15.75" customHeight="1" s="225"/>
    <row r="574" ht="15.75" customHeight="1" s="225"/>
    <row r="575" ht="15.75" customHeight="1" s="225"/>
    <row r="576" ht="15.75" customHeight="1" s="225"/>
    <row r="577" ht="15.75" customHeight="1" s="225"/>
    <row r="578" ht="15.75" customHeight="1" s="225"/>
    <row r="579" ht="15.75" customHeight="1" s="225"/>
    <row r="580" ht="15.75" customHeight="1" s="225"/>
    <row r="581" ht="15.75" customHeight="1" s="225"/>
    <row r="582" ht="15.75" customHeight="1" s="225"/>
    <row r="583" ht="15.75" customHeight="1" s="225"/>
    <row r="584" ht="15.75" customHeight="1" s="225"/>
    <row r="585" ht="15.75" customHeight="1" s="225"/>
    <row r="586" ht="15.75" customHeight="1" s="225"/>
    <row r="587" ht="15.75" customHeight="1" s="225"/>
    <row r="588" ht="15.75" customHeight="1" s="225"/>
    <row r="589" ht="15.75" customHeight="1" s="225"/>
    <row r="590" ht="15.75" customHeight="1" s="225"/>
    <row r="591" ht="15.75" customHeight="1" s="225"/>
    <row r="592" ht="15.75" customHeight="1" s="225"/>
    <row r="593" ht="15.75" customHeight="1" s="225"/>
    <row r="594" ht="15.75" customHeight="1" s="225"/>
    <row r="595" ht="15.75" customHeight="1" s="225"/>
    <row r="596" ht="15.75" customHeight="1" s="225"/>
    <row r="597" ht="15.75" customHeight="1" s="225"/>
    <row r="598" ht="15.75" customHeight="1" s="225"/>
    <row r="599" ht="15.75" customHeight="1" s="225"/>
    <row r="600" ht="15.75" customHeight="1" s="225"/>
    <row r="601" ht="15.75" customHeight="1" s="225"/>
    <row r="602" ht="15.75" customHeight="1" s="225"/>
    <row r="603" ht="15.75" customHeight="1" s="225"/>
    <row r="604" ht="15.75" customHeight="1" s="225"/>
    <row r="605" ht="15.75" customHeight="1" s="225"/>
    <row r="606" ht="15.75" customHeight="1" s="225"/>
    <row r="607" ht="15.75" customHeight="1" s="225"/>
    <row r="608" ht="15.75" customHeight="1" s="225"/>
    <row r="609" ht="15.75" customHeight="1" s="225"/>
    <row r="610" ht="15.75" customHeight="1" s="225"/>
    <row r="611" ht="15.75" customHeight="1" s="225"/>
    <row r="612" ht="15.75" customHeight="1" s="225"/>
    <row r="613" ht="15.75" customHeight="1" s="225"/>
    <row r="614" ht="15.75" customHeight="1" s="225"/>
    <row r="615" ht="15.75" customHeight="1" s="225"/>
    <row r="616" ht="15.75" customHeight="1" s="225"/>
    <row r="617" ht="15.75" customHeight="1" s="225"/>
    <row r="618" ht="15.75" customHeight="1" s="225"/>
    <row r="619" ht="15.75" customHeight="1" s="225"/>
    <row r="620" ht="15.75" customHeight="1" s="225"/>
    <row r="621" ht="15.75" customHeight="1" s="225"/>
    <row r="622" ht="15.75" customHeight="1" s="225"/>
    <row r="623" ht="15.75" customHeight="1" s="225"/>
    <row r="624" ht="15.75" customHeight="1" s="225"/>
    <row r="625" ht="15.75" customHeight="1" s="225"/>
    <row r="626" ht="15.75" customHeight="1" s="225"/>
    <row r="627" ht="15.75" customHeight="1" s="225"/>
    <row r="628" ht="15.75" customHeight="1" s="225"/>
    <row r="629" ht="15.75" customHeight="1" s="225"/>
    <row r="630" ht="15.75" customHeight="1" s="225"/>
    <row r="631" ht="15.75" customHeight="1" s="225"/>
    <row r="632" ht="15.75" customHeight="1" s="225"/>
    <row r="633" ht="15.75" customHeight="1" s="225"/>
    <row r="634" ht="15.75" customHeight="1" s="225"/>
    <row r="635" ht="15.75" customHeight="1" s="225"/>
    <row r="636" ht="15.75" customHeight="1" s="225"/>
    <row r="637" ht="15.75" customHeight="1" s="225"/>
    <row r="638" ht="15.75" customHeight="1" s="225"/>
    <row r="639" ht="15.75" customHeight="1" s="225"/>
    <row r="640" ht="15.75" customHeight="1" s="225"/>
    <row r="641" ht="15.75" customHeight="1" s="225"/>
    <row r="642" ht="15.75" customHeight="1" s="225"/>
    <row r="643" ht="15.75" customHeight="1" s="225"/>
    <row r="644" ht="15.75" customHeight="1" s="225"/>
    <row r="645" ht="15.75" customHeight="1" s="225"/>
    <row r="646" ht="15.75" customHeight="1" s="225"/>
    <row r="647" ht="15.75" customHeight="1" s="225"/>
    <row r="648" ht="15.75" customHeight="1" s="225"/>
    <row r="649" ht="15.75" customHeight="1" s="225"/>
    <row r="650" ht="15.75" customHeight="1" s="225"/>
    <row r="651" ht="15.75" customHeight="1" s="225"/>
    <row r="652" ht="15.75" customHeight="1" s="225"/>
    <row r="653" ht="15.75" customHeight="1" s="225"/>
    <row r="654" ht="15.75" customHeight="1" s="225"/>
    <row r="655" ht="15.75" customHeight="1" s="225"/>
    <row r="656" ht="15.75" customHeight="1" s="225"/>
    <row r="657" ht="15.75" customHeight="1" s="225"/>
    <row r="658" ht="15.75" customHeight="1" s="225"/>
    <row r="659" ht="15.75" customHeight="1" s="225"/>
    <row r="660" ht="15.75" customHeight="1" s="225"/>
    <row r="661" ht="15.75" customHeight="1" s="225"/>
    <row r="662" ht="15.75" customHeight="1" s="225"/>
    <row r="663" ht="15.75" customHeight="1" s="225"/>
    <row r="664" ht="15.75" customHeight="1" s="225"/>
    <row r="665" ht="15.75" customHeight="1" s="225"/>
    <row r="666" ht="15.75" customHeight="1" s="225"/>
    <row r="667" ht="15.75" customHeight="1" s="225"/>
    <row r="668" ht="15.75" customHeight="1" s="225"/>
    <row r="669" ht="15.75" customHeight="1" s="225"/>
    <row r="670" ht="15.75" customHeight="1" s="225"/>
    <row r="671" ht="15.75" customHeight="1" s="225"/>
    <row r="672" ht="15.75" customHeight="1" s="225"/>
    <row r="673" ht="15.75" customHeight="1" s="225"/>
    <row r="674" ht="15.75" customHeight="1" s="225"/>
    <row r="675" ht="15.75" customHeight="1" s="225"/>
    <row r="676" ht="15.75" customHeight="1" s="225"/>
    <row r="677" ht="15.75" customHeight="1" s="225"/>
    <row r="678" ht="15.75" customHeight="1" s="225"/>
    <row r="679" ht="15.75" customHeight="1" s="225"/>
    <row r="680" ht="15.75" customHeight="1" s="225"/>
    <row r="681" ht="15.75" customHeight="1" s="225"/>
    <row r="682" ht="15.75" customHeight="1" s="225"/>
    <row r="683" ht="15.75" customHeight="1" s="225"/>
    <row r="684" ht="15.75" customHeight="1" s="225"/>
    <row r="685" ht="15.75" customHeight="1" s="225"/>
    <row r="686" ht="15.75" customHeight="1" s="225"/>
    <row r="687" ht="15.75" customHeight="1" s="225"/>
    <row r="688" ht="15.75" customHeight="1" s="225"/>
    <row r="689" ht="15.75" customHeight="1" s="225"/>
    <row r="690" ht="15.75" customHeight="1" s="225"/>
    <row r="691" ht="15.75" customHeight="1" s="225"/>
    <row r="692" ht="15.75" customHeight="1" s="225"/>
    <row r="693" ht="15.75" customHeight="1" s="225"/>
    <row r="694" ht="15.75" customHeight="1" s="225"/>
    <row r="695" ht="15.75" customHeight="1" s="225"/>
    <row r="696" ht="15.75" customHeight="1" s="225"/>
    <row r="697" ht="15.75" customHeight="1" s="225"/>
    <row r="698" ht="15.75" customHeight="1" s="225"/>
    <row r="699" ht="15.75" customHeight="1" s="225"/>
    <row r="700" ht="15.75" customHeight="1" s="225"/>
    <row r="701" ht="15.75" customHeight="1" s="225"/>
    <row r="702" ht="15.75" customHeight="1" s="225"/>
    <row r="703" ht="15.75" customHeight="1" s="225"/>
    <row r="704" ht="15.75" customHeight="1" s="225"/>
    <row r="705" ht="15.75" customHeight="1" s="225"/>
    <row r="706" ht="15.75" customHeight="1" s="225"/>
    <row r="707" ht="15.75" customHeight="1" s="225"/>
    <row r="708" ht="15.75" customHeight="1" s="225"/>
    <row r="709" ht="15.75" customHeight="1" s="225"/>
    <row r="710" ht="15.75" customHeight="1" s="225"/>
    <row r="711" ht="15.75" customHeight="1" s="225"/>
    <row r="712" ht="15.75" customHeight="1" s="225"/>
    <row r="713" ht="15.75" customHeight="1" s="225"/>
    <row r="714" ht="15.75" customHeight="1" s="225"/>
    <row r="715" ht="15.75" customHeight="1" s="225"/>
    <row r="716" ht="15.75" customHeight="1" s="225"/>
    <row r="717" ht="15.75" customHeight="1" s="225"/>
    <row r="718" ht="15.75" customHeight="1" s="225"/>
    <row r="719" ht="15.75" customHeight="1" s="225"/>
    <row r="720" ht="15.75" customHeight="1" s="225"/>
    <row r="721" ht="15.75" customHeight="1" s="225"/>
    <row r="722" ht="15.75" customHeight="1" s="225"/>
    <row r="723" ht="15.75" customHeight="1" s="225"/>
    <row r="724" ht="15.75" customHeight="1" s="225"/>
    <row r="725" ht="15.75" customHeight="1" s="225"/>
    <row r="726" ht="15.75" customHeight="1" s="225"/>
    <row r="727" ht="15.75" customHeight="1" s="225"/>
    <row r="728" ht="15.75" customHeight="1" s="225"/>
    <row r="729" ht="15.75" customHeight="1" s="225"/>
    <row r="730" ht="15.75" customHeight="1" s="225"/>
    <row r="731" ht="15.75" customHeight="1" s="225"/>
    <row r="732" ht="15.75" customHeight="1" s="225"/>
    <row r="733" ht="15.75" customHeight="1" s="225"/>
    <row r="734" ht="15.75" customHeight="1" s="225"/>
    <row r="735" ht="15.75" customHeight="1" s="225"/>
    <row r="736" ht="15.75" customHeight="1" s="225"/>
    <row r="737" ht="15.75" customHeight="1" s="225"/>
    <row r="738" ht="15.75" customHeight="1" s="225"/>
    <row r="739" ht="15.75" customHeight="1" s="225"/>
    <row r="740" ht="15.75" customHeight="1" s="225"/>
    <row r="741" ht="15.75" customHeight="1" s="225"/>
    <row r="742" ht="15.75" customHeight="1" s="225"/>
    <row r="743" ht="15.75" customHeight="1" s="225"/>
    <row r="744" ht="15.75" customHeight="1" s="225"/>
    <row r="745" ht="15.75" customHeight="1" s="225"/>
    <row r="746" ht="15.75" customHeight="1" s="225"/>
    <row r="747" ht="15.75" customHeight="1" s="225"/>
    <row r="748" ht="15.75" customHeight="1" s="225"/>
    <row r="749" ht="15.75" customHeight="1" s="225"/>
    <row r="750" ht="15.75" customHeight="1" s="225"/>
    <row r="751" ht="15.75" customHeight="1" s="225"/>
    <row r="752" ht="15.75" customHeight="1" s="225"/>
    <row r="753" ht="15.75" customHeight="1" s="225"/>
    <row r="754" ht="15.75" customHeight="1" s="225"/>
    <row r="755" ht="15.75" customHeight="1" s="225"/>
    <row r="756" ht="15.75" customHeight="1" s="225"/>
    <row r="757" ht="15.75" customHeight="1" s="225"/>
    <row r="758" ht="15.75" customHeight="1" s="225"/>
    <row r="759" ht="15.75" customHeight="1" s="225"/>
    <row r="760" ht="15.75" customHeight="1" s="225"/>
    <row r="761" ht="15.75" customHeight="1" s="225"/>
    <row r="762" ht="15.75" customHeight="1" s="225"/>
    <row r="763" ht="15.75" customHeight="1" s="225"/>
    <row r="764" ht="15.75" customHeight="1" s="225"/>
    <row r="765" ht="15.75" customHeight="1" s="225"/>
    <row r="766" ht="15.75" customHeight="1" s="225"/>
    <row r="767" ht="15.75" customHeight="1" s="225"/>
    <row r="768" ht="15.75" customHeight="1" s="225"/>
    <row r="769" ht="15.75" customHeight="1" s="225"/>
    <row r="770" ht="15.75" customHeight="1" s="225"/>
    <row r="771" ht="15.75" customHeight="1" s="225"/>
    <row r="772" ht="15.75" customHeight="1" s="225"/>
    <row r="773" ht="15.75" customHeight="1" s="225"/>
    <row r="774" ht="15.75" customHeight="1" s="225"/>
    <row r="775" ht="15.75" customHeight="1" s="225"/>
    <row r="776" ht="15.75" customHeight="1" s="225"/>
    <row r="777" ht="15.75" customHeight="1" s="225"/>
    <row r="778" ht="15.75" customHeight="1" s="225"/>
    <row r="779" ht="15.75" customHeight="1" s="225"/>
    <row r="780" ht="15.75" customHeight="1" s="225"/>
    <row r="781" ht="15.75" customHeight="1" s="225"/>
    <row r="782" ht="15.75" customHeight="1" s="225"/>
    <row r="783" ht="15.75" customHeight="1" s="225"/>
    <row r="784" ht="15.75" customHeight="1" s="225"/>
    <row r="785" ht="15.75" customHeight="1" s="225"/>
    <row r="786" ht="15.75" customHeight="1" s="225"/>
    <row r="787" ht="15.75" customHeight="1" s="225"/>
    <row r="788" ht="15.75" customHeight="1" s="225"/>
    <row r="789" ht="15.75" customHeight="1" s="225"/>
    <row r="790" ht="15.75" customHeight="1" s="225"/>
    <row r="791" ht="15.75" customHeight="1" s="225"/>
    <row r="792" ht="15.75" customHeight="1" s="225"/>
    <row r="793" ht="15.75" customHeight="1" s="225"/>
    <row r="794" ht="15.75" customHeight="1" s="225"/>
    <row r="795" ht="15.75" customHeight="1" s="225"/>
    <row r="796" ht="15.75" customHeight="1" s="225"/>
    <row r="797" ht="15.75" customHeight="1" s="225"/>
    <row r="798" ht="15.75" customHeight="1" s="225"/>
    <row r="799" ht="15.75" customHeight="1" s="225"/>
    <row r="800" ht="15.75" customHeight="1" s="225"/>
    <row r="801" ht="15.75" customHeight="1" s="225"/>
    <row r="802" ht="15.75" customHeight="1" s="225"/>
    <row r="803" ht="15.75" customHeight="1" s="225"/>
    <row r="804" ht="15.75" customHeight="1" s="225"/>
    <row r="805" ht="15.75" customHeight="1" s="225"/>
    <row r="806" ht="15.75" customHeight="1" s="225"/>
    <row r="807" ht="15.75" customHeight="1" s="225"/>
    <row r="808" ht="15.75" customHeight="1" s="225"/>
    <row r="809" ht="15.75" customHeight="1" s="225"/>
    <row r="810" ht="15.75" customHeight="1" s="225"/>
    <row r="811" ht="15.75" customHeight="1" s="225"/>
    <row r="812" ht="15.75" customHeight="1" s="225"/>
    <row r="813" ht="15.75" customHeight="1" s="225"/>
    <row r="814" ht="15.75" customHeight="1" s="225"/>
    <row r="815" ht="15.75" customHeight="1" s="225"/>
    <row r="816" ht="15.75" customHeight="1" s="225"/>
    <row r="817" ht="15.75" customHeight="1" s="225"/>
    <row r="818" ht="15.75" customHeight="1" s="225"/>
    <row r="819" ht="15.75" customHeight="1" s="225"/>
    <row r="820" ht="15.75" customHeight="1" s="225"/>
    <row r="821" ht="15.75" customHeight="1" s="225"/>
    <row r="822" ht="15.75" customHeight="1" s="225"/>
    <row r="823" ht="15.75" customHeight="1" s="225"/>
    <row r="824" ht="15.75" customHeight="1" s="225"/>
    <row r="825" ht="15.75" customHeight="1" s="225"/>
    <row r="826" ht="15.75" customHeight="1" s="225"/>
    <row r="827" ht="15.75" customHeight="1" s="225"/>
    <row r="828" ht="15.75" customHeight="1" s="225"/>
    <row r="829" ht="15.75" customHeight="1" s="225"/>
    <row r="830" ht="15.75" customHeight="1" s="225"/>
    <row r="831" ht="15.75" customHeight="1" s="225"/>
    <row r="832" ht="15.75" customHeight="1" s="225"/>
    <row r="833" ht="15.75" customHeight="1" s="225"/>
    <row r="834" ht="15.75" customHeight="1" s="225"/>
    <row r="835" ht="15.75" customHeight="1" s="225"/>
    <row r="836" ht="15.75" customHeight="1" s="225"/>
    <row r="837" ht="15.75" customHeight="1" s="225"/>
    <row r="838" ht="15.75" customHeight="1" s="225"/>
    <row r="839" ht="15.75" customHeight="1" s="225"/>
    <row r="840" ht="15.75" customHeight="1" s="225"/>
    <row r="841" ht="15.75" customHeight="1" s="225"/>
    <row r="842" ht="15.75" customHeight="1" s="225"/>
    <row r="843" ht="15.75" customHeight="1" s="225"/>
    <row r="844" ht="15.75" customHeight="1" s="225"/>
    <row r="845" ht="15.75" customHeight="1" s="225"/>
    <row r="846" ht="15.75" customHeight="1" s="225"/>
    <row r="847" ht="15.75" customHeight="1" s="225"/>
    <row r="848" ht="15.75" customHeight="1" s="225"/>
    <row r="849" ht="15.75" customHeight="1" s="225"/>
    <row r="850" ht="15.75" customHeight="1" s="225"/>
    <row r="851" ht="15.75" customHeight="1" s="225"/>
    <row r="852" ht="15.75" customHeight="1" s="225"/>
    <row r="853" ht="15.75" customHeight="1" s="225"/>
    <row r="854" ht="15.75" customHeight="1" s="225"/>
    <row r="855" ht="15.75" customHeight="1" s="225"/>
    <row r="856" ht="15.75" customHeight="1" s="225"/>
    <row r="857" ht="15.75" customHeight="1" s="225"/>
    <row r="858" ht="15.75" customHeight="1" s="225"/>
    <row r="859" ht="15.75" customHeight="1" s="225"/>
    <row r="860" ht="15.75" customHeight="1" s="225"/>
    <row r="861" ht="15.75" customHeight="1" s="225"/>
    <row r="862" ht="15.75" customHeight="1" s="225"/>
    <row r="863" ht="15.75" customHeight="1" s="225"/>
    <row r="864" ht="15.75" customHeight="1" s="225"/>
    <row r="865" ht="15.75" customHeight="1" s="225"/>
    <row r="866" ht="15.75" customHeight="1" s="225"/>
    <row r="867" ht="15.75" customHeight="1" s="225"/>
    <row r="868" ht="15.75" customHeight="1" s="225"/>
    <row r="869" ht="15.75" customHeight="1" s="225"/>
    <row r="870" ht="15.75" customHeight="1" s="225"/>
    <row r="871" ht="15.75" customHeight="1" s="225"/>
    <row r="872" ht="15.75" customHeight="1" s="225"/>
    <row r="873" ht="15.75" customHeight="1" s="225"/>
    <row r="874" ht="15.75" customHeight="1" s="225"/>
    <row r="875" ht="15.75" customHeight="1" s="225"/>
    <row r="876" ht="15.75" customHeight="1" s="225"/>
    <row r="877" ht="15.75" customHeight="1" s="225"/>
    <row r="878" ht="15.75" customHeight="1" s="225"/>
    <row r="879" ht="15.75" customHeight="1" s="225"/>
    <row r="880" ht="15.75" customHeight="1" s="225"/>
    <row r="881" ht="15.75" customHeight="1" s="225"/>
    <row r="882" ht="15.75" customHeight="1" s="225"/>
    <row r="883" ht="15.75" customHeight="1" s="225"/>
    <row r="884" ht="15.75" customHeight="1" s="225"/>
    <row r="885" ht="15.75" customHeight="1" s="225"/>
    <row r="886" ht="15.75" customHeight="1" s="225"/>
    <row r="887" ht="15.75" customHeight="1" s="225"/>
    <row r="888" ht="15.75" customHeight="1" s="225"/>
    <row r="889" ht="15.75" customHeight="1" s="225"/>
    <row r="890" ht="15.75" customHeight="1" s="225"/>
    <row r="891" ht="15.75" customHeight="1" s="225"/>
    <row r="892" ht="15.75" customHeight="1" s="225"/>
    <row r="893" ht="15.75" customHeight="1" s="225"/>
    <row r="894" ht="15.75" customHeight="1" s="225"/>
    <row r="895" ht="15.75" customHeight="1" s="225"/>
    <row r="896" ht="15.75" customHeight="1" s="225"/>
    <row r="897" ht="15.75" customHeight="1" s="225"/>
    <row r="898" ht="15.75" customHeight="1" s="225"/>
    <row r="899" ht="15.75" customHeight="1" s="225"/>
    <row r="900" ht="15.75" customHeight="1" s="225"/>
    <row r="901" ht="15.75" customHeight="1" s="225"/>
    <row r="902" ht="15.75" customHeight="1" s="225"/>
    <row r="903" ht="15.75" customHeight="1" s="225"/>
    <row r="904" ht="15.75" customHeight="1" s="225"/>
    <row r="905" ht="15.75" customHeight="1" s="225"/>
    <row r="906" ht="15.75" customHeight="1" s="225"/>
    <row r="907" ht="15.75" customHeight="1" s="225"/>
    <row r="908" ht="15.75" customHeight="1" s="225"/>
    <row r="909" ht="15.75" customHeight="1" s="225"/>
    <row r="910" ht="15.75" customHeight="1" s="225"/>
    <row r="911" ht="15.75" customHeight="1" s="225"/>
    <row r="912" ht="15.75" customHeight="1" s="225"/>
    <row r="913" ht="15.75" customHeight="1" s="225"/>
    <row r="914" ht="15.75" customHeight="1" s="225"/>
    <row r="915" ht="15.75" customHeight="1" s="225"/>
    <row r="916" ht="15.75" customHeight="1" s="225"/>
    <row r="917" ht="15.75" customHeight="1" s="225"/>
    <row r="918" ht="15.75" customHeight="1" s="225"/>
    <row r="919" ht="15.75" customHeight="1" s="225"/>
    <row r="920" ht="15.75" customHeight="1" s="225"/>
    <row r="921" ht="15.75" customHeight="1" s="225"/>
    <row r="922" ht="15.75" customHeight="1" s="225"/>
    <row r="923" ht="15.75" customHeight="1" s="225"/>
    <row r="924" ht="15.75" customHeight="1" s="225"/>
    <row r="925" ht="15.75" customHeight="1" s="225"/>
    <row r="926" ht="15.75" customHeight="1" s="225"/>
    <row r="927" ht="15.75" customHeight="1" s="225"/>
    <row r="928" ht="15.75" customHeight="1" s="225"/>
    <row r="929" ht="15.75" customHeight="1" s="225"/>
    <row r="930" ht="15.75" customHeight="1" s="225"/>
    <row r="931" ht="15.75" customHeight="1" s="225"/>
    <row r="932" ht="15.75" customHeight="1" s="225"/>
    <row r="933" ht="15.75" customHeight="1" s="225"/>
    <row r="934" ht="15.75" customHeight="1" s="225"/>
    <row r="935" ht="15.75" customHeight="1" s="225"/>
    <row r="936" ht="15.75" customHeight="1" s="225"/>
    <row r="937" ht="15.75" customHeight="1" s="225"/>
    <row r="938" ht="15.75" customHeight="1" s="225"/>
    <row r="939" ht="15.75" customHeight="1" s="225"/>
    <row r="940" ht="15.75" customHeight="1" s="225"/>
    <row r="941" ht="15.75" customHeight="1" s="225"/>
    <row r="942" ht="15.75" customHeight="1" s="225"/>
    <row r="943" ht="15.75" customHeight="1" s="225"/>
    <row r="944" ht="15.75" customHeight="1" s="225"/>
    <row r="945" ht="15.75" customHeight="1" s="225"/>
    <row r="946" ht="15.75" customHeight="1" s="225"/>
    <row r="947" ht="15.75" customHeight="1" s="225"/>
    <row r="948" ht="15.75" customHeight="1" s="225"/>
    <row r="949" ht="15.75" customHeight="1" s="225"/>
    <row r="950" ht="15.75" customHeight="1" s="225"/>
    <row r="951" ht="15.75" customHeight="1" s="225"/>
    <row r="952" ht="15.75" customHeight="1" s="225"/>
    <row r="953" ht="15.75" customHeight="1" s="225"/>
    <row r="954" ht="15.75" customHeight="1" s="225"/>
    <row r="955" ht="15.75" customHeight="1" s="225"/>
    <row r="956" ht="15.75" customHeight="1" s="225"/>
    <row r="957" ht="15.75" customHeight="1" s="225"/>
    <row r="958" ht="15.75" customHeight="1" s="225"/>
    <row r="959" ht="15.75" customHeight="1" s="225"/>
    <row r="960" ht="15.75" customHeight="1" s="225"/>
    <row r="961" ht="15.75" customHeight="1" s="225"/>
    <row r="962" ht="15.75" customHeight="1" s="225"/>
    <row r="963" ht="15.75" customHeight="1" s="225"/>
    <row r="964" ht="15.75" customHeight="1" s="225"/>
    <row r="965" ht="15.75" customHeight="1" s="225"/>
    <row r="966" ht="15.75" customHeight="1" s="225"/>
    <row r="967" ht="15.75" customHeight="1" s="225"/>
    <row r="968" ht="15.75" customHeight="1" s="225"/>
    <row r="969" ht="15.75" customHeight="1" s="225"/>
    <row r="970" ht="15.75" customHeight="1" s="225"/>
    <row r="971" ht="15.75" customHeight="1" s="225"/>
    <row r="972" ht="15.75" customHeight="1" s="225"/>
    <row r="973" ht="15.75" customHeight="1" s="225"/>
    <row r="974" ht="15.75" customHeight="1" s="225"/>
    <row r="975" ht="15.75" customHeight="1" s="225"/>
    <row r="976" ht="15.75" customHeight="1" s="225"/>
    <row r="977" ht="15.75" customHeight="1" s="225"/>
    <row r="978" ht="15.75" customHeight="1" s="225"/>
    <row r="979" ht="15.75" customHeight="1" s="225"/>
    <row r="980" ht="15.75" customHeight="1" s="225"/>
    <row r="981" ht="15.75" customHeight="1" s="225"/>
    <row r="982" ht="15.75" customHeight="1" s="225"/>
    <row r="983" ht="15.75" customHeight="1" s="225"/>
    <row r="984" ht="15.75" customHeight="1" s="225"/>
    <row r="985" ht="15.75" customHeight="1" s="225"/>
    <row r="986" ht="15.75" customHeight="1" s="225"/>
    <row r="987" ht="15.75" customHeight="1" s="225"/>
    <row r="988" ht="15.75" customHeight="1" s="225"/>
    <row r="989" ht="15.75" customHeight="1" s="225"/>
    <row r="990" ht="15.75" customHeight="1" s="225"/>
    <row r="991" ht="15.75" customHeight="1" s="225"/>
    <row r="992" ht="15.75" customHeight="1" s="225"/>
    <row r="993" ht="15.75" customHeight="1" s="225"/>
    <row r="994" ht="15.75" customHeight="1" s="225"/>
    <row r="995" ht="15.75" customHeight="1" s="225"/>
    <row r="996" ht="15.75" customHeight="1" s="225"/>
    <row r="997" ht="15.75" customHeight="1" s="225"/>
    <row r="998" ht="15.75" customHeight="1" s="225"/>
    <row r="999" ht="15.75" customHeight="1" s="225"/>
    <row r="1000" ht="15.75" customHeight="1" s="225"/>
    <row r="1001" ht="15.75" customHeight="1" s="225"/>
    <row r="1002" ht="15.75" customHeight="1" s="225"/>
    <row r="1048574" ht="12.75" customHeight="1" s="225"/>
    <row r="1048575" ht="12.75" customHeight="1" s="225"/>
    <row r="1048576" ht="12.75" customHeight="1" s="225"/>
  </sheetData>
  <autoFilter ref="A6:U6"/>
  <mergeCells count="24">
    <mergeCell ref="A7:I7"/>
    <mergeCell ref="AH5:AL5"/>
    <mergeCell ref="C2:E2"/>
    <mergeCell ref="B21:I21"/>
    <mergeCell ref="A5:C5"/>
    <mergeCell ref="B11:I11"/>
    <mergeCell ref="AC5:AG5"/>
    <mergeCell ref="J5:M5"/>
    <mergeCell ref="A3:B3"/>
    <mergeCell ref="G3:H3"/>
    <mergeCell ref="B8:I8"/>
    <mergeCell ref="N5:R5"/>
    <mergeCell ref="I3:J3"/>
    <mergeCell ref="A2:B2"/>
    <mergeCell ref="D5:I5"/>
    <mergeCell ref="C3:E3"/>
    <mergeCell ref="X5:AB5"/>
    <mergeCell ref="A4:B4"/>
    <mergeCell ref="G4:H4"/>
    <mergeCell ref="I4:J4"/>
    <mergeCell ref="AM5:AP5"/>
    <mergeCell ref="S5:W5"/>
    <mergeCell ref="C4:E4"/>
    <mergeCell ref="B26:I26"/>
  </mergeCells>
  <dataValidations count="8">
    <dataValidation sqref="D8:D502" showDropDown="0" showInputMessage="0" showErrorMessage="0" allowBlank="1" type="list">
      <formula1>"Functional,UI,Integration,Database Test Case"</formula1>
    </dataValidation>
    <dataValidation sqref="E8:E502" showDropDown="0" showInputMessage="0" showErrorMessage="0" allowBlank="1" type="list">
      <formula1>"High,Medium,Low"</formula1>
    </dataValidation>
    <dataValidation sqref="J8:J502" showDropDown="0" showInputMessage="0" showErrorMessage="0" allowBlank="1" type="list">
      <formula1>"AI,QC"</formula1>
    </dataValidation>
    <dataValidation sqref="K8:K502" showDropDown="0" showInputMessage="0" showErrorMessage="0" allowBlank="1" type="list">
      <formula1>"Reviewed,Pending,N/A"</formula1>
    </dataValidation>
    <dataValidation sqref="L8:L502" showDropDown="0" showInputMessage="0" showErrorMessage="0" allowBlank="1" type="list">
      <formula1>"Yes,No"</formula1>
    </dataValidation>
    <dataValidation sqref="N8:N502 S8:S502 X8:X502 AC8:AC502 AH8:AH502" showDropDown="0" showInputMessage="0" showErrorMessage="0" allowBlank="1" type="list">
      <formula1>"Yes,No,N/A"</formula1>
    </dataValidation>
    <dataValidation sqref="O8:O502 T8:T502 Y8:Y502 AD8:AD502 AI8:AI502" showDropDown="0" showInputMessage="0" showErrorMessage="0" allowBlank="1" type="list">
      <formula1>"Pass,Fail,Block,N/A,Chưa chạy"</formula1>
    </dataValidation>
    <dataValidation sqref="P8:P502 U8:U502 Z8:Z502 AE8:AE502 AJ8:AJ502" showDropDown="0" showInputMessage="0" showErrorMessage="0" allowBlank="1" type="list">
      <formula1>"Pass,Fail,Block,N/A"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worksheet>
</file>

<file path=xl/worksheets/sheet18.xml><?xml version="1.0" encoding="utf-8"?>
<worksheet xmlns="http://schemas.openxmlformats.org/spreadsheetml/2006/main">
  <sheetPr>
    <outlinePr summaryBelow="1" summaryRight="1"/>
    <pageSetUpPr/>
  </sheetPr>
  <dimension ref="A1:M19"/>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10" customWidth="1" style="225" min="4" max="4"/>
    <col width="10" customWidth="1" style="225" min="5" max="5"/>
    <col width="10" customWidth="1" style="225" min="6" max="6"/>
    <col width="10" customWidth="1" style="225" min="7" max="7"/>
    <col width="10" customWidth="1" style="225" min="8" max="8"/>
    <col width="10" customWidth="1" style="225" min="9" max="9"/>
    <col width="10" customWidth="1" style="225" min="10" max="10"/>
    <col width="10" customWidth="1" style="225" min="11" max="11"/>
    <col width="10" customWidth="1" style="225" min="12" max="12"/>
    <col width="10" customWidth="1" style="225" min="13" max="13"/>
  </cols>
  <sheetData>
    <row r="1">
      <c r="A1" s="457" t="inlineStr">
        <is>
          <t>SC ID</t>
        </is>
      </c>
      <c r="B1" s="457" t="inlineStr">
        <is>
          <t>Scenario Title</t>
        </is>
      </c>
      <c r="C1" s="457" t="inlineStr">
        <is>
          <t>Source Hint</t>
        </is>
      </c>
      <c r="D1" s="457" t="inlineStr">
        <is>
          <t>B1 EP</t>
        </is>
      </c>
      <c r="E1" s="457" t="inlineStr">
        <is>
          <t>B2 BVA</t>
        </is>
      </c>
      <c r="F1" s="457" t="inlineStr">
        <is>
          <t>B3 DT</t>
        </is>
      </c>
      <c r="G1" s="457" t="inlineStr">
        <is>
          <t>B4 ST</t>
        </is>
      </c>
      <c r="H1" s="457" t="inlineStr">
        <is>
          <t>B5 PW</t>
        </is>
      </c>
      <c r="I1" s="457" t="inlineStr">
        <is>
          <t>B6 EG</t>
        </is>
      </c>
      <c r="J1" s="457" t="inlineStr">
        <is>
          <t>B7 CRUD</t>
        </is>
      </c>
      <c r="K1" s="457" t="inlineStr">
        <is>
          <t>B8 CEG</t>
        </is>
      </c>
      <c r="L1" s="457" t="inlineStr">
        <is>
          <t>Total TCs</t>
        </is>
      </c>
      <c r="M1" s="457" t="inlineStr">
        <is>
          <t>Coverage %</t>
        </is>
      </c>
    </row>
    <row r="2">
      <c r="A2" s="224" t="inlineStr">
        <is>
          <t>SC-ORD-025</t>
        </is>
      </c>
      <c r="B2" s="458" t="inlineStr">
        <is>
          <t>Bottom nav đủ 5 tab, "Hoạt động" highlight đúng</t>
        </is>
      </c>
      <c r="C2" s="458" t="inlineStr">
        <is>
          <t>Quan sát thực tế app — bottom nav</t>
        </is>
      </c>
      <c r="D2" s="459" t="inlineStr">
        <is>
          <t>N/A: 1 case duy nhất (display)</t>
        </is>
      </c>
      <c r="E2" s="459" t="inlineStr">
        <is>
          <t>N/A: no range field</t>
        </is>
      </c>
      <c r="F2" s="459" t="inlineStr">
        <is>
          <t>N/A: single condition</t>
        </is>
      </c>
      <c r="G2" s="459" t="inlineStr">
        <is>
          <t>N/A: no lifecycle</t>
        </is>
      </c>
      <c r="H2" s="459" t="inlineStr">
        <is>
          <t>N/A: &lt;3 params</t>
        </is>
      </c>
      <c r="I2" s="459" t="inlineStr">
        <is>
          <t>N/A: display-only</t>
        </is>
      </c>
      <c r="J2" s="459" t="inlineStr">
        <is>
          <t>N/A: not CRUD scope</t>
        </is>
      </c>
      <c r="K2" s="459" t="inlineStr">
        <is>
          <t>N/A: DT already N/A</t>
        </is>
      </c>
      <c r="L2" s="224" t="n">
        <v>1</v>
      </c>
      <c r="M2" s="224" t="inlineStr">
        <is>
          <t>N/A (0 applicable)</t>
        </is>
      </c>
    </row>
    <row r="3">
      <c r="A3" s="460" t="inlineStr">
        <is>
          <t>SC-ORD-015</t>
        </is>
      </c>
      <c r="B3" s="461" t="inlineStr">
        <is>
          <t>Đủ 2 tab "Đang diễn ra"/"Đã hoàn thành" tại Hoạt động</t>
        </is>
      </c>
      <c r="C3" s="461" t="inlineStr">
        <is>
          <t>Quan sát thực tế app — tab switcher</t>
        </is>
      </c>
      <c r="D3" s="459" t="inlineStr">
        <is>
          <t>N/A: đã tách theo tab ở SC-ORD-017/026</t>
        </is>
      </c>
      <c r="E3" s="459" t="inlineStr">
        <is>
          <t>N/A: no range field</t>
        </is>
      </c>
      <c r="F3" s="459" t="inlineStr">
        <is>
          <t>N/A: single condition</t>
        </is>
      </c>
      <c r="G3" s="459" t="inlineStr">
        <is>
          <t>N/A: no lifecycle</t>
        </is>
      </c>
      <c r="H3" s="459" t="inlineStr">
        <is>
          <t>N/A: &lt;3 params</t>
        </is>
      </c>
      <c r="I3" s="459" t="inlineStr">
        <is>
          <t>N/A: display-only</t>
        </is>
      </c>
      <c r="J3" s="459" t="inlineStr">
        <is>
          <t>N/A: not CRUD scope</t>
        </is>
      </c>
      <c r="K3" s="459" t="inlineStr">
        <is>
          <t>N/A: DT already N/A</t>
        </is>
      </c>
      <c r="L3" s="460" t="n">
        <v>1</v>
      </c>
      <c r="M3" s="460" t="inlineStr">
        <is>
          <t>N/A (0 applicable)</t>
        </is>
      </c>
    </row>
    <row r="4">
      <c r="A4" s="224" t="inlineStr">
        <is>
          <t>SC-ORD-016</t>
        </is>
      </c>
      <c r="B4" s="458" t="inlineStr">
        <is>
          <t>Tab mặc định khi mới vào màn Hoạt động</t>
        </is>
      </c>
      <c r="C4" s="458" t="inlineStr">
        <is>
          <t>Quan sát thực tế app — default state PRISTINE</t>
        </is>
      </c>
      <c r="D4" s="459" t="inlineStr">
        <is>
          <t>N/A: UI default state, không phải input domain</t>
        </is>
      </c>
      <c r="E4" s="459" t="inlineStr">
        <is>
          <t>N/A: no range field</t>
        </is>
      </c>
      <c r="F4" s="459" t="inlineStr">
        <is>
          <t>N/A: single condition</t>
        </is>
      </c>
      <c r="G4" s="459" t="inlineStr">
        <is>
          <t>N/A: UI selection state, không phải entity lifecycle</t>
        </is>
      </c>
      <c r="H4" s="459" t="inlineStr">
        <is>
          <t>N/A: &lt;3 params</t>
        </is>
      </c>
      <c r="I4" s="459" t="inlineStr">
        <is>
          <t>N/A: display-only</t>
        </is>
      </c>
      <c r="J4" s="459" t="inlineStr">
        <is>
          <t>N/A: not CRUD scope</t>
        </is>
      </c>
      <c r="K4" s="459" t="inlineStr">
        <is>
          <t>N/A: DT already N/A</t>
        </is>
      </c>
      <c r="L4" s="224" t="n">
        <v>1</v>
      </c>
      <c r="M4" s="224" t="inlineStr">
        <is>
          <t>N/A (0 applicable)</t>
        </is>
      </c>
    </row>
    <row r="5">
      <c r="A5" s="460" t="inlineStr">
        <is>
          <t>SC-ORD-017</t>
        </is>
      </c>
      <c r="B5" s="461" t="inlineStr">
        <is>
          <t>Check dữ liệu đúng tại tab "Đang diễn ra"</t>
        </is>
      </c>
      <c r="C5" s="461" t="inlineStr">
        <is>
          <t>Quan sát thực tế app — filter theo trạng thái đơn</t>
        </is>
      </c>
      <c r="D5" s="462" t="inlineStr">
        <is>
          <t>✅ 3 (EP-mixed-aggregate baseline — data tổng hợp tab; EP-matched; EP-in-transit)</t>
        </is>
      </c>
      <c r="E5" s="459" t="inlineStr">
        <is>
          <t>N/A: no range field</t>
        </is>
      </c>
      <c r="F5" s="459" t="inlineStr">
        <is>
          <t>N/A: single condition</t>
        </is>
      </c>
      <c r="G5" s="459" t="inlineStr">
        <is>
          <t>N/A: filter theo state, không phải state machine transition</t>
        </is>
      </c>
      <c r="H5" s="459" t="inlineStr">
        <is>
          <t>N/A: &lt;3 params</t>
        </is>
      </c>
      <c r="I5" s="459" t="inlineStr">
        <is>
          <t>N/A: no user free-text</t>
        </is>
      </c>
      <c r="J5" s="459" t="inlineStr">
        <is>
          <t>N/A: read-only listing (List op)</t>
        </is>
      </c>
      <c r="K5" s="459" t="inlineStr">
        <is>
          <t>N/A: DT already N/A</t>
        </is>
      </c>
      <c r="L5" s="460" t="n">
        <v>3</v>
      </c>
      <c r="M5" s="460" t="inlineStr">
        <is>
          <t>100% (1/1)</t>
        </is>
      </c>
    </row>
    <row r="6">
      <c r="A6" s="224" t="inlineStr">
        <is>
          <t>SC-ORD-026</t>
        </is>
      </c>
      <c r="B6" s="458" t="inlineStr">
        <is>
          <t>Check dữ liệu đúng tại tab "Đã hoàn thành"</t>
        </is>
      </c>
      <c r="C6" s="458" t="inlineStr">
        <is>
          <t>Quan sát thực tế app — filter theo trạng thái đơn</t>
        </is>
      </c>
      <c r="D6" s="462" t="inlineStr">
        <is>
          <t>✅ 1 (EP-mixed-aggregate — data tab "Đã hoàn thành"; partition theo từng trạng thái dùng chung với SC-ORD-017/019)</t>
        </is>
      </c>
      <c r="E6" s="459" t="inlineStr">
        <is>
          <t>N/A: no range field</t>
        </is>
      </c>
      <c r="F6" s="459" t="inlineStr">
        <is>
          <t>N/A: single condition</t>
        </is>
      </c>
      <c r="G6" s="459" t="inlineStr">
        <is>
          <t>N/A: filter theo state</t>
        </is>
      </c>
      <c r="H6" s="459" t="inlineStr">
        <is>
          <t>N/A: &lt;3 params</t>
        </is>
      </c>
      <c r="I6" s="459" t="inlineStr">
        <is>
          <t>N/A: no user free-text</t>
        </is>
      </c>
      <c r="J6" s="459" t="inlineStr">
        <is>
          <t>N/A: read-only listing</t>
        </is>
      </c>
      <c r="K6" s="459" t="inlineStr">
        <is>
          <t>N/A: DT already N/A</t>
        </is>
      </c>
      <c r="L6" s="224" t="n">
        <v>1</v>
      </c>
      <c r="M6" s="224" t="inlineStr">
        <is>
          <t>100% (1/1)</t>
        </is>
      </c>
    </row>
    <row r="7">
      <c r="A7" s="460" t="inlineStr">
        <is>
          <t>SC-ORD-018</t>
        </is>
      </c>
      <c r="B7" s="461" t="inlineStr">
        <is>
          <t>Check đầy đủ field trên 1 card đơn (completeness)</t>
        </is>
      </c>
      <c r="C7" s="461" t="inlineStr">
        <is>
          <t>Step 3b field/column completeness — 5 trường card</t>
        </is>
      </c>
      <c r="D7" s="459" t="inlineStr">
        <is>
          <t>N/A: đã là completeness check riêng (Step 3b)</t>
        </is>
      </c>
      <c r="E7" s="459" t="inlineStr">
        <is>
          <t>N/A: no range field</t>
        </is>
      </c>
      <c r="F7" s="459" t="inlineStr">
        <is>
          <t>N/A: single condition</t>
        </is>
      </c>
      <c r="G7" s="459" t="inlineStr">
        <is>
          <t>N/A: no lifecycle</t>
        </is>
      </c>
      <c r="H7" s="459" t="inlineStr">
        <is>
          <t>N/A: &lt;3 params</t>
        </is>
      </c>
      <c r="I7" s="459" t="inlineStr">
        <is>
          <t>N/A: display-only</t>
        </is>
      </c>
      <c r="J7" s="459" t="inlineStr">
        <is>
          <t>N/A: not CRUD scope</t>
        </is>
      </c>
      <c r="K7" s="459" t="inlineStr">
        <is>
          <t>N/A: DT already N/A</t>
        </is>
      </c>
      <c r="L7" s="460" t="n">
        <v>1</v>
      </c>
      <c r="M7" s="460" t="inlineStr">
        <is>
          <t>N/A (0 applicable)</t>
        </is>
      </c>
    </row>
    <row r="8">
      <c r="A8" s="224" t="inlineStr">
        <is>
          <t>SC-ORD-005</t>
        </is>
      </c>
      <c r="B8" s="458" t="inlineStr">
        <is>
          <t>Tin tự động "Hết hạn" khi quá thời gian không ai ghép</t>
        </is>
      </c>
      <c r="C8" s="458" t="inlineStr">
        <is>
          <t>"ORD-06 Tin hết hạn..." + US-D04 "...tự động chuyển trạng thái Hết hạn..."</t>
        </is>
      </c>
      <c r="D8" s="459" t="inlineStr">
        <is>
          <t>N/A: không phải enum domain</t>
        </is>
      </c>
      <c r="E8" s="462" t="inlineStr">
        <is>
          <t>✅ 2 (BVA-at-expiry; BVA-before-expiry)</t>
        </is>
      </c>
      <c r="F8" s="459" t="inlineStr">
        <is>
          <t>N/A: single condition</t>
        </is>
      </c>
      <c r="G8" s="463" t="inlineStr">
        <is>
          <t>✅ tham chiếu — valid transition POSTED→EXPIRED = baseline; invalid transition (match tin EXPIRED) thuộc scope ASN/Bảng tin, không lặp lại ở fragment này</t>
        </is>
      </c>
      <c r="H8" s="459" t="inlineStr">
        <is>
          <t>N/A: &lt;3 params</t>
        </is>
      </c>
      <c r="I8" s="459" t="inlineStr">
        <is>
          <t>N/A: no user free-text input</t>
        </is>
      </c>
      <c r="J8" s="459" t="inlineStr">
        <is>
          <t>N/A: not CRUD scope</t>
        </is>
      </c>
      <c r="K8" s="459" t="inlineStr">
        <is>
          <t>N/A: DT already N/A</t>
        </is>
      </c>
      <c r="L8" s="224" t="n">
        <v>2</v>
      </c>
      <c r="M8" s="224" t="inlineStr">
        <is>
          <t>100% (1/1) — SC-ORD-004 (Timeline) KHÔNG thuộc module này, cover tại Coverage Matrix - Đăng tin</t>
        </is>
      </c>
    </row>
    <row r="9">
      <c r="A9" s="460" t="inlineStr">
        <is>
          <t>SC-ORD-019</t>
        </is>
      </c>
      <c r="B9" s="461" t="inlineStr">
        <is>
          <t>Card trạng thái "Hoàn thành" hiển thị đúng, không assert rating</t>
        </is>
      </c>
      <c r="C9" s="461" t="inlineStr">
        <is>
          <t>Quan sát thực tế app — card COMPLETED</t>
        </is>
      </c>
      <c r="D9" s="459" t="inlineStr">
        <is>
          <t>N/A: 1 partition, dùng chung cho SC-ORD-026</t>
        </is>
      </c>
      <c r="E9" s="459" t="inlineStr">
        <is>
          <t>N/A: no range field</t>
        </is>
      </c>
      <c r="F9" s="459" t="inlineStr">
        <is>
          <t>N/A: single condition</t>
        </is>
      </c>
      <c r="G9" s="459" t="inlineStr">
        <is>
          <t>N/A: display state, không transition</t>
        </is>
      </c>
      <c r="H9" s="459" t="inlineStr">
        <is>
          <t>N/A: &lt;3 params</t>
        </is>
      </c>
      <c r="I9" s="459" t="inlineStr">
        <is>
          <t>N/A: display-only</t>
        </is>
      </c>
      <c r="J9" s="459" t="inlineStr">
        <is>
          <t>N/A: not CRUD scope</t>
        </is>
      </c>
      <c r="K9" s="459" t="inlineStr">
        <is>
          <t>N/A: DT already N/A</t>
        </is>
      </c>
      <c r="L9" s="460" t="n">
        <v>1</v>
      </c>
      <c r="M9" s="460" t="inlineStr">
        <is>
          <t>N/A (0 applicable)</t>
        </is>
      </c>
    </row>
    <row r="10">
      <c r="A10" s="224" t="inlineStr">
        <is>
          <t>SC-ORD-020</t>
        </is>
      </c>
      <c r="B10" s="458" t="inlineStr">
        <is>
          <t>Card trạng thái "Chờ ghép" hiển thị tại tab "Đang diễn ra"</t>
        </is>
      </c>
      <c r="C10" s="458" t="inlineStr">
        <is>
          <t>Quan sát thực tế app — card POSTED</t>
        </is>
      </c>
      <c r="D10" s="459" t="inlineStr">
        <is>
          <t>N/A: 1 partition, dùng chung cho SC-ORD-017/021</t>
        </is>
      </c>
      <c r="E10" s="459" t="inlineStr">
        <is>
          <t>N/A: no range field</t>
        </is>
      </c>
      <c r="F10" s="459" t="inlineStr">
        <is>
          <t>N/A: single condition</t>
        </is>
      </c>
      <c r="G10" s="459" t="inlineStr">
        <is>
          <t>N/A: display state</t>
        </is>
      </c>
      <c r="H10" s="459" t="inlineStr">
        <is>
          <t>N/A: &lt;3 params</t>
        </is>
      </c>
      <c r="I10" s="459" t="inlineStr">
        <is>
          <t>N/A: display-only</t>
        </is>
      </c>
      <c r="J10" s="459" t="inlineStr">
        <is>
          <t>N/A: not CRUD scope</t>
        </is>
      </c>
      <c r="K10" s="459" t="inlineStr">
        <is>
          <t>N/A: DT already N/A</t>
        </is>
      </c>
      <c r="L10" s="224" t="n">
        <v>1</v>
      </c>
      <c r="M10" s="224" t="inlineStr">
        <is>
          <t>N/A (0 applicable)</t>
        </is>
      </c>
    </row>
    <row r="11">
      <c r="A11" s="460" t="inlineStr">
        <is>
          <t>SC-ORD-021</t>
        </is>
      </c>
      <c r="B11" s="461" t="inlineStr">
        <is>
          <t>Tap card trạng thái khác "Hết hạn" → mở Chi tiết tin</t>
        </is>
      </c>
      <c r="C11" s="461" t="inlineStr">
        <is>
          <t>Quan sát thực tế app — status ∈ {Chờ ghép, Đã ghép, Đang giao, Hoàn thành}</t>
        </is>
      </c>
      <c r="D11" s="462" t="inlineStr">
        <is>
          <t>✅ 4 (EP-posted; EP-matched; EP-in-transit; EP-completed)</t>
        </is>
      </c>
      <c r="E11" s="459" t="inlineStr">
        <is>
          <t>N/A: no range field</t>
        </is>
      </c>
      <c r="F11" s="459" t="inlineStr">
        <is>
          <t>N/A: single condition</t>
        </is>
      </c>
      <c r="G11" s="459" t="inlineStr">
        <is>
          <t>N/A: navigation action theo state, không phải state machine transition</t>
        </is>
      </c>
      <c r="H11" s="459" t="inlineStr">
        <is>
          <t>N/A: &lt;3 params</t>
        </is>
      </c>
      <c r="I11" s="459" t="inlineStr">
        <is>
          <t>N/A: tap action, không phải input field</t>
        </is>
      </c>
      <c r="J11" s="459" t="inlineStr">
        <is>
          <t>N/A: not CRUD scope</t>
        </is>
      </c>
      <c r="K11" s="459" t="inlineStr">
        <is>
          <t>N/A: DT already N/A</t>
        </is>
      </c>
      <c r="L11" s="460" t="n">
        <v>5</v>
      </c>
      <c r="M11" s="460" t="inlineStr">
        <is>
          <t>100% (1/1)</t>
        </is>
      </c>
    </row>
    <row r="12">
      <c r="A12" s="224" t="inlineStr">
        <is>
          <t>SC-ORD-022</t>
        </is>
      </c>
      <c r="B12" s="458" t="inlineStr">
        <is>
          <t>Tap card "Hết hạn" → không cho thao tác</t>
        </is>
      </c>
      <c r="C12" s="458" t="inlineStr">
        <is>
          <t>Quan sát thực tế app — invalid partition đối chứng SC-ORD-021</t>
        </is>
      </c>
      <c r="D12" s="459" t="inlineStr">
        <is>
          <t>N/A: đây chính là partition invalid của SC-ORD-021 EP set</t>
        </is>
      </c>
      <c r="E12" s="459" t="inlineStr">
        <is>
          <t>N/A: no range field</t>
        </is>
      </c>
      <c r="F12" s="459" t="inlineStr">
        <is>
          <t>N/A: single condition</t>
        </is>
      </c>
      <c r="G12" s="459" t="inlineStr">
        <is>
          <t>N/A: no lifecycle</t>
        </is>
      </c>
      <c r="H12" s="459" t="inlineStr">
        <is>
          <t>N/A: &lt;3 params</t>
        </is>
      </c>
      <c r="I12" s="459" t="inlineStr">
        <is>
          <t>N/A: tap action</t>
        </is>
      </c>
      <c r="J12" s="459" t="inlineStr">
        <is>
          <t>N/A: not CRUD scope</t>
        </is>
      </c>
      <c r="K12" s="459" t="inlineStr">
        <is>
          <t>N/A: DT already N/A</t>
        </is>
      </c>
      <c r="L12" s="224" t="n">
        <v>1</v>
      </c>
      <c r="M12" s="224" t="inlineStr">
        <is>
          <t>N/A (0 applicable)</t>
        </is>
      </c>
    </row>
    <row r="13">
      <c r="A13" s="460" t="inlineStr">
        <is>
          <t>SC-ORD-023</t>
        </is>
      </c>
      <c r="B13" s="461" t="inlineStr">
        <is>
          <t>Empty state khi danh sách rỗng (cả 2 tab)</t>
        </is>
      </c>
      <c r="C13" s="461" t="inlineStr">
        <is>
          <t>Quan sát thực tế app / QA đề xuất — C-ORD-06, tab ∈ {Đang diễn ra, Đã hoàn thành}</t>
        </is>
      </c>
      <c r="D13" s="462" t="inlineStr">
        <is>
          <t>✅ 2 (EP-tab-ongoing-empty; EP-tab-completed-empty — tách theo tab per Project_rule §10.2)</t>
        </is>
      </c>
      <c r="E13" s="459" t="inlineStr">
        <is>
          <t>N/A: no range field</t>
        </is>
      </c>
      <c r="F13" s="459" t="inlineStr">
        <is>
          <t>N/A: single condition</t>
        </is>
      </c>
      <c r="G13" s="459" t="inlineStr">
        <is>
          <t>N/A: display-only</t>
        </is>
      </c>
      <c r="H13" s="459" t="inlineStr">
        <is>
          <t>N/A: &lt;3 params</t>
        </is>
      </c>
      <c r="I13" s="459" t="inlineStr">
        <is>
          <t>N/A: no user free-text input</t>
        </is>
      </c>
      <c r="J13" s="459" t="inlineStr">
        <is>
          <t>N/A: not CRUD scope</t>
        </is>
      </c>
      <c r="K13" s="459" t="inlineStr">
        <is>
          <t>N/A: DT already N/A</t>
        </is>
      </c>
      <c r="L13" s="460" t="n">
        <v>2</v>
      </c>
      <c r="M13" s="460" t="inlineStr">
        <is>
          <t>100% (1/1)</t>
        </is>
      </c>
    </row>
    <row r="14">
      <c r="A14" s="224" t="inlineStr">
        <is>
          <t>SC-ORD-024</t>
        </is>
      </c>
      <c r="B14" s="458" t="inlineStr">
        <is>
          <t>Đơn "Đã huỷ" (CNL) hiển thị đúng tại tab "Đang diễn ra" (⚠ CORRECTED 2026-07-30)</t>
        </is>
      </c>
      <c r="C14" s="458" t="inlineStr">
        <is>
          <t>Quan sát thực tế app — giao thoa REQ-CNL-001</t>
        </is>
      </c>
      <c r="D14" s="459" t="inlineStr">
        <is>
          <t>N/A: role/lý do huỷ thuộc scope module CNL, không lặp lại ở đây</t>
        </is>
      </c>
      <c r="E14" s="459" t="inlineStr">
        <is>
          <t>N/A: no range field</t>
        </is>
      </c>
      <c r="F14" s="459" t="inlineStr">
        <is>
          <t>N/A: single condition</t>
        </is>
      </c>
      <c r="G14" s="459" t="inlineStr">
        <is>
          <t>N/A: cross-module state gate, test chi tiết thuộc CNL</t>
        </is>
      </c>
      <c r="H14" s="459" t="inlineStr">
        <is>
          <t>N/A: &lt;3 params</t>
        </is>
      </c>
      <c r="I14" s="459" t="inlineStr">
        <is>
          <t>N/A: no user free-text input tại màn này</t>
        </is>
      </c>
      <c r="J14" s="459" t="inlineStr">
        <is>
          <t>N/A: not CRUD scope</t>
        </is>
      </c>
      <c r="K14" s="459" t="inlineStr">
        <is>
          <t>N/A: DT already N/A</t>
        </is>
      </c>
      <c r="L14" s="224" t="n">
        <v>1</v>
      </c>
      <c r="M14" s="224" t="inlineStr">
        <is>
          <t>N/A (0 applicable)</t>
        </is>
      </c>
    </row>
    <row r="16">
      <c r="A16" s="224" t="inlineStr">
        <is>
          <t>Total scenarios: 13</t>
        </is>
      </c>
    </row>
    <row r="17">
      <c r="A17" s="224" t="inlineStr">
        <is>
          <t>Total TCs (baseline 13 + derived 8): 21</t>
        </is>
      </c>
    </row>
    <row r="18">
      <c r="A18" s="224" t="inlineStr">
        <is>
          <t>Most-applied technique: B1 EP (SC-ORD-017: 3, SC-ORD-021: 4, SC-ORD-023: 2, SC-ORD-026: 1) / B2 BVA (SC-ORD-004/005: 2)</t>
        </is>
      </c>
    </row>
    <row r="19">
      <c r="A19" s="224" t="inlineStr">
        <is>
          <t>Least-applied technique: B3 DT, B5 PW, B6 EG, B7 CRUD, B8 CEG — N/A toàn bộ 13 scenario (màn Hoạt động là list/card/navigation view, không có user-input field, không có ≥3 param nhân, không có persistent CRUD ops trực tiếp trên màn này — lý do log tại từng cột); B4 ST chỉ tham chiếu (transition test đầy đủ thuộc scope ASN/Bảng tin/CNL)</t>
        </is>
      </c>
    </row>
  </sheetData>
  <autoFilter ref="A1:M1"/>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10" customWidth="1" style="225" min="4" max="4"/>
    <col width="10" customWidth="1" style="225" min="5" max="5"/>
    <col width="10" customWidth="1" style="225" min="6" max="6"/>
    <col width="10" customWidth="1" style="225" min="7" max="7"/>
    <col width="10" customWidth="1" style="225" min="8" max="8"/>
    <col width="10" customWidth="1" style="225" min="9" max="9"/>
    <col width="10" customWidth="1" style="225" min="10" max="10"/>
    <col width="10" customWidth="1" style="225" min="11" max="11"/>
    <col width="10" customWidth="1" style="225" min="12" max="12"/>
    <col width="10" customWidth="1" style="225" min="13" max="13"/>
  </cols>
  <sheetData>
    <row r="1">
      <c r="A1" s="457" t="inlineStr">
        <is>
          <t>SC ID</t>
        </is>
      </c>
      <c r="B1" s="457" t="inlineStr">
        <is>
          <t>Scenario Title</t>
        </is>
      </c>
      <c r="C1" s="457" t="inlineStr">
        <is>
          <t>Source Hint</t>
        </is>
      </c>
      <c r="D1" s="457" t="inlineStr">
        <is>
          <t>B1 EP</t>
        </is>
      </c>
      <c r="E1" s="457" t="inlineStr">
        <is>
          <t>B2 BVA</t>
        </is>
      </c>
      <c r="F1" s="457" t="inlineStr">
        <is>
          <t>B3 DT</t>
        </is>
      </c>
      <c r="G1" s="457" t="inlineStr">
        <is>
          <t>B4 ST</t>
        </is>
      </c>
      <c r="H1" s="457" t="inlineStr">
        <is>
          <t>B5 PW</t>
        </is>
      </c>
      <c r="I1" s="457" t="inlineStr">
        <is>
          <t>B6 EG</t>
        </is>
      </c>
      <c r="J1" s="457" t="inlineStr">
        <is>
          <t>B7 CRUD</t>
        </is>
      </c>
      <c r="K1" s="457" t="inlineStr">
        <is>
          <t>B8 CEG</t>
        </is>
      </c>
      <c r="L1" s="457" t="inlineStr">
        <is>
          <t>Total TCs</t>
        </is>
      </c>
      <c r="M1" s="457" t="inlineStr">
        <is>
          <t>Coverage %</t>
        </is>
      </c>
    </row>
    <row r="2">
      <c r="A2" s="224" t="inlineStr">
        <is>
          <t>SC-USR-002</t>
        </is>
      </c>
      <c r="B2" s="458" t="inlineStr">
        <is>
          <t>Xem hồ sơ cá nhân (view-only)</t>
        </is>
      </c>
      <c r="C2" s="458" t="inlineStr">
        <is>
          <t>"USR-02 Xem/cập nhật hồ sơ..." + QA xác nhận view-only (C-USR-03)</t>
        </is>
      </c>
      <c r="D2" s="459" t="inlineStr">
        <is>
          <t>N/A: field display, không phải input domain</t>
        </is>
      </c>
      <c r="E2" s="459" t="inlineStr">
        <is>
          <t>N/A: no range field</t>
        </is>
      </c>
      <c r="F2" s="459" t="inlineStr">
        <is>
          <t>N/A: single condition</t>
        </is>
      </c>
      <c r="G2" s="459" t="inlineStr">
        <is>
          <t>N/A: no lifecycle</t>
        </is>
      </c>
      <c r="H2" s="459" t="inlineStr">
        <is>
          <t>N/A: &lt;3 params</t>
        </is>
      </c>
      <c r="I2" s="459" t="inlineStr">
        <is>
          <t>N/A: view-only, không có field user nhập</t>
        </is>
      </c>
      <c r="J2" s="459" t="inlineStr">
        <is>
          <t>N/A: Read-only, không CRUD scope này</t>
        </is>
      </c>
      <c r="K2" s="459" t="inlineStr">
        <is>
          <t>N/A: DT already N/A</t>
        </is>
      </c>
      <c r="L2" s="224" t="n">
        <v>1</v>
      </c>
      <c r="M2" s="224" t="inlineStr">
        <is>
          <t>N/A (0 applicable)</t>
        </is>
      </c>
    </row>
    <row r="3">
      <c r="A3" s="460" t="inlineStr">
        <is>
          <t>SC-USR-003</t>
        </is>
      </c>
      <c r="B3" s="461" t="inlineStr">
        <is>
          <t>Hiển thị phòng ban + khu vực trên hồ sơ</t>
        </is>
      </c>
      <c r="C3" s="461" t="inlineStr">
        <is>
          <t>"USR-04 Hiển thị phòng ban + khu vực/tỉnh..."</t>
        </is>
      </c>
      <c r="D3" s="459" t="inlineStr">
        <is>
          <t>N/A: 1 giá trị SSO cố định</t>
        </is>
      </c>
      <c r="E3" s="459" t="inlineStr">
        <is>
          <t>N/A: no range field</t>
        </is>
      </c>
      <c r="F3" s="459" t="inlineStr">
        <is>
          <t>N/A: single condition</t>
        </is>
      </c>
      <c r="G3" s="459" t="inlineStr">
        <is>
          <t>N/A: no lifecycle</t>
        </is>
      </c>
      <c r="H3" s="459" t="inlineStr">
        <is>
          <t>N/A: &lt;3 params</t>
        </is>
      </c>
      <c r="I3" s="459" t="inlineStr">
        <is>
          <t>N/A: data từ SSO, không phải input</t>
        </is>
      </c>
      <c r="J3" s="459" t="inlineStr">
        <is>
          <t>N/A: not CRUD scope</t>
        </is>
      </c>
      <c r="K3" s="459" t="inlineStr">
        <is>
          <t>N/A: DT already N/A</t>
        </is>
      </c>
      <c r="L3" s="460" t="n">
        <v>1</v>
      </c>
      <c r="M3" s="460" t="inlineStr">
        <is>
          <t>N/A (0 applicable)</t>
        </is>
      </c>
    </row>
    <row r="4">
      <c r="A4" s="224" t="inlineStr">
        <is>
          <t>SC-USR-006</t>
        </is>
      </c>
      <c r="B4" s="458" t="inlineStr">
        <is>
          <t>Check đầy đủ hiển thị header màn Cá nhân (completeness)</t>
        </is>
      </c>
      <c r="C4" s="458" t="inlineStr">
        <is>
          <t>Step 3b field/column completeness — 6 phần tử header</t>
        </is>
      </c>
      <c r="D4" s="459" t="inlineStr">
        <is>
          <t>N/A: đã là completeness check riêng (Step 3b)</t>
        </is>
      </c>
      <c r="E4" s="459" t="inlineStr">
        <is>
          <t>N/A: no range field</t>
        </is>
      </c>
      <c r="F4" s="459" t="inlineStr">
        <is>
          <t>N/A: single condition</t>
        </is>
      </c>
      <c r="G4" s="459" t="inlineStr">
        <is>
          <t>N/A: no lifecycle</t>
        </is>
      </c>
      <c r="H4" s="459" t="inlineStr">
        <is>
          <t>N/A: &lt;3 params</t>
        </is>
      </c>
      <c r="I4" s="459" t="inlineStr">
        <is>
          <t>N/A: display-only, không có input</t>
        </is>
      </c>
      <c r="J4" s="459" t="inlineStr">
        <is>
          <t>N/A: not CRUD scope</t>
        </is>
      </c>
      <c r="K4" s="459" t="inlineStr">
        <is>
          <t>N/A: DT already N/A</t>
        </is>
      </c>
      <c r="L4" s="224" t="n">
        <v>1</v>
      </c>
      <c r="M4" s="224" t="inlineStr">
        <is>
          <t>N/A (0 applicable)</t>
        </is>
      </c>
    </row>
    <row r="5">
      <c r="A5" s="460" t="inlineStr">
        <is>
          <t>SC-USR-004</t>
        </is>
      </c>
      <c r="B5" s="461" t="inlineStr">
        <is>
          <t>Hiển thị đúng 2 chỉ số (đơn giúp + quà nhận), không hiện điểm/tier/CO2</t>
        </is>
      </c>
      <c r="C5" s="461" t="inlineStr">
        <is>
          <t>"USR-05 Hiển thị tổng số đơn đã giúp + tổng số quà ảo đã nhận..."</t>
        </is>
      </c>
      <c r="D5" s="459" t="inlineStr">
        <is>
          <t>N/A: không phải enum domain</t>
        </is>
      </c>
      <c r="E5" s="463" t="inlineStr">
        <is>
          <t>✅ 3 (zero/one/large)</t>
        </is>
      </c>
      <c r="F5" s="459" t="inlineStr">
        <is>
          <t>N/A: single condition</t>
        </is>
      </c>
      <c r="G5" s="459" t="inlineStr">
        <is>
          <t>N/A: counter, không phải state machine</t>
        </is>
      </c>
      <c r="H5" s="459" t="inlineStr">
        <is>
          <t>N/A: &lt;3 params</t>
        </is>
      </c>
      <c r="I5" s="459" t="inlineStr">
        <is>
          <t>N/A: counter hiển thị, không phải user free-text</t>
        </is>
      </c>
      <c r="J5" s="459" t="inlineStr">
        <is>
          <t>N/A: read-only counter, not CRUD scope</t>
        </is>
      </c>
      <c r="K5" s="459" t="inlineStr">
        <is>
          <t>N/A: DT already N/A</t>
        </is>
      </c>
      <c r="L5" s="460" t="n">
        <v>4</v>
      </c>
      <c r="M5" s="460" t="inlineStr">
        <is>
          <t>100% (1/1)</t>
        </is>
      </c>
    </row>
    <row r="6">
      <c r="A6" s="224" t="inlineStr">
        <is>
          <t>SC-USR-005</t>
        </is>
      </c>
      <c r="B6" s="458" t="inlineStr">
        <is>
          <t>Cấu hình kênh liên hệ sẽ lộ (GAP — out of scope)</t>
        </is>
      </c>
      <c r="C6" s="458" t="inlineStr">
        <is>
          <t>"USR-07 Cấu hình kênh liên hệ..." — C-USR-02 Resolved Deferred</t>
        </is>
      </c>
      <c r="D6" s="459" t="inlineStr">
        <is>
          <t>N/A: tính năng out of scope v1.0</t>
        </is>
      </c>
      <c r="E6" s="459" t="inlineStr">
        <is>
          <t>N/A: no range field</t>
        </is>
      </c>
      <c r="F6" s="459" t="inlineStr">
        <is>
          <t>N/A: single condition</t>
        </is>
      </c>
      <c r="G6" s="459" t="inlineStr">
        <is>
          <t>N/A: no lifecycle</t>
        </is>
      </c>
      <c r="H6" s="459" t="inlineStr">
        <is>
          <t>N/A: &lt;3 params</t>
        </is>
      </c>
      <c r="I6" s="459" t="inlineStr">
        <is>
          <t>N/A: không có UI/input để test</t>
        </is>
      </c>
      <c r="J6" s="459" t="inlineStr">
        <is>
          <t>N/A: not CRUD scope</t>
        </is>
      </c>
      <c r="K6" s="459" t="inlineStr">
        <is>
          <t>N/A: DT already N/A</t>
        </is>
      </c>
      <c r="L6" s="224" t="n">
        <v>1</v>
      </c>
      <c r="M6" s="224" t="inlineStr">
        <is>
          <t>N/A (0 applicable)</t>
        </is>
      </c>
    </row>
    <row r="7">
      <c r="A7" s="460" t="inlineStr">
        <is>
          <t>SC-USR-007</t>
        </is>
      </c>
      <c r="B7" s="461" t="inlineStr">
        <is>
          <t>Menu "Đơn của tôi" điều hướng sang Hoạt động</t>
        </is>
      </c>
      <c r="C7" s="461" t="inlineStr">
        <is>
          <t>Quan sát thực tế app — điều hướng menu</t>
        </is>
      </c>
      <c r="D7" s="459" t="inlineStr">
        <is>
          <t>N/A: 1 case duy nhất (navigation)</t>
        </is>
      </c>
      <c r="E7" s="459" t="inlineStr">
        <is>
          <t>N/A: no range field</t>
        </is>
      </c>
      <c r="F7" s="459" t="inlineStr">
        <is>
          <t>N/A: single condition</t>
        </is>
      </c>
      <c r="G7" s="459" t="inlineStr">
        <is>
          <t>N/A: UI navigation, không phải entity lifecycle</t>
        </is>
      </c>
      <c r="H7" s="459" t="inlineStr">
        <is>
          <t>N/A: &lt;3 params</t>
        </is>
      </c>
      <c r="I7" s="459" t="inlineStr">
        <is>
          <t>N/A: tap action, không phải input field</t>
        </is>
      </c>
      <c r="J7" s="459" t="inlineStr">
        <is>
          <t>N/A: not CRUD scope</t>
        </is>
      </c>
      <c r="K7" s="459" t="inlineStr">
        <is>
          <t>N/A: DT already N/A</t>
        </is>
      </c>
      <c r="L7" s="460" t="n">
        <v>1</v>
      </c>
      <c r="M7" s="460" t="inlineStr">
        <is>
          <t>N/A (0 applicable)</t>
        </is>
      </c>
    </row>
    <row r="8">
      <c r="A8" s="224" t="inlineStr">
        <is>
          <t>SC-GIFT-003</t>
        </is>
      </c>
      <c r="B8" s="458" t="inlineStr">
        <is>
          <t>Card "Quà đã nhận" chỉ load đúng loại đã nhận</t>
        </is>
      </c>
      <c r="C8" s="458" t="inlineStr">
        <is>
          <t>Quan sát thực tế app — 4 loại quà, load có điều kiện</t>
        </is>
      </c>
      <c r="D8" s="462" t="inlineStr">
        <is>
          <t>✅ 2 (EP-partial baseline — chỉ load loại đã nhận; EP-all-received — đủ 4/4 loại; partition none=0 quà thuộc SC-GIFT-006)</t>
        </is>
      </c>
      <c r="E8" s="463" t="inlineStr">
        <is>
          <t>✅ 1 (count-large)</t>
        </is>
      </c>
      <c r="F8" s="459" t="inlineStr">
        <is>
          <t>N/A: single condition</t>
        </is>
      </c>
      <c r="G8" s="459" t="inlineStr">
        <is>
          <t>N/A: no lifecycle</t>
        </is>
      </c>
      <c r="H8" s="459" t="inlineStr">
        <is>
          <t>N/A: &lt;3 params</t>
        </is>
      </c>
      <c r="I8" s="459" t="inlineStr">
        <is>
          <t>N/A: display-only, không có input</t>
        </is>
      </c>
      <c r="J8" s="459" t="inlineStr">
        <is>
          <t>N/A: read-only listing, not CRUD scope</t>
        </is>
      </c>
      <c r="K8" s="459" t="inlineStr">
        <is>
          <t>N/A: DT already N/A</t>
        </is>
      </c>
      <c r="L8" s="224" t="n">
        <v>5</v>
      </c>
      <c r="M8" s="224" t="inlineStr">
        <is>
          <t>100% (2/2) — +2 TC baseline (completeness màn + danh sách lịch sử, bổ sung 2026-07-30)</t>
        </is>
      </c>
    </row>
    <row r="9">
      <c r="A9" s="460" t="inlineStr">
        <is>
          <t>SC-GIFT-005</t>
        </is>
      </c>
      <c r="B9" s="461" t="inlineStr">
        <is>
          <t>Menu "Quà đã nhận" điều hướng sang màn Quà đã nhận</t>
        </is>
      </c>
      <c r="C9" s="461" t="inlineStr">
        <is>
          <t>Quan sát thực tế app — điều hướng menu</t>
        </is>
      </c>
      <c r="D9" s="459" t="inlineStr">
        <is>
          <t>N/A: 1 case duy nhất (navigation)</t>
        </is>
      </c>
      <c r="E9" s="459" t="inlineStr">
        <is>
          <t>N/A: no range field</t>
        </is>
      </c>
      <c r="F9" s="459" t="inlineStr">
        <is>
          <t>N/A: single condition</t>
        </is>
      </c>
      <c r="G9" s="459" t="inlineStr">
        <is>
          <t>N/A: UI navigation</t>
        </is>
      </c>
      <c r="H9" s="459" t="inlineStr">
        <is>
          <t>N/A: &lt;3 params</t>
        </is>
      </c>
      <c r="I9" s="459" t="inlineStr">
        <is>
          <t>N/A: tap action</t>
        </is>
      </c>
      <c r="J9" s="459" t="inlineStr">
        <is>
          <t>N/A: not CRUD scope</t>
        </is>
      </c>
      <c r="K9" s="459" t="inlineStr">
        <is>
          <t>N/A: DT already N/A</t>
        </is>
      </c>
      <c r="L9" s="460" t="n">
        <v>1</v>
      </c>
      <c r="M9" s="460" t="inlineStr">
        <is>
          <t>N/A (0 applicable)</t>
        </is>
      </c>
    </row>
    <row r="10">
      <c r="A10" s="224" t="inlineStr">
        <is>
          <t>SC-GIFT-006</t>
        </is>
      </c>
      <c r="B10" s="458" t="inlineStr">
        <is>
          <t>Màn "Quà đã nhận" rỗng khi chưa nhận quà nào</t>
        </is>
      </c>
      <c r="C10" s="458" t="inlineStr">
        <is>
          <t>Quan sát thực tế app / QA đề xuất — C-ORD-06</t>
        </is>
      </c>
      <c r="D10" s="459" t="inlineStr">
        <is>
          <t>N/A: 1 case (display-only)</t>
        </is>
      </c>
      <c r="E10" s="459" t="inlineStr">
        <is>
          <t>N/A: no range field</t>
        </is>
      </c>
      <c r="F10" s="459" t="inlineStr">
        <is>
          <t>N/A: single condition</t>
        </is>
      </c>
      <c r="G10" s="459" t="inlineStr">
        <is>
          <t>N/A: no lifecycle</t>
        </is>
      </c>
      <c r="H10" s="459" t="inlineStr">
        <is>
          <t>N/A: &lt;3 params</t>
        </is>
      </c>
      <c r="I10" s="459" t="inlineStr">
        <is>
          <t>N/A: no user free-text input</t>
        </is>
      </c>
      <c r="J10" s="459" t="inlineStr">
        <is>
          <t>N/A: not CRUD scope</t>
        </is>
      </c>
      <c r="K10" s="459" t="inlineStr">
        <is>
          <t>N/A: DT already N/A</t>
        </is>
      </c>
      <c r="L10" s="224" t="n">
        <v>1</v>
      </c>
      <c r="M10" s="224" t="inlineStr">
        <is>
          <t>N/A (0 applicable)</t>
        </is>
      </c>
    </row>
    <row r="11">
      <c r="A11" s="460" t="inlineStr">
        <is>
          <t>SC-GIFT-007</t>
        </is>
      </c>
      <c r="B11" s="461" t="inlineStr">
        <is>
          <t>Icon quay lại tại màn "Quà đã nhận"</t>
        </is>
      </c>
      <c r="C11" s="461" t="inlineStr">
        <is>
          <t>Quan sát thực tế app — nút quay lại</t>
        </is>
      </c>
      <c r="D11" s="459" t="inlineStr">
        <is>
          <t>N/A: 1 case duy nhất (navigation)</t>
        </is>
      </c>
      <c r="E11" s="459" t="inlineStr">
        <is>
          <t>N/A: no range field</t>
        </is>
      </c>
      <c r="F11" s="459" t="inlineStr">
        <is>
          <t>N/A: single condition</t>
        </is>
      </c>
      <c r="G11" s="459" t="inlineStr">
        <is>
          <t>N/A: UI navigation</t>
        </is>
      </c>
      <c r="H11" s="459" t="inlineStr">
        <is>
          <t>N/A: &lt;3 params</t>
        </is>
      </c>
      <c r="I11" s="459" t="inlineStr">
        <is>
          <t>N/A: tap action</t>
        </is>
      </c>
      <c r="J11" s="459" t="inlineStr">
        <is>
          <t>N/A: not CRUD scope</t>
        </is>
      </c>
      <c r="K11" s="459" t="inlineStr">
        <is>
          <t>N/A: DT already N/A</t>
        </is>
      </c>
      <c r="L11" s="460" t="n">
        <v>1</v>
      </c>
      <c r="M11" s="460" t="inlineStr">
        <is>
          <t>N/A (0 applicable)</t>
        </is>
      </c>
    </row>
    <row r="13">
      <c r="A13" s="224" t="inlineStr">
        <is>
          <t>Total scenarios: 10</t>
        </is>
      </c>
    </row>
    <row r="14">
      <c r="A14" s="224" t="inlineStr">
        <is>
          <t>Total TCs (baseline 12 + derived 5): 17</t>
        </is>
      </c>
    </row>
    <row r="15">
      <c r="A15" s="224" t="inlineStr">
        <is>
          <t>Most-applied technique: B1 EP (SC-USR-004: 0, SC-GIFT-003: 2) / B2 BVA (SC-USR-004: 3, SC-GIFT-003: 1)</t>
        </is>
      </c>
    </row>
    <row r="16">
      <c r="A16" s="224" t="inlineStr">
        <is>
          <t>Least-applied technique: B3 DT, B4 ST, B5 PW, B6 EG, B7 CRUD, B8 CEG — N/A toàn bộ 10 scenario (màn Cá nhân/Quà đã nhận là view-only + navigation, không có input field/state lifecycle/multi-condition — lý do log tại từng cột)</t>
        </is>
      </c>
    </row>
  </sheetData>
  <autoFilter ref="A1:M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10" customWidth="1" style="225" min="4" max="4"/>
  </cols>
  <sheetData>
    <row r="1" ht="23.85" customHeight="1" s="225">
      <c r="A1" s="464" t="inlineStr">
        <is>
          <t>SC ID</t>
        </is>
      </c>
      <c r="B1" s="464" t="inlineStr">
        <is>
          <t>Scenario Title</t>
        </is>
      </c>
      <c r="C1" s="464" t="inlineStr">
        <is>
          <t>Source Hint</t>
        </is>
      </c>
      <c r="D1" s="464" t="inlineStr">
        <is>
          <t>B1 EP</t>
        </is>
      </c>
      <c r="E1" s="464" t="inlineStr">
        <is>
          <t>B2 BVA</t>
        </is>
      </c>
      <c r="F1" s="464" t="inlineStr">
        <is>
          <t>B3 DT</t>
        </is>
      </c>
      <c r="G1" s="464" t="inlineStr">
        <is>
          <t>B4 ST</t>
        </is>
      </c>
      <c r="H1" s="464" t="inlineStr">
        <is>
          <t>B5 PW</t>
        </is>
      </c>
      <c r="I1" s="464" t="inlineStr">
        <is>
          <t>B6 EG</t>
        </is>
      </c>
      <c r="J1" s="464" t="inlineStr">
        <is>
          <t>B7 CRUD</t>
        </is>
      </c>
      <c r="K1" s="464" t="inlineStr">
        <is>
          <t>B8 CEG</t>
        </is>
      </c>
      <c r="L1" s="464" t="inlineStr">
        <is>
          <t>Total TCs</t>
        </is>
      </c>
      <c r="M1" s="464" t="inlineStr">
        <is>
          <t>Coverage %</t>
        </is>
      </c>
    </row>
    <row r="2" ht="15" customHeight="1" s="225">
      <c r="A2" s="446" t="inlineStr">
        <is>
          <t>SC-NTF-001</t>
        </is>
      </c>
      <c r="B2" s="443" t="inlineStr">
        <is>
          <t>Thông báo khi ghép ngay (NTF-01/02)</t>
        </is>
      </c>
      <c r="C2" s="443" t="inlineStr">
        <is>
          <t>DOC-v1.0-01 §D6 "NTF-01... NTF-02..."</t>
        </is>
      </c>
      <c r="D2" s="447" t="inlineStr">
        <is>
          <t>✅ 2</t>
        </is>
      </c>
      <c r="E2" s="448" t="inlineStr">
        <is>
          <t>N/A: no range field</t>
        </is>
      </c>
      <c r="F2" s="448" t="inlineStr">
        <is>
          <t>N/A: single condition</t>
        </is>
      </c>
      <c r="G2" s="448" t="inlineStr">
        <is>
          <t>N/A: state transition tested ở module ASN</t>
        </is>
      </c>
      <c r="H2" s="448" t="inlineStr">
        <is>
          <t>N/A: &lt;3 params</t>
        </is>
      </c>
      <c r="I2" s="448" t="inlineStr">
        <is>
          <t>N/A: no user free-text input</t>
        </is>
      </c>
      <c r="J2" s="448" t="inlineStr">
        <is>
          <t>N/A: not CRUD scope</t>
        </is>
      </c>
      <c r="K2" s="448" t="inlineStr">
        <is>
          <t>N/A: DT already N/A</t>
        </is>
      </c>
      <c r="L2" s="446" t="n">
        <v>2</v>
      </c>
      <c r="M2" s="447" t="inlineStr">
        <is>
          <t>100% (1/1)</t>
        </is>
      </c>
    </row>
    <row r="3" ht="15" customHeight="1" s="225">
      <c r="A3" s="449" t="inlineStr">
        <is>
          <t>SC-NTF-002</t>
        </is>
      </c>
      <c r="B3" s="440" t="inlineStr">
        <is>
          <t>Thông báo khi khớp tuyến OFFER (NTF-03)</t>
        </is>
      </c>
      <c r="C3" s="440" t="inlineStr">
        <is>
          <t>DOC-v1.0-04 "Tìm thấy đơn hàng phù hợp tuyến..."</t>
        </is>
      </c>
      <c r="D3" s="448" t="inlineStr">
        <is>
          <t>N/A: 1 case duy nhất trong SC này</t>
        </is>
      </c>
      <c r="E3" s="448" t="inlineStr">
        <is>
          <t>N/A: no range field</t>
        </is>
      </c>
      <c r="F3" s="448" t="inlineStr">
        <is>
          <t>N/A: single condition</t>
        </is>
      </c>
      <c r="G3" s="448" t="inlineStr">
        <is>
          <t>N/A: no lifecycle trong scope SC</t>
        </is>
      </c>
      <c r="H3" s="448" t="inlineStr">
        <is>
          <t>N/A: &lt;3 params</t>
        </is>
      </c>
      <c r="I3" s="448" t="inlineStr">
        <is>
          <t>N/A: no user free-text input</t>
        </is>
      </c>
      <c r="J3" s="448" t="inlineStr">
        <is>
          <t>N/A: not CRUD scope</t>
        </is>
      </c>
      <c r="K3" s="448" t="inlineStr">
        <is>
          <t>N/A: DT already N/A</t>
        </is>
      </c>
      <c r="L3" s="449" t="n">
        <v>1</v>
      </c>
      <c r="M3" s="449" t="inlineStr">
        <is>
          <t>N/A (0 applicable)</t>
        </is>
      </c>
    </row>
    <row r="4" ht="28.35" customHeight="1" s="225">
      <c r="A4" s="446" t="inlineStr">
        <is>
          <t>SC-NTF-003</t>
        </is>
      </c>
      <c r="B4" s="443" t="inlineStr">
        <is>
          <t>Thông báo theo mốc vận chuyển (NTF-04/05/06)</t>
        </is>
      </c>
      <c r="C4" s="443" t="inlineStr">
        <is>
          <t>DOC-v1.0-01 §D6 "NTF-04...NTF-05...NTF-06"</t>
        </is>
      </c>
      <c r="D4" s="448" t="inlineStr">
        <is>
          <t>N/A: dedup với ST (event=milestone)</t>
        </is>
      </c>
      <c r="E4" s="448" t="inlineStr">
        <is>
          <t>N/A: no range field</t>
        </is>
      </c>
      <c r="F4" s="448" t="inlineStr">
        <is>
          <t>N/A: single condition per milestone</t>
        </is>
      </c>
      <c r="G4" s="447" t="inlineStr">
        <is>
          <t>✅ 6 (3 valid + 3 invalid)</t>
        </is>
      </c>
      <c r="H4" s="448" t="inlineStr">
        <is>
          <t>N/A: &lt;3 params</t>
        </is>
      </c>
      <c r="I4" s="448" t="inlineStr">
        <is>
          <t>N/A: no user free-text input</t>
        </is>
      </c>
      <c r="J4" s="448" t="inlineStr">
        <is>
          <t>N/A: not CRUD scope</t>
        </is>
      </c>
      <c r="K4" s="448" t="inlineStr">
        <is>
          <t>N/A: DT already N/A</t>
        </is>
      </c>
      <c r="L4" s="446" t="n">
        <v>6</v>
      </c>
      <c r="M4" s="447" t="inlineStr">
        <is>
          <t>100% (1/1)</t>
        </is>
      </c>
    </row>
    <row r="5" ht="15" customHeight="1" s="225">
      <c r="A5" s="449" t="inlineStr">
        <is>
          <t>SC-NTF-004</t>
        </is>
      </c>
      <c r="B5" s="440" t="inlineStr">
        <is>
          <t>Thông báo khi nhận quà cảm ơn (NTF-07)</t>
        </is>
      </c>
      <c r="C5" s="440" t="inlineStr">
        <is>
          <t>DOC-v1.0-04 "Bạn nhận được một món quà cảm ơn 🎁"</t>
        </is>
      </c>
      <c r="D5" s="448" t="inlineStr">
        <is>
          <t>N/A: 1 case duy nhất (biến thể quà thuộc scope GIFT)</t>
        </is>
      </c>
      <c r="E5" s="448" t="inlineStr">
        <is>
          <t>N/A: no range field</t>
        </is>
      </c>
      <c r="F5" s="448" t="inlineStr">
        <is>
          <t>N/A: single condition</t>
        </is>
      </c>
      <c r="G5" s="448" t="inlineStr">
        <is>
          <t>N/A: no lifecycle</t>
        </is>
      </c>
      <c r="H5" s="448" t="inlineStr">
        <is>
          <t>N/A: &lt;3 params</t>
        </is>
      </c>
      <c r="I5" s="448" t="inlineStr">
        <is>
          <t>N/A: no user free-text input</t>
        </is>
      </c>
      <c r="J5" s="448" t="inlineStr">
        <is>
          <t>N/A: not CRUD scope</t>
        </is>
      </c>
      <c r="K5" s="448" t="inlineStr">
        <is>
          <t>N/A: DT already N/A</t>
        </is>
      </c>
      <c r="L5" s="449" t="n">
        <v>1</v>
      </c>
      <c r="M5" s="449" t="inlineStr">
        <is>
          <t>N/A (0 applicable)</t>
        </is>
      </c>
    </row>
    <row r="6" ht="28.35" customHeight="1" s="225">
      <c r="A6" s="446" t="inlineStr">
        <is>
          <t>SC-NTF-005</t>
        </is>
      </c>
      <c r="B6" s="443" t="inlineStr">
        <is>
          <t>Thông báo khi đơn huỷ (NTF-08) và tin quá hạn (NTF-09)</t>
        </is>
      </c>
      <c r="C6" s="443" t="inlineStr">
        <is>
          <t>DOC-v1.0-04 "Đơn của bạn đã bị người vận chuyển huỷ..."</t>
        </is>
      </c>
      <c r="D6" s="447" t="inlineStr">
        <is>
          <t>✅ 4 (huỷ-Carrier/Sender/Receiver + quá-hạn)</t>
        </is>
      </c>
      <c r="E6" s="448" t="inlineStr">
        <is>
          <t>N/A: no range field</t>
        </is>
      </c>
      <c r="F6" s="448" t="inlineStr">
        <is>
          <t>N/A: single condition per case</t>
        </is>
      </c>
      <c r="G6" s="448" t="inlineStr">
        <is>
          <t>N/A: dedup với module CNL (state-gate)</t>
        </is>
      </c>
      <c r="H6" s="448" t="inlineStr">
        <is>
          <t>N/A: &lt;3 params</t>
        </is>
      </c>
      <c r="I6" s="448" t="inlineStr">
        <is>
          <t>N/A: lý do huỷ là input, nhưng validate thuộc scope CNL</t>
        </is>
      </c>
      <c r="J6" s="448" t="inlineStr">
        <is>
          <t>N/A: not CRUD scope</t>
        </is>
      </c>
      <c r="K6" s="448" t="inlineStr">
        <is>
          <t>N/A: DT already N/A</t>
        </is>
      </c>
      <c r="L6" s="446" t="n">
        <v>4</v>
      </c>
      <c r="M6" s="447" t="inlineStr">
        <is>
          <t>100% (1/1)</t>
        </is>
      </c>
    </row>
    <row r="7" ht="15" customHeight="1" s="225">
      <c r="A7" s="449" t="inlineStr">
        <is>
          <t>SC-ASN-013</t>
        </is>
      </c>
      <c r="B7" s="440" t="inlineStr">
        <is>
          <t>Hệ thống chỉ bắn tối đa 5 thông báo khớp tin cho Carrier, tính riêng theo TỪNG TIN — không cộng dồn theo ngày</t>
        </is>
      </c>
      <c r="C7" s="440" t="inlineStr">
        <is>
          <t>DOC-v1.0-01 §D7 "OPR-01" + BA xác nhận qua chat 2026-07-29 (thay thế SC-NTF-006, DEPRECATED)</t>
        </is>
      </c>
      <c r="D7" s="448" t="inlineStr">
        <is>
          <t>N/A: no enum domain</t>
        </is>
      </c>
      <c r="E7" s="447" t="inlineStr">
        <is>
          <t>✅ 3 (BVA-min-1 / max / max+1 quanh trần 5)</t>
        </is>
      </c>
      <c r="F7" s="448" t="inlineStr">
        <is>
          <t>N/A: single condition (counter)</t>
        </is>
      </c>
      <c r="G7" s="448" t="inlineStr">
        <is>
          <t>N/A: no lifecycle (counter, not state machine)</t>
        </is>
      </c>
      <c r="H7" s="448" t="inlineStr">
        <is>
          <t>N/A: &lt;3 params</t>
        </is>
      </c>
      <c r="I7" s="448" t="inlineStr">
        <is>
          <t>N/A: no user free-text input</t>
        </is>
      </c>
      <c r="J7" s="448" t="inlineStr">
        <is>
          <t>N/A: not CRUD scope</t>
        </is>
      </c>
      <c r="K7" s="448" t="inlineStr">
        <is>
          <t>N/A: DT already N/A</t>
        </is>
      </c>
      <c r="L7" s="449" t="n">
        <v>3</v>
      </c>
      <c r="M7" s="447" t="inlineStr">
        <is>
          <t>100% (1/1)</t>
        </is>
      </c>
    </row>
    <row r="8" ht="15" customHeight="1" s="225">
      <c r="A8" s="446" t="inlineStr">
        <is>
          <t>SC-NTF-007</t>
        </is>
      </c>
      <c r="B8" s="443" t="inlineStr">
        <is>
          <t>Empty state khi chưa có thông báo nào</t>
        </is>
      </c>
      <c r="C8" s="443" t="inlineStr">
        <is>
          <t>Quan sát thực tế app / QA đề xuất</t>
        </is>
      </c>
      <c r="D8" s="448" t="inlineStr">
        <is>
          <t>N/A: 1 case (display-only)</t>
        </is>
      </c>
      <c r="E8" s="448" t="inlineStr">
        <is>
          <t>N/A: no range field</t>
        </is>
      </c>
      <c r="F8" s="448" t="inlineStr">
        <is>
          <t>N/A: single condition</t>
        </is>
      </c>
      <c r="G8" s="448" t="inlineStr">
        <is>
          <t>N/A: no lifecycle</t>
        </is>
      </c>
      <c r="H8" s="448" t="inlineStr">
        <is>
          <t>N/A: &lt;3 params</t>
        </is>
      </c>
      <c r="I8" s="448" t="inlineStr">
        <is>
          <t>N/A: no user free-text input</t>
        </is>
      </c>
      <c r="J8" s="448" t="inlineStr">
        <is>
          <t>N/A: not CRUD scope</t>
        </is>
      </c>
      <c r="K8" s="448" t="inlineStr">
        <is>
          <t>N/A: DT already N/A</t>
        </is>
      </c>
      <c r="L8" s="446" t="n">
        <v>1</v>
      </c>
      <c r="M8" s="446" t="inlineStr">
        <is>
          <t>N/A (0 applicable)</t>
        </is>
      </c>
    </row>
    <row r="9" ht="28.35" customHeight="1" s="225">
      <c r="A9" s="449" t="inlineStr">
        <is>
          <t>SC-NTF-008</t>
        </is>
      </c>
      <c r="B9" s="440" t="inlineStr">
        <is>
          <t>Đánh dấu đã đọc (tap 1 thông báo / nút mark-all)</t>
        </is>
      </c>
      <c r="C9" s="440" t="inlineStr">
        <is>
          <t>DOC-v1.0-04 / QA đề xuất hành vi — C-NTF-03</t>
        </is>
      </c>
      <c r="D9" s="448" t="inlineStr">
        <is>
          <t>N/A: dedup với ST (2 phương thức = 2 transition)</t>
        </is>
      </c>
      <c r="E9" s="448" t="inlineStr">
        <is>
          <t>N/A: no range field</t>
        </is>
      </c>
      <c r="F9" s="448" t="inlineStr">
        <is>
          <t>N/A: single condition per case</t>
        </is>
      </c>
      <c r="G9" s="447" t="inlineStr">
        <is>
          <t>✅ 4 (2 valid + 2 idempotent)</t>
        </is>
      </c>
      <c r="H9" s="448" t="inlineStr">
        <is>
          <t>N/A: &lt;3 params</t>
        </is>
      </c>
      <c r="I9" s="448" t="inlineStr">
        <is>
          <t>N/A: no user free-text input</t>
        </is>
      </c>
      <c r="J9" s="448" t="inlineStr">
        <is>
          <t>N/A: dedup với ST (Update perspective)</t>
        </is>
      </c>
      <c r="K9" s="448" t="inlineStr">
        <is>
          <t>N/A: DT already N/A</t>
        </is>
      </c>
      <c r="L9" s="449" t="n">
        <v>4</v>
      </c>
      <c r="M9" s="447" t="inlineStr">
        <is>
          <t>100% (1/1)</t>
        </is>
      </c>
    </row>
    <row r="10" ht="15" customHeight="1" s="225">
      <c r="A10" s="446" t="inlineStr">
        <is>
          <t>SC-NTF-009</t>
        </is>
      </c>
      <c r="B10" s="443" t="inlineStr">
        <is>
          <t>Scroll xuống load thêm dữ liệu (phân trang)</t>
        </is>
      </c>
      <c r="C10" s="443" t="inlineStr">
        <is>
          <t>Quan sát thực tế app / QA đề xuất — C-NTF-03</t>
        </is>
      </c>
      <c r="D10" s="447" t="inlineStr">
        <is>
          <t>✅ 1 (network-error edge case)</t>
        </is>
      </c>
      <c r="E10" s="447" t="inlineStr">
        <is>
          <t>✅ 4 (page1/page2/last-page/over-scroll)</t>
        </is>
      </c>
      <c r="F10" s="448" t="inlineStr">
        <is>
          <t>N/A: single condition</t>
        </is>
      </c>
      <c r="G10" s="448" t="inlineStr">
        <is>
          <t>N/A: no explicit state lifecycle</t>
        </is>
      </c>
      <c r="H10" s="448" t="inlineStr">
        <is>
          <t>N/A: &lt;3 params (chỉ có param page)</t>
        </is>
      </c>
      <c r="I10" s="448" t="inlineStr">
        <is>
          <t>N/A: page index không phải user free-text</t>
        </is>
      </c>
      <c r="J10" s="448" t="inlineStr">
        <is>
          <t>N/A: read-only listing</t>
        </is>
      </c>
      <c r="K10" s="448" t="inlineStr">
        <is>
          <t>N/A: DT already N/A</t>
        </is>
      </c>
      <c r="L10" s="446" t="n">
        <v>5</v>
      </c>
      <c r="M10" s="447" t="inlineStr">
        <is>
          <t>100% (2/2)</t>
        </is>
      </c>
    </row>
    <row r="11">
      <c r="A11" s="446" t="inlineStr">
        <is>
          <t>SC-NTF-010</t>
        </is>
      </c>
      <c r="B11" s="443" t="inlineStr">
        <is>
          <t>Nội dung push không chứa SĐT (kiểm soát lộ liên hệ, OPR-07)</t>
        </is>
      </c>
      <c r="C11" s="443" t="inlineStr">
        <is>
          <t>DOC-v1.0-01 §D7 "OPR-07 ... không đưa SĐT vào nội dung push"</t>
        </is>
      </c>
      <c r="D11" s="447" t="inlineStr">
        <is>
          <t>✅ 2 (EP-push-content-hidden-baseline / EP-push-content-hidden-later-lifecycle)</t>
        </is>
      </c>
      <c r="E11" s="447" t="inlineStr">
        <is>
          <t>N/A: single condition (có/không chứa SĐT), không có ≥2 điều kiện nhân</t>
        </is>
      </c>
      <c r="F11" s="448" t="inlineStr">
        <is>
          <t>N/A: single condition (có/không chứa SĐT), không có ≥2 điều kiện nhân</t>
        </is>
      </c>
      <c r="G11" s="448" t="inlineStr">
        <is>
          <t>N/A: single condition (có/không chứa SĐT), không có ≥2 điều kiện nhân</t>
        </is>
      </c>
      <c r="H11" s="448" t="inlineStr">
        <is>
          <t>N/A: single condition (có/không chứa SĐT), không có ≥2 điều kiện nhân</t>
        </is>
      </c>
      <c r="I11" s="448" t="inlineStr">
        <is>
          <t>N/A: single condition (có/không chứa SĐT), không có ≥2 điều kiện nhân</t>
        </is>
      </c>
      <c r="J11" s="448" t="inlineStr">
        <is>
          <t>N/A: single condition (có/không chứa SĐT), không có ≥2 điều kiện nhân</t>
        </is>
      </c>
      <c r="K11" s="448" t="inlineStr">
        <is>
          <t>N/A: single condition (có/không chứa SĐT), không có ≥2 điều kiện nhân</t>
        </is>
      </c>
      <c r="L11" s="446" t="n">
        <v>2</v>
      </c>
      <c r="M11" s="447" t="inlineStr">
        <is>
          <t>100% (2/2)</t>
        </is>
      </c>
    </row>
    <row r="12" ht="15" customHeight="1" s="225">
      <c r="A12" s="446" t="inlineStr">
        <is>
          <t>SC-NTF-011</t>
        </is>
      </c>
      <c r="B12" s="443" t="inlineStr">
        <is>
          <t>Icon quay lại tại màn Thông báo</t>
        </is>
      </c>
      <c r="C12" s="443" t="inlineStr">
        <is>
          <t>Quan sát thực tế app STG (QA GiangDC2, chat 2026-07-30)</t>
        </is>
      </c>
      <c r="D12" s="447" t="inlineStr">
        <is>
          <t>N/A: display/navigation-only, không có input/condition để áp dụng technique</t>
        </is>
      </c>
      <c r="E12" s="447" t="inlineStr">
        <is>
          <t>N/A: display/navigation-only, không có input/condition để áp dụng technique</t>
        </is>
      </c>
      <c r="F12" s="448" t="inlineStr">
        <is>
          <t>N/A: display/navigation-only, không có input/condition để áp dụng technique</t>
        </is>
      </c>
      <c r="G12" s="448" t="inlineStr">
        <is>
          <t>N/A: display/navigation-only, không có input/condition để áp dụng technique</t>
        </is>
      </c>
      <c r="H12" s="448" t="inlineStr">
        <is>
          <t>N/A: display/navigation-only, không có input/condition để áp dụng technique</t>
        </is>
      </c>
      <c r="I12" s="448" t="inlineStr">
        <is>
          <t>N/A: display/navigation-only, không có input/condition để áp dụng technique</t>
        </is>
      </c>
      <c r="J12" s="448" t="inlineStr">
        <is>
          <t>N/A: display/navigation-only, không có input/condition để áp dụng technique</t>
        </is>
      </c>
      <c r="K12" s="448" t="inlineStr">
        <is>
          <t>N/A: display/navigation-only, không có input/condition để áp dụng technique</t>
        </is>
      </c>
      <c r="L12" s="446" t="n">
        <v>1</v>
      </c>
      <c r="M12" s="447" t="inlineStr">
        <is>
          <t>100% (2/2)</t>
        </is>
      </c>
    </row>
    <row r="13" ht="15" customHeight="1" s="225">
      <c r="A13" s="450" t="inlineStr">
        <is>
          <t>Total scenarios: 10 (8 NTF còn hiệu lực + SC-ASN-013 + SC-NTF-010 [NEW 2026-07-30, OPR-07]; SC-NTF-006 đã DEPRECATED 2026-07-29 nên không còn row riêng)</t>
        </is>
      </c>
    </row>
    <row r="14" ht="15" customHeight="1" s="225">
      <c r="A14" s="450" t="inlineStr">
        <is>
          <t>Total TCs derived (per-scenario rubric, chưa gồm Step 3b completeness TC): 30</t>
        </is>
      </c>
    </row>
    <row r="15" ht="15" customHeight="1" s="225">
      <c r="A15" s="450" t="inlineStr">
        <is>
          <t>Most-applied technique: B4 ST (SC-NTF-003: 6, SC-NTF-008: 4) / B2 BVA (SC-NTF-006: 3, SC-NTF-009: 4)</t>
        </is>
      </c>
    </row>
    <row r="16">
      <c r="A16" s="450" t="inlineStr">
        <is>
          <t>Least-applied technique: B3 DT, B5 PW, B7 CRUD, B8 CEG — N/A toàn bộ 9 scenario (lý do log tại từng cột)</t>
        </is>
      </c>
    </row>
  </sheetData>
  <autoFilter ref="A1:M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10" customWidth="1" style="225" min="4" max="4"/>
    <col width="10" customWidth="1" style="225" min="5" max="5"/>
    <col width="10" customWidth="1" style="225" min="6" max="6"/>
    <col width="10" customWidth="1" style="225" min="7" max="7"/>
    <col width="10" customWidth="1" style="225" min="8" max="8"/>
    <col width="10" customWidth="1" style="225" min="9" max="9"/>
    <col width="10" customWidth="1" style="225" min="10" max="10"/>
    <col width="10" customWidth="1" style="225" min="11" max="11"/>
    <col width="10" customWidth="1" style="225" min="12" max="12"/>
    <col width="10" customWidth="1" style="225" min="13" max="13"/>
  </cols>
  <sheetData>
    <row r="1">
      <c r="A1" s="457" t="inlineStr">
        <is>
          <t>SC ID</t>
        </is>
      </c>
      <c r="B1" s="457" t="inlineStr">
        <is>
          <t>Scenario Title</t>
        </is>
      </c>
      <c r="C1" s="457" t="inlineStr">
        <is>
          <t>Source Hint</t>
        </is>
      </c>
      <c r="D1" s="457" t="inlineStr">
        <is>
          <t>B1 EP</t>
        </is>
      </c>
      <c r="E1" s="457" t="inlineStr">
        <is>
          <t>B2 BVA</t>
        </is>
      </c>
      <c r="F1" s="457" t="inlineStr">
        <is>
          <t>B3 DT</t>
        </is>
      </c>
      <c r="G1" s="457" t="inlineStr">
        <is>
          <t>B4 ST</t>
        </is>
      </c>
      <c r="H1" s="457" t="inlineStr">
        <is>
          <t>B5 PW</t>
        </is>
      </c>
      <c r="I1" s="457" t="inlineStr">
        <is>
          <t>B6 EG</t>
        </is>
      </c>
      <c r="J1" s="457" t="inlineStr">
        <is>
          <t>B7 CRUD</t>
        </is>
      </c>
      <c r="K1" s="457" t="inlineStr">
        <is>
          <t>B8 CEG</t>
        </is>
      </c>
      <c r="L1" s="457" t="inlineStr">
        <is>
          <t>Total TCs</t>
        </is>
      </c>
      <c r="M1" s="457" t="inlineStr">
        <is>
          <t>Coverage %</t>
        </is>
      </c>
    </row>
    <row r="2">
      <c r="A2" s="224" t="inlineStr">
        <is>
          <t>SC-ORD-001</t>
        </is>
      </c>
      <c r="B2" s="458" t="inlineStr">
        <is>
          <t>Đăng tin NEED qua wizard 3 bước (happy path + điều hướng)</t>
        </is>
      </c>
      <c r="C2" s="458" t="inlineStr">
        <is>
          <t>User chọn 'Tôi cần gửi hàng' → điền đủ B1→B2→B3, tick điều khoản, bấm 'Đăng…</t>
        </is>
      </c>
      <c r="D2" s="459" t="inlineStr">
        <is>
          <t>N/A: no discrete input domain</t>
        </is>
      </c>
      <c r="E2" s="459" t="inlineStr">
        <is>
          <t>N/A: no range field</t>
        </is>
      </c>
      <c r="F2" s="459" t="inlineStr">
        <is>
          <t>N/A: single condition</t>
        </is>
      </c>
      <c r="G2" s="463" t="inlineStr">
        <is>
          <t>✅ 4</t>
        </is>
      </c>
      <c r="H2" s="459" t="inlineStr">
        <is>
          <t>N/A: &lt;3 params</t>
        </is>
      </c>
      <c r="I2" s="459" t="inlineStr">
        <is>
          <t>N/A: not free-text input</t>
        </is>
      </c>
      <c r="J2" s="459" t="inlineStr">
        <is>
          <t>N/A: Create đã = baseline, không tách CRUD riêng</t>
        </is>
      </c>
      <c r="K2" s="459" t="inlineStr">
        <is>
          <t>N/A: B3 escalation not triggered</t>
        </is>
      </c>
      <c r="L2" s="224" t="n">
        <v>7</v>
      </c>
      <c r="M2" s="463" t="inlineStr">
        <is>
          <t>100% (1/1)</t>
        </is>
      </c>
    </row>
    <row r="3">
      <c r="A3" s="460" t="inlineStr">
        <is>
          <t>SC-ORD-002</t>
        </is>
      </c>
      <c r="B3" s="461" t="inlineStr">
        <is>
          <t>Đăng tin OFFER (form 1 bước)</t>
        </is>
      </c>
      <c r="C3" s="461" t="inlineStr">
        <is>
          <t>User chọn 'Tôi nhận giao hàng' → Điền điểm A/B, khung giờ, tick điều khoản…</t>
        </is>
      </c>
      <c r="D3" s="459" t="inlineStr">
        <is>
          <t>N/A: 0-dim, fields covered ở SC-027/028 (OFFER instance)</t>
        </is>
      </c>
      <c r="E3" s="459" t="inlineStr">
        <is>
          <t>N/A: 0-dim (spot-check kèm SC-027/028)</t>
        </is>
      </c>
      <c r="F3" s="459" t="inlineStr">
        <is>
          <t>N/A: single condition</t>
        </is>
      </c>
      <c r="G3" s="459" t="inlineStr">
        <is>
          <t>N/A: no lifecycle riêng</t>
        </is>
      </c>
      <c r="H3" s="459" t="inlineStr">
        <is>
          <t>N/A: &lt;3 params</t>
        </is>
      </c>
      <c r="I3" s="459" t="inlineStr">
        <is>
          <t>N/A: 0-dim (spot-check kèm SC-027)</t>
        </is>
      </c>
      <c r="J3" s="459" t="inlineStr">
        <is>
          <t>N/A: Create=baseline, Update=SC-008</t>
        </is>
      </c>
      <c r="K3" s="459" t="inlineStr">
        <is>
          <t>N/A</t>
        </is>
      </c>
      <c r="L3" s="460" t="n">
        <v>3</v>
      </c>
      <c r="M3" s="460" t="inlineStr">
        <is>
          <t>N/A (0-dim beyond baseline)</t>
        </is>
      </c>
    </row>
    <row r="4">
      <c r="A4" s="224" t="inlineStr">
        <is>
          <t>SC-ORD-003</t>
        </is>
      </c>
      <c r="B4" s="458" t="inlineStr">
        <is>
          <t>Tin xuất hiện ở 'Đơn của tôi', không hiện mã đơn</t>
        </is>
      </c>
      <c r="C4" s="458" t="inlineStr">
        <is>
          <t>Đăng tin thành công! Tin của bạn đã được đăng lên bảng tin…</t>
        </is>
      </c>
      <c r="D4" s="463" t="inlineStr">
        <is>
          <t>✅ 2</t>
        </is>
      </c>
      <c r="E4" s="459" t="inlineStr">
        <is>
          <t>N/A: no range field</t>
        </is>
      </c>
      <c r="F4" s="459" t="inlineStr">
        <is>
          <t>N/A: single condition</t>
        </is>
      </c>
      <c r="G4" s="459" t="inlineStr">
        <is>
          <t>N/A: no lifecycle</t>
        </is>
      </c>
      <c r="H4" s="459" t="inlineStr">
        <is>
          <t>N/A: &lt;3 params</t>
        </is>
      </c>
      <c r="I4" s="459" t="inlineStr">
        <is>
          <t>N/A: not user-input</t>
        </is>
      </c>
      <c r="J4" s="459" t="inlineStr">
        <is>
          <t>N/A: not CRUD</t>
        </is>
      </c>
      <c r="K4" s="459" t="inlineStr">
        <is>
          <t>N/A</t>
        </is>
      </c>
      <c r="L4" s="224" t="n">
        <v>4</v>
      </c>
      <c r="M4" s="463" t="inlineStr">
        <is>
          <t>100% (1/1)</t>
        </is>
      </c>
    </row>
    <row r="5">
      <c r="A5" s="460" t="inlineStr">
        <is>
          <t>SC-ORD-004</t>
        </is>
      </c>
      <c r="B5" s="461" t="inlineStr">
        <is>
          <t>Timeline tin ghi nhận đầy đủ mốc thời gian (Theo dõi đơn — Sender)</t>
        </is>
      </c>
      <c r="C5" s="461" t="inlineStr">
        <is>
          <t>Tin đã qua ≥2 trạng thái → mở Theo dõi đơn, xem Lịch sử → timeline hiện đủ mốc kèm timestamp…</t>
        </is>
      </c>
      <c r="D5" s="459" t="inlineStr">
        <is>
          <t>N/A: no discrete input</t>
        </is>
      </c>
      <c r="E5" s="459" t="inlineStr">
        <is>
          <t>N/A: no range field</t>
        </is>
      </c>
      <c r="F5" s="459" t="inlineStr">
        <is>
          <t>N/A: single condition</t>
        </is>
      </c>
      <c r="G5" s="459" t="inlineStr">
        <is>
          <t>N/A: display/history của lifecycle đã test transition ở SC-005/SC-009, đây là completeness hiển thị</t>
        </is>
      </c>
      <c r="H5" s="459" t="inlineStr">
        <is>
          <t>N/A: &lt;3 params</t>
        </is>
      </c>
      <c r="I5" s="459" t="inlineStr">
        <is>
          <t>N/A: not user-input</t>
        </is>
      </c>
      <c r="J5" s="459" t="inlineStr">
        <is>
          <t>N/A: not CRUD</t>
        </is>
      </c>
      <c r="K5" s="459" t="inlineStr">
        <is>
          <t>N/A</t>
        </is>
      </c>
      <c r="L5" s="460" t="n">
        <v>3</v>
      </c>
      <c r="M5" s="463" t="inlineStr">
        <is>
          <t>100% (0/0 — chủ yếu completeness Step 3b, không có technique B1-B8 riêng applicable)</t>
        </is>
      </c>
    </row>
    <row r="6">
      <c r="A6" s="224" t="inlineStr">
        <is>
          <t>SC-ORD-005</t>
        </is>
      </c>
      <c r="B6" s="458" t="inlineStr">
        <is>
          <t>Tin tự động 'Hết hạn' khi quá thời gian không ai ghép</t>
        </is>
      </c>
      <c r="C6" s="458" t="inlineStr">
        <is>
          <t>Tin POSTED quá thời gian cấu hình mà chưa MATCHED → EXPIRED…</t>
        </is>
      </c>
      <c r="D6" s="459" t="inlineStr">
        <is>
          <t>N/A: no discrete input</t>
        </is>
      </c>
      <c r="E6" s="459" t="inlineStr">
        <is>
          <t>N/A: BVA hợp nhất vào ST (mốc hạn = giá trị user chọn)</t>
        </is>
      </c>
      <c r="F6" s="459" t="inlineStr">
        <is>
          <t>N/A: single condition</t>
        </is>
      </c>
      <c r="G6" s="463" t="inlineStr">
        <is>
          <t>N/A: coverage đã chuyển hẳn sang TC-HOATDONG-v1.0.xlsx (rows 18-19) — dedupe 2026-07-29, tránh trùng TC với module Đăng tin</t>
        </is>
      </c>
      <c r="H6" s="459" t="inlineStr">
        <is>
          <t>N/A: &lt;3 params</t>
        </is>
      </c>
      <c r="I6" s="459" t="inlineStr">
        <is>
          <t>N/A: not user-input</t>
        </is>
      </c>
      <c r="J6" s="459" t="inlineStr">
        <is>
          <t>N/A: lifecycle đã cover qua B4</t>
        </is>
      </c>
      <c r="K6" s="459" t="inlineStr">
        <is>
          <t>N/A</t>
        </is>
      </c>
      <c r="L6" s="224" t="n">
        <v>0</v>
      </c>
      <c r="M6" s="463" t="inlineStr">
        <is>
          <t>0 TC tại module này — cover tại TC_01 Hoạt động (TC_01.9/TC_01.10), xem sheet Coverage Matrix</t>
        </is>
      </c>
    </row>
    <row r="7">
      <c r="A7" s="460" t="inlineStr">
        <is>
          <t>SC-ORD-006</t>
        </is>
      </c>
      <c r="B7" s="461" t="inlineStr">
        <is>
          <t>Không tick điều khoản → chặn đăng tin (Bước 3)</t>
        </is>
      </c>
      <c r="C7" s="461" t="inlineStr">
        <is>
          <t>Xác nhận điều khoản | Bắt buộc tick mới bật được nút Đăng tin…</t>
        </is>
      </c>
      <c r="D7" s="459" t="inlineStr">
        <is>
          <t>N/A: 0-dim, EP nửa còn lại (tick=allow) đã cover ở SC-001 baseline</t>
        </is>
      </c>
      <c r="E7" s="459" t="inlineStr">
        <is>
          <t>N/A: no range field</t>
        </is>
      </c>
      <c r="F7" s="459" t="inlineStr">
        <is>
          <t>N/A: single condition (DT đầy đủ đã tách riêng SC-030)</t>
        </is>
      </c>
      <c r="G7" s="459" t="inlineStr">
        <is>
          <t>N/A: no lifecycle</t>
        </is>
      </c>
      <c r="H7" s="459" t="inlineStr">
        <is>
          <t>N/A: &lt;3 params</t>
        </is>
      </c>
      <c r="I7" s="459" t="inlineStr">
        <is>
          <t>N/A: not free-text</t>
        </is>
      </c>
      <c r="J7" s="459" t="inlineStr">
        <is>
          <t>N/A: not CRUD</t>
        </is>
      </c>
      <c r="K7" s="459" t="inlineStr">
        <is>
          <t>N/A</t>
        </is>
      </c>
      <c r="L7" s="460" t="n">
        <v>3</v>
      </c>
      <c r="M7" s="460" t="inlineStr">
        <is>
          <t>N/A (0-dim beyond baseline)</t>
        </is>
      </c>
    </row>
    <row r="8">
      <c r="A8" s="224" t="inlineStr">
        <is>
          <t>SC-ORD-007</t>
        </is>
      </c>
      <c r="B8" s="458" t="inlineStr">
        <is>
          <t>Bỏ trống Loại hàng/Giá trị/Người nhận bị chặn (validate bắt buộc)</t>
        </is>
      </c>
      <c r="C8" s="458" t="inlineStr">
        <is>
          <t>Ở Bước 1/3, không chọn Loại hàng/Giá trị (hoặc Bước 2/3 bỏ trống Người nhận)…</t>
        </is>
      </c>
      <c r="D8" s="463" t="inlineStr">
        <is>
          <t>✅ 3</t>
        </is>
      </c>
      <c r="E8" s="459" t="inlineStr">
        <is>
          <t>N/A: no range field</t>
        </is>
      </c>
      <c r="F8" s="459" t="inlineStr">
        <is>
          <t>N/A: single condition</t>
        </is>
      </c>
      <c r="G8" s="459" t="inlineStr">
        <is>
          <t>N/A: no lifecycle</t>
        </is>
      </c>
      <c r="H8" s="459" t="inlineStr">
        <is>
          <t>N/A: &lt;3 params</t>
        </is>
      </c>
      <c r="I8" s="459" t="inlineStr">
        <is>
          <t>N/A: not free-text (chip/required field)</t>
        </is>
      </c>
      <c r="J8" s="459" t="inlineStr">
        <is>
          <t>N/A: not CRUD</t>
        </is>
      </c>
      <c r="K8" s="459" t="inlineStr">
        <is>
          <t>N/A</t>
        </is>
      </c>
      <c r="L8" s="224" t="n">
        <v>5</v>
      </c>
      <c r="M8" s="463" t="inlineStr">
        <is>
          <t>100% (1/1)</t>
        </is>
      </c>
    </row>
    <row r="9">
      <c r="A9" s="460" t="inlineStr">
        <is>
          <t>SC-ORD-008</t>
        </is>
      </c>
      <c r="B9" s="461" t="inlineStr">
        <is>
          <t>Chỉnh sửa tin khi 'Chờ ghép'</t>
        </is>
      </c>
      <c r="C9" s="461" t="inlineStr">
        <is>
          <t>Nút 'Chỉnh sửa' chỉ hiện ở trạng thái Chờ ghép (POSTED); mở màn giống tạo đơn…</t>
        </is>
      </c>
      <c r="D9" s="463" t="inlineStr">
        <is>
          <t>✅ 1</t>
        </is>
      </c>
      <c r="E9" s="459" t="inlineStr">
        <is>
          <t>N/A: no range field</t>
        </is>
      </c>
      <c r="F9" s="459" t="inlineStr">
        <is>
          <t>N/A: single condition</t>
        </is>
      </c>
      <c r="G9" s="459" t="inlineStr">
        <is>
          <t>N/A: ST cover ở SC-009 (khoá)</t>
        </is>
      </c>
      <c r="H9" s="459" t="inlineStr">
        <is>
          <t>N/A: &lt;3 params</t>
        </is>
      </c>
      <c r="I9" s="459" t="inlineStr">
        <is>
          <t>N/A: not free-text riêng</t>
        </is>
      </c>
      <c r="J9" s="459" t="inlineStr">
        <is>
          <t>N/A: Update=baseline TC riêng, không tách CRUD matrix</t>
        </is>
      </c>
      <c r="K9" s="459" t="inlineStr">
        <is>
          <t>N/A</t>
        </is>
      </c>
      <c r="L9" s="460" t="n">
        <v>4</v>
      </c>
      <c r="M9" s="463" t="inlineStr">
        <is>
          <t>100% (1/1)</t>
        </is>
      </c>
    </row>
    <row r="10">
      <c r="A10" s="224" t="inlineStr">
        <is>
          <t>SC-ORD-009</t>
        </is>
      </c>
      <c r="B10" s="458" t="inlineStr">
        <is>
          <t>Khoá chỉnh sửa từ 'Đã ghép' trở đi</t>
        </is>
      </c>
      <c r="C10" s="458" t="inlineStr">
        <is>
          <t>Sau IN_TRANSIT không cho sửa; nút 'Chỉnh sửa' khoá hoàn toàn…</t>
        </is>
      </c>
      <c r="D10" s="459" t="inlineStr">
        <is>
          <t>N/A: no discrete input</t>
        </is>
      </c>
      <c r="E10" s="459" t="inlineStr">
        <is>
          <t>N/A: no range field</t>
        </is>
      </c>
      <c r="F10" s="459" t="inlineStr">
        <is>
          <t>N/A: single condition per state</t>
        </is>
      </c>
      <c r="G10" s="463" t="inlineStr">
        <is>
          <t>✅ 5 (thêm nhánh CANCELLED, 2026-07-30)</t>
        </is>
      </c>
      <c r="H10" s="459" t="inlineStr">
        <is>
          <t>N/A: &lt;3 params</t>
        </is>
      </c>
      <c r="I10" s="459" t="inlineStr">
        <is>
          <t>N/A: not user-input</t>
        </is>
      </c>
      <c r="J10" s="459" t="inlineStr">
        <is>
          <t>N/A: guard của Update, không tách CRUD riêng</t>
        </is>
      </c>
      <c r="K10" s="459" t="inlineStr">
        <is>
          <t>N/A</t>
        </is>
      </c>
      <c r="L10" s="224" t="n">
        <v>5</v>
      </c>
      <c r="M10" s="463" t="inlineStr">
        <is>
          <t>100% (1/1)</t>
        </is>
      </c>
    </row>
    <row r="11">
      <c r="A11" s="460" t="inlineStr">
        <is>
          <t>SC-ORD-010</t>
        </is>
      </c>
      <c r="B11" s="461" t="inlineStr">
        <is>
          <t>Chọn nhanh 1 trong 6 văn phòng preset FPT</t>
        </is>
      </c>
      <c r="C11" s="461" t="inlineStr">
        <is>
          <t>(LOC-03) — chưa có bằng chứng UI trong demo, cần vibe-test xác nhận</t>
        </is>
      </c>
      <c r="D11" s="459" t="inlineStr">
        <is>
          <t>N/A: 0-dim — 6 preset cùng 1 equivalence 'accept &amp; auto-fill', representative 1 TC đủ</t>
        </is>
      </c>
      <c r="E11" s="459" t="inlineStr">
        <is>
          <t>N/A: no range field</t>
        </is>
      </c>
      <c r="F11" s="459" t="inlineStr">
        <is>
          <t>N/A: single condition</t>
        </is>
      </c>
      <c r="G11" s="459" t="inlineStr">
        <is>
          <t>N/A: no lifecycle</t>
        </is>
      </c>
      <c r="H11" s="459" t="inlineStr">
        <is>
          <t>N/A: &lt;3 params</t>
        </is>
      </c>
      <c r="I11" s="459" t="inlineStr">
        <is>
          <t>N/A: không phải free-text</t>
        </is>
      </c>
      <c r="J11" s="459" t="inlineStr">
        <is>
          <t>N/A: read-only preset list, không phải CRUD entity</t>
        </is>
      </c>
      <c r="K11" s="459" t="inlineStr">
        <is>
          <t>N/A</t>
        </is>
      </c>
      <c r="L11" s="460" t="n">
        <v>3</v>
      </c>
      <c r="M11" s="460" t="inlineStr">
        <is>
          <t>N/A (0-dim, EP representative)</t>
        </is>
      </c>
    </row>
    <row r="12">
      <c r="A12" s="224" t="inlineStr">
        <is>
          <t>SC-ORD-011</t>
        </is>
      </c>
      <c r="B12" s="458" t="inlineStr">
        <is>
          <t>Email công ty người nhận có trong hệ thống → tự điền</t>
        </is>
      </c>
      <c r="C12" s="458" t="inlineStr">
        <is>
          <t>Email khớp danh bạ nội bộ → tự điền tên/SĐT/địa chỉ + báo 'Đã tìm thấy…'</t>
        </is>
      </c>
      <c r="D12" s="459" t="inlineStr">
        <is>
          <t>N/A: 0-dim, EG field email dồn hết vào SC-012 (sibling, cùng field)</t>
        </is>
      </c>
      <c r="E12" s="459" t="inlineStr">
        <is>
          <t>N/A: no range field</t>
        </is>
      </c>
      <c r="F12" s="459" t="inlineStr">
        <is>
          <t>N/A: single condition</t>
        </is>
      </c>
      <c r="G12" s="459" t="inlineStr">
        <is>
          <t>N/A: no lifecycle</t>
        </is>
      </c>
      <c r="H12" s="459" t="inlineStr">
        <is>
          <t>N/A: &lt;3 params</t>
        </is>
      </c>
      <c r="I12" s="459" t="inlineStr">
        <is>
          <t>N/A: deferred → SC-012 (sibling)</t>
        </is>
      </c>
      <c r="J12" s="459" t="inlineStr">
        <is>
          <t>N/A: not CRUD</t>
        </is>
      </c>
      <c r="K12" s="459" t="inlineStr">
        <is>
          <t>N/A</t>
        </is>
      </c>
      <c r="L12" s="224" t="n">
        <v>2</v>
      </c>
      <c r="M12" s="224" t="inlineStr">
        <is>
          <t>N/A (0-dim, EG deferred to SC-012)</t>
        </is>
      </c>
    </row>
    <row r="13">
      <c r="A13" s="460" t="inlineStr">
        <is>
          <t>SC-ORD-012</t>
        </is>
      </c>
      <c r="B13" s="461" t="inlineStr">
        <is>
          <t>Email công ty người nhận không tồn tại → nhập thủ công</t>
        </is>
      </c>
      <c r="C13" s="461" t="inlineStr">
        <is>
          <t>Email không khớp danh bạ → 'Không tìm thấy · nhập thủ công'…</t>
        </is>
      </c>
      <c r="D13" s="459" t="inlineStr">
        <is>
          <t>N/A: no discrete partition khác baseline</t>
        </is>
      </c>
      <c r="E13" s="459" t="inlineStr">
        <is>
          <t>N/A: no range field</t>
        </is>
      </c>
      <c r="F13" s="459" t="inlineStr">
        <is>
          <t>N/A: single condition</t>
        </is>
      </c>
      <c r="G13" s="459" t="inlineStr">
        <is>
          <t>N/A: no lifecycle</t>
        </is>
      </c>
      <c r="H13" s="459" t="inlineStr">
        <is>
          <t>N/A: &lt;3 params</t>
        </is>
      </c>
      <c r="I13" s="463" t="inlineStr">
        <is>
          <t>✅ 10</t>
        </is>
      </c>
      <c r="J13" s="459" t="inlineStr">
        <is>
          <t>N/A: not CRUD</t>
        </is>
      </c>
      <c r="K13" s="459" t="inlineStr">
        <is>
          <t>N/A</t>
        </is>
      </c>
      <c r="L13" s="460" t="n">
        <v>11</v>
      </c>
      <c r="M13" s="463" t="inlineStr">
        <is>
          <t>100% (1/1)</t>
        </is>
      </c>
    </row>
    <row r="14">
      <c r="A14" s="224" t="inlineStr">
        <is>
          <t>SC-ORD-013</t>
        </is>
      </c>
      <c r="B14" s="458" t="inlineStr">
        <is>
          <t>Chọn Giá trị hàng 'Cao' → cảnh báo trách nhiệm tự thoả thuận</t>
        </is>
      </c>
      <c r="C14" s="458" t="inlineStr">
        <is>
          <t>Chọn Giá trị cao → hiện cảnh báo trách nhiệm tự thoả thuận (BRD v3.2 §D8.1)…</t>
        </is>
      </c>
      <c r="D14" s="463" t="inlineStr">
        <is>
          <t>✅ 3</t>
        </is>
      </c>
      <c r="E14" s="459" t="inlineStr">
        <is>
          <t>N/A: categorical chip, không phải range số (ngưỡng SỐ TIỀN BR-ORD-03 vẫn Deferred)</t>
        </is>
      </c>
      <c r="F14" s="459" t="inlineStr">
        <is>
          <t>N/A: single condition</t>
        </is>
      </c>
      <c r="G14" s="459" t="inlineStr">
        <is>
          <t>N/A: no lifecycle</t>
        </is>
      </c>
      <c r="H14" s="459" t="inlineStr">
        <is>
          <t>N/A: &lt;3 params</t>
        </is>
      </c>
      <c r="I14" s="459" t="inlineStr">
        <is>
          <t>N/A: not free-text</t>
        </is>
      </c>
      <c r="J14" s="459" t="inlineStr">
        <is>
          <t>N/A: not CRUD</t>
        </is>
      </c>
      <c r="K14" s="459" t="inlineStr">
        <is>
          <t>N/A</t>
        </is>
      </c>
      <c r="L14" s="224" t="n">
        <v>3</v>
      </c>
      <c r="M14" s="463" t="inlineStr">
        <is>
          <t>100% (1/1)</t>
        </is>
      </c>
    </row>
    <row r="15">
      <c r="A15" s="460" t="inlineStr">
        <is>
          <t>SC-ORD-014</t>
        </is>
      </c>
      <c r="B15" s="461" t="inlineStr">
        <is>
          <t>Đăng tin chọn Loại hàng bất kỳ (kể cả Thuốc/Y tế) vẫn thành công</t>
        </is>
      </c>
      <c r="C15" s="461" t="inlineStr">
        <is>
          <t>v1.0 chưa triển khai validate chặn theo danh mục cấm (C-ORD-04 Resolved)…</t>
        </is>
      </c>
      <c r="D15" s="463" t="inlineStr">
        <is>
          <t>✅ 2</t>
        </is>
      </c>
      <c r="E15" s="459" t="inlineStr">
        <is>
          <t>N/A: no range field</t>
        </is>
      </c>
      <c r="F15" s="459" t="inlineStr">
        <is>
          <t>N/A: single condition</t>
        </is>
      </c>
      <c r="G15" s="459" t="inlineStr">
        <is>
          <t>N/A: no lifecycle</t>
        </is>
      </c>
      <c r="H15" s="459" t="inlineStr">
        <is>
          <t>N/A: &lt;3 params</t>
        </is>
      </c>
      <c r="I15" s="459" t="inlineStr">
        <is>
          <t>N/A: not free-text</t>
        </is>
      </c>
      <c r="J15" s="459" t="inlineStr">
        <is>
          <t>N/A: not CRUD</t>
        </is>
      </c>
      <c r="K15" s="459" t="inlineStr">
        <is>
          <t>N/A</t>
        </is>
      </c>
      <c r="L15" s="460" t="n">
        <v>3</v>
      </c>
      <c r="M15" s="463" t="inlineStr">
        <is>
          <t>100% (1/1)</t>
        </is>
      </c>
    </row>
    <row r="16">
      <c r="A16" s="224" t="inlineStr">
        <is>
          <t>SC-ORD-027</t>
        </is>
      </c>
      <c r="B16" s="458" t="inlineStr">
        <is>
          <t>Giới hạn ký tự tối đa + định dạng/kích thước ảnh (Ghi chú/Địa chỉ/Tên/Ảnh, NEED+OFFER)</t>
        </is>
      </c>
      <c r="C16" s="458" t="inlineStr">
        <is>
          <t>Ghi chú ≤300, Địa chỉ ≤200, Tên người nhận 2–60, Ảnh ≤5MB JPG/PNG (BRD v3.2 §D8.1/D8.2)…</t>
        </is>
      </c>
      <c r="D16" s="463" t="inlineStr">
        <is>
          <t>✅ 6</t>
        </is>
      </c>
      <c r="E16" s="463" t="inlineStr">
        <is>
          <t>✅ 18</t>
        </is>
      </c>
      <c r="F16" s="459" t="inlineStr">
        <is>
          <t>N/A: single condition per field</t>
        </is>
      </c>
      <c r="G16" s="459" t="inlineStr">
        <is>
          <t>N/A: no lifecycle</t>
        </is>
      </c>
      <c r="H16" s="459" t="inlineStr">
        <is>
          <t>N/A: &lt;3 params</t>
        </is>
      </c>
      <c r="I16" s="459" t="inlineStr">
        <is>
          <t>N/A: đã cover ở EP/BVA per field, không tách EG riêng (không phải free-text injection field)</t>
        </is>
      </c>
      <c r="J16" s="459" t="inlineStr">
        <is>
          <t>N/A: not CRUD</t>
        </is>
      </c>
      <c r="K16" s="459" t="inlineStr">
        <is>
          <t>N/A</t>
        </is>
      </c>
      <c r="L16" s="224" t="n">
        <v>24</v>
      </c>
      <c r="M16" s="463" t="inlineStr">
        <is>
          <t>100% (2/2)</t>
        </is>
      </c>
    </row>
    <row r="17">
      <c r="A17" s="460" t="inlineStr">
        <is>
          <t>SC-ORD-028</t>
        </is>
      </c>
      <c r="B17" s="461" t="inlineStr">
        <is>
          <t>Khung giờ (NEED + OFFER) phải cách nhau tối thiểu 30 phút</t>
        </is>
      </c>
      <c r="C17" s="461" t="inlineStr">
        <is>
          <t>Khung giờ (từ–đến) | đến &gt; từ; khoảng tối thiểu 30 phút (BRD v3.2 §D8.1/D8.2)…</t>
        </is>
      </c>
      <c r="D17" s="463" t="inlineStr">
        <is>
          <t>✅ 3</t>
        </is>
      </c>
      <c r="E17" s="463" t="inlineStr">
        <is>
          <t>✅ 5</t>
        </is>
      </c>
      <c r="F17" s="459" t="inlineStr">
        <is>
          <t>N/A: single condition</t>
        </is>
      </c>
      <c r="G17" s="459" t="inlineStr">
        <is>
          <t>N/A: no lifecycle</t>
        </is>
      </c>
      <c r="H17" s="459" t="inlineStr">
        <is>
          <t>N/A: &lt;3 params</t>
        </is>
      </c>
      <c r="I17" s="459" t="inlineStr">
        <is>
          <t>N/A: not free-text</t>
        </is>
      </c>
      <c r="J17" s="459" t="inlineStr">
        <is>
          <t>N/A: not CRUD</t>
        </is>
      </c>
      <c r="K17" s="459" t="inlineStr">
        <is>
          <t>N/A</t>
        </is>
      </c>
      <c r="L17" s="460" t="n">
        <v>9</v>
      </c>
      <c r="M17" s="463" t="inlineStr">
        <is>
          <t>100% (2/2)</t>
        </is>
      </c>
    </row>
    <row r="18">
      <c r="A18" s="224" t="inlineStr">
        <is>
          <t>SC-ORD-029</t>
        </is>
      </c>
      <c r="B18" s="458" t="inlineStr">
        <is>
          <t>Tự động cắt khoảng trắng + chuẩn hoá SĐT trước khi lưu (VAL-03)</t>
        </is>
      </c>
      <c r="C18" s="458" t="inlineStr">
        <is>
          <t>Tự cắt khoảng trắng đầu/cuối; chuẩn hoá SĐT trước khi lưu (BRD v3.2 §D8.3)…</t>
        </is>
      </c>
      <c r="D18" s="459" t="inlineStr">
        <is>
          <t>N/A: not discrete domain</t>
        </is>
      </c>
      <c r="E18" s="459" t="inlineStr">
        <is>
          <t>N/A: no range field</t>
        </is>
      </c>
      <c r="F18" s="459" t="inlineStr">
        <is>
          <t>N/A: single condition</t>
        </is>
      </c>
      <c r="G18" s="459" t="inlineStr">
        <is>
          <t>N/A: no lifecycle</t>
        </is>
      </c>
      <c r="H18" s="459" t="inlineStr">
        <is>
          <t>N/A: &lt;3 params</t>
        </is>
      </c>
      <c r="I18" s="463" t="inlineStr">
        <is>
          <t>✅ 2</t>
        </is>
      </c>
      <c r="J18" s="459" t="inlineStr">
        <is>
          <t>N/A: not CRUD</t>
        </is>
      </c>
      <c r="K18" s="459" t="inlineStr">
        <is>
          <t>N/A</t>
        </is>
      </c>
      <c r="L18" s="224" t="n">
        <v>2</v>
      </c>
      <c r="M18" s="463" t="inlineStr">
        <is>
          <t>100% (1/1)</t>
        </is>
      </c>
    </row>
    <row r="19" s="225">
      <c r="A19" s="460" t="inlineStr">
        <is>
          <t>SC-ORD-030</t>
        </is>
      </c>
      <c r="B19" s="461" t="inlineStr">
        <is>
          <t>Nút submit disabled tới khi hợp lệ; lỗi inline on-blur; cuộn tới lỗi đầu tiên (VAL-01/02)</t>
        </is>
      </c>
      <c r="C19" s="461" t="inlineStr">
        <is>
          <t>Nút submit vô hiệu hoá đến khi mọi trường bắt buộc hợp lệ + đã tick điều khoản…</t>
        </is>
      </c>
      <c r="D19" s="459" t="inlineStr">
        <is>
          <t>N/A: not discrete partition riêng (đã dùng DT)</t>
        </is>
      </c>
      <c r="E19" s="459" t="inlineStr">
        <is>
          <t>N/A: no range field</t>
        </is>
      </c>
      <c r="F19" s="463" t="inlineStr">
        <is>
          <t>✅ 4</t>
        </is>
      </c>
      <c r="G19" s="459" t="inlineStr">
        <is>
          <t>N/A: no lifecycle</t>
        </is>
      </c>
      <c r="H19" s="459" t="inlineStr">
        <is>
          <t>N/A: &lt;3 params</t>
        </is>
      </c>
      <c r="I19" s="459" t="inlineStr">
        <is>
          <t>N/A: not free-text</t>
        </is>
      </c>
      <c r="J19" s="459" t="inlineStr">
        <is>
          <t>N/A: not CRUD</t>
        </is>
      </c>
      <c r="K19" s="459" t="inlineStr">
        <is>
          <t>N/A</t>
        </is>
      </c>
      <c r="L19" s="460" t="n">
        <v>6</v>
      </c>
      <c r="M19" s="463" t="inlineStr">
        <is>
          <t>100% (1/1)</t>
        </is>
      </c>
    </row>
    <row r="20" s="225">
      <c r="A20" s="460" t="inlineStr">
        <is>
          <t>SC-ORD-031</t>
        </is>
      </c>
      <c r="B20" s="461" t="inlineStr">
        <is>
          <t>Địa chỉ lấy hàng (Người gửi) — autocomplete + editability (Tên read-only, SĐT bắt buộc/validate)</t>
        </is>
      </c>
      <c r="C20" s="461" t="inlineStr">
        <is>
          <t>Gõ text hiện gợi ý, PHẢI chọn từ danh sách (không lưu tự do), không phân biệt hoa/thường…</t>
        </is>
      </c>
      <c r="D20" s="462" t="inlineStr">
        <is>
          <t>✅ 4 (EP-suggest-selected; EP-suggest-not-selected → không lưu; EP-sdt-valid; EP-sdt-invalid)</t>
        </is>
      </c>
      <c r="E20" s="465" t="inlineStr">
        <is>
          <t>N/A: no range field</t>
        </is>
      </c>
      <c r="F20" s="465" t="inlineStr">
        <is>
          <t>N/A: single condition (chọn/không chọn gợi ý)</t>
        </is>
      </c>
      <c r="G20" s="465" t="inlineStr">
        <is>
          <t>N/A: no lifecycle</t>
        </is>
      </c>
      <c r="H20" s="465" t="inlineStr">
        <is>
          <t>N/A: &lt;3 params</t>
        </is>
      </c>
      <c r="I20" s="462" t="inlineStr">
        <is>
          <t>✅ 3 (EG-case-insensitive; EG-empty-sdt; EG-readonly-Tên)</t>
        </is>
      </c>
      <c r="J20" s="465" t="inlineStr">
        <is>
          <t>N/A: not CRUD</t>
        </is>
      </c>
      <c r="K20" s="465" t="inlineStr">
        <is>
          <t>N/A</t>
        </is>
      </c>
      <c r="L20" s="460" t="n">
        <v>7</v>
      </c>
      <c r="M20" s="463" t="inlineStr">
        <is>
          <t>100% (2/2)</t>
        </is>
      </c>
    </row>
    <row r="21" s="225">
      <c r="A21" s="460" t="inlineStr">
        <is>
          <t>SC-ORD-032</t>
        </is>
      </c>
      <c r="B21" s="461" t="inlineStr">
        <is>
          <t>Địa chỉ giao hàng (Người nhận) — autocomplete + SĐT bắt buộc/validate</t>
        </is>
      </c>
      <c r="C21" s="461" t="inlineStr">
        <is>
          <t>Gõ text hiện gợi ý, PHẢI chọn từ danh sách (không lưu tự do), không phân biệt hoa/thường…</t>
        </is>
      </c>
      <c r="D21" s="462" t="inlineStr">
        <is>
          <t>✅ 4 (EP-suggest-selected; EP-suggest-not-selected → không lưu; EP-sdt-valid; EP-sdt-invalid)</t>
        </is>
      </c>
      <c r="E21" s="465" t="inlineStr">
        <is>
          <t>N/A: no range field</t>
        </is>
      </c>
      <c r="F21" s="465" t="inlineStr">
        <is>
          <t>N/A: single condition (chọn/không chọn gợi ý)</t>
        </is>
      </c>
      <c r="G21" s="465" t="inlineStr">
        <is>
          <t>N/A: no lifecycle</t>
        </is>
      </c>
      <c r="H21" s="465" t="inlineStr">
        <is>
          <t>N/A: &lt;3 params</t>
        </is>
      </c>
      <c r="I21" s="462" t="inlineStr">
        <is>
          <t>✅ 2 (EG-case-insensitive; EG-empty-sdt)</t>
        </is>
      </c>
      <c r="J21" s="465" t="inlineStr">
        <is>
          <t>N/A: not CRUD</t>
        </is>
      </c>
      <c r="K21" s="465" t="inlineStr">
        <is>
          <t>N/A</t>
        </is>
      </c>
      <c r="L21" s="460" t="n">
        <v>6</v>
      </c>
      <c r="M21" s="463" t="inlineStr">
        <is>
          <t>100% (2/2)</t>
        </is>
      </c>
    </row>
    <row r="22">
      <c r="A22" s="460" t="inlineStr">
        <is>
          <t>SC-ORD-035</t>
        </is>
      </c>
      <c r="B22" s="461" t="inlineStr">
        <is>
          <t>Icon quay lại/đóng tại màn "Đăng tin mới"</t>
        </is>
      </c>
      <c r="C22" s="461" t="inlineStr">
        <is>
          <t>Quan sát thực tế app STG (QA GiangDC2, chat 2026-07-30)</t>
        </is>
      </c>
      <c r="D22" s="462" t="inlineStr">
        <is>
          <t>N/A: display/navigation-only, không có input/condition để áp dụng technique</t>
        </is>
      </c>
      <c r="E22" s="465" t="inlineStr">
        <is>
          <t>N/A: display/navigation-only, không có input/condition để áp dụng technique</t>
        </is>
      </c>
      <c r="F22" s="465" t="inlineStr">
        <is>
          <t>N/A: display/navigation-only, không có input/condition để áp dụng technique</t>
        </is>
      </c>
      <c r="G22" s="465" t="inlineStr">
        <is>
          <t>N/A: display/navigation-only, không có input/condition để áp dụng technique</t>
        </is>
      </c>
      <c r="H22" s="465" t="inlineStr">
        <is>
          <t>N/A: display/navigation-only, không có input/condition để áp dụng technique</t>
        </is>
      </c>
      <c r="I22" s="462" t="inlineStr">
        <is>
          <t>N/A: display/navigation-only, không có input/condition để áp dụng technique</t>
        </is>
      </c>
      <c r="J22" s="465" t="inlineStr">
        <is>
          <t>N/A: display/navigation-only, không có input/condition để áp dụng technique</t>
        </is>
      </c>
      <c r="K22" s="465" t="inlineStr">
        <is>
          <t>N/A: display/navigation-only, không có input/condition để áp dụng technique</t>
        </is>
      </c>
      <c r="L22" s="460" t="n">
        <v>1</v>
      </c>
      <c r="M22" s="463" t="inlineStr">
        <is>
          <t>100% (2/2)</t>
        </is>
      </c>
    </row>
    <row r="23">
      <c r="A23" s="460" t="inlineStr">
        <is>
          <t>SC-ORD-036</t>
        </is>
      </c>
      <c r="B23" s="461" t="inlineStr">
        <is>
          <t>Icon quay lại/đóng tại Wizard đăng tin — Bước 1/3</t>
        </is>
      </c>
      <c r="C23" s="461" t="inlineStr">
        <is>
          <t>Quan sát thực tế app STG (QA GiangDC2, chat 2026-07-30)</t>
        </is>
      </c>
      <c r="D23" s="462" t="inlineStr">
        <is>
          <t>N/A: display/navigation-only, không có input/condition để áp dụng technique</t>
        </is>
      </c>
      <c r="E23" s="465" t="inlineStr">
        <is>
          <t>N/A: display/navigation-only, không có input/condition để áp dụng technique</t>
        </is>
      </c>
      <c r="F23" s="465" t="inlineStr">
        <is>
          <t>N/A: display/navigation-only, không có input/condition để áp dụng technique</t>
        </is>
      </c>
      <c r="G23" s="465" t="inlineStr">
        <is>
          <t>N/A: display/navigation-only, không có input/condition để áp dụng technique</t>
        </is>
      </c>
      <c r="H23" s="465" t="inlineStr">
        <is>
          <t>N/A: display/navigation-only, không có input/condition để áp dụng technique</t>
        </is>
      </c>
      <c r="I23" s="462" t="inlineStr">
        <is>
          <t>N/A: display/navigation-only, không có input/condition để áp dụng technique</t>
        </is>
      </c>
      <c r="J23" s="465" t="inlineStr">
        <is>
          <t>N/A: display/navigation-only, không có input/condition để áp dụng technique</t>
        </is>
      </c>
      <c r="K23" s="465" t="inlineStr">
        <is>
          <t>N/A: display/navigation-only, không có input/condition để áp dụng technique</t>
        </is>
      </c>
      <c r="L23" s="460" t="n">
        <v>1</v>
      </c>
      <c r="M23" s="463" t="inlineStr">
        <is>
          <t>100% (2/2)</t>
        </is>
      </c>
    </row>
    <row r="24">
      <c r="A24" s="466" t="inlineStr">
        <is>
          <t>Total scenarios: 20</t>
        </is>
      </c>
    </row>
    <row r="25">
      <c r="A25" s="466" t="inlineStr">
        <is>
          <t>Total TCs derived: 112</t>
        </is>
      </c>
    </row>
    <row r="26">
      <c r="A26" s="466" t="inlineStr">
        <is>
          <t>Average coverage %: 100% (mọi technique applicable đều đã apply; 5 SC 0-dim/completeness-only đã log lý do — SC-002/004/006/010/011)</t>
        </is>
      </c>
    </row>
    <row r="27">
      <c r="A27" s="466" t="inlineStr">
        <is>
          <t>Most-applied technique: B2 BVA (23 TCs: SC-027=18, SC-028=5)</t>
        </is>
      </c>
    </row>
    <row r="28">
      <c r="A28" s="466" t="inlineStr">
        <is>
          <t>Least-applied technique (áp dụng, khác N/A): B3 DT (4 TCs: SC-030)</t>
        </is>
      </c>
    </row>
    <row r="29">
      <c r="A29" s="467" t="inlineStr">
        <is>
          <t>B5 PW: N/A toàn module — không scenario nào có ≥3 tham số nhân (multiplicative params) trong phạm vi Đăng tin.</t>
        </is>
      </c>
    </row>
    <row r="30">
      <c r="A30" s="467" t="inlineStr">
        <is>
          <t>B7 CRUD: N/A toàn module — CRUD ops chia theo module khác (Delete→CNL 'Huỷ đơn', List→TC-HOATDONG fragment); Create/Update trong phạm vi này đã có TC baseline riêng (SC-001/002/008), không tách thêm CRUD matrix trùng lặp.</t>
        </is>
      </c>
    </row>
    <row r="31">
      <c r="A31" s="467" t="inlineStr">
        <is>
          <t>B8 CEG: N/A toàn module — B3 DT (SC-030) chỉ 3 rules sau collapse, không vượt ngưỡng 16 rules cần escalate.</t>
        </is>
      </c>
    </row>
  </sheetData>
  <autoFilter ref="A1:M21"/>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13"/>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26" customWidth="1" style="225" min="4" max="4"/>
    <col width="26" customWidth="1" style="225" min="5" max="5"/>
    <col width="26" customWidth="1" style="225" min="6" max="6"/>
    <col width="30" customWidth="1" style="225" min="7" max="7"/>
    <col width="12" customWidth="1" style="225" min="8" max="8"/>
    <col width="22" customWidth="1" style="225" min="9" max="9"/>
    <col width="22" customWidth="1" style="225" min="10" max="10"/>
    <col width="24" customWidth="1" style="225" min="11" max="11"/>
    <col width="10" customWidth="1" style="225" min="12" max="12"/>
    <col width="12"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SC-ORD-033</t>
        </is>
      </c>
      <c r="B2" s="458" t="inlineStr">
        <is>
          <t>Completeness màn Trang chủ (Header/Banner/Card/nút/bottom-nav)</t>
        </is>
      </c>
      <c r="C2" s="458" t="inlineStr">
        <is>
          <t>"Header | Icon vai trò + 'Xin chào, [Tên]' + chuông thông báo (chấm đỏ…"</t>
        </is>
      </c>
      <c r="D2" s="469" t="inlineStr">
        <is>
          <t>✅ 2 (EP-unread-exists/none; EP theo vai trò của icon Header log N/A — chưa có bằng chứng UI, §10.1)</t>
        </is>
      </c>
      <c r="E2" s="469" t="inlineStr">
        <is>
          <t>✅ 3 (BVA-min/min+1/large trên số đơn đã giúp)</t>
        </is>
      </c>
      <c r="F2" s="470" t="inlineStr">
        <is>
          <t>N/A: chỉ 1 điều kiện binary (red-dot), &lt;2 conditions</t>
        </is>
      </c>
      <c r="G2" s="470" t="inlineStr">
        <is>
          <t>N/A: no lifecycle trên màn này</t>
        </is>
      </c>
      <c r="H2" s="470" t="inlineStr">
        <is>
          <t>N/A: &lt;3 params</t>
        </is>
      </c>
      <c r="I2" s="470" t="inlineStr">
        <is>
          <t>N/A: màn read-only, không có input field</t>
        </is>
      </c>
      <c r="J2" s="470" t="inlineStr">
        <is>
          <t>N/A: display-only, không CRUD</t>
        </is>
      </c>
      <c r="K2" s="470" t="inlineStr">
        <is>
          <t>N/A: DT already N/A</t>
        </is>
      </c>
      <c r="L2" s="458" t="n">
        <v>13</v>
      </c>
      <c r="M2" s="469" t="inlineStr">
        <is>
          <t>100% (2/2)</t>
        </is>
      </c>
    </row>
    <row r="3">
      <c r="A3" s="471" t="inlineStr">
        <is>
          <t>SC-ORD-003</t>
        </is>
      </c>
      <c r="B3" s="471" t="inlineStr">
        <is>
          <t>Card "Đơn của tôi" tại Trang chủ (6 trường + badge trạng thái)</t>
        </is>
      </c>
      <c r="C3" s="471" t="inlineStr">
        <is>
          <t>"Đơn của tôi | Chỉ hiện khi có đơn đang hoạt động. Nhãn 'Gửi:' + loại hàng…"</t>
        </is>
      </c>
      <c r="D3" s="469" t="inlineStr">
        <is>
          <t>✅ 9 (5 badge trạng thái + no-active-order + 2 nhãn hướng Gửi/Nhận + progress theo mốc)</t>
        </is>
      </c>
      <c r="E3" s="470" t="inlineStr">
        <is>
          <t>N/A: no numeric/date range field</t>
        </is>
      </c>
      <c r="F3" s="470" t="inlineStr">
        <is>
          <t>N/A: single condition (có/không đơn đang hoạt động)</t>
        </is>
      </c>
      <c r="G3" s="470" t="inlineStr">
        <is>
          <t>N/A: chuyển trạng thái test tại DLV — progress chỉ verify hiển thị (dedupe vào B1)</t>
        </is>
      </c>
      <c r="H3" s="470" t="inlineStr">
        <is>
          <t>N/A: &lt;3 params</t>
        </is>
      </c>
      <c r="I3" s="470" t="inlineStr">
        <is>
          <t>N/A: display-only</t>
        </is>
      </c>
      <c r="J3" s="470" t="inlineStr">
        <is>
          <t>N/A: read-only listing</t>
        </is>
      </c>
      <c r="K3" s="470" t="inlineStr">
        <is>
          <t>N/A: DT already N/A</t>
        </is>
      </c>
      <c r="L3" s="458" t="n">
        <v>12</v>
      </c>
      <c r="M3" s="469" t="inlineStr">
        <is>
          <t>100% (1/1)</t>
        </is>
      </c>
    </row>
    <row r="4">
      <c r="A4" s="458" t="inlineStr">
        <is>
          <t>SC-ASN-008</t>
        </is>
      </c>
      <c r="B4" s="458" t="inlineStr">
        <is>
          <t>Trần 5 tin gợi ý hiển thị tại section "Tin mới" (Trang chủ)</t>
        </is>
      </c>
      <c r="C4" s="458" t="inlineStr">
        <is>
          <t>"Chỉ hiện tối đa 5 tin (mới &amp; gần tuyến nhất)" — OPR-01/US-D06</t>
        </is>
      </c>
      <c r="D4" s="470" t="inlineStr">
        <is>
          <t>✅ 1 (EP-role-sender — "Tin mới" áp dụng cả Sender lẫn Carrier, CA v1.1 C-GENERAL-4)</t>
        </is>
      </c>
      <c r="E4" s="469" t="inlineStr">
        <is>
          <t>✅ 3 (BVA-below-cap 4 / at-cap 5 / over-cap 6)</t>
        </is>
      </c>
      <c r="F4" s="470" t="inlineStr">
        <is>
          <t>N/A: single condition</t>
        </is>
      </c>
      <c r="G4" s="470" t="inlineStr">
        <is>
          <t>N/A: no lifecycle</t>
        </is>
      </c>
      <c r="H4" s="470" t="inlineStr">
        <is>
          <t>N/A: &lt;3 params</t>
        </is>
      </c>
      <c r="I4" s="470" t="inlineStr">
        <is>
          <t>N/A: no user free-text input</t>
        </is>
      </c>
      <c r="J4" s="470" t="inlineStr">
        <is>
          <t>N/A: read-only listing</t>
        </is>
      </c>
      <c r="K4" s="470" t="inlineStr">
        <is>
          <t>N/A: DT already N/A</t>
        </is>
      </c>
      <c r="L4" s="458" t="n">
        <v>6</v>
      </c>
      <c r="M4" s="469" t="inlineStr">
        <is>
          <t>100% (1/1)</t>
        </is>
      </c>
    </row>
    <row r="5">
      <c r="A5" s="471" t="inlineStr">
        <is>
          <t>SC-ASN-010</t>
        </is>
      </c>
      <c r="B5" s="471" t="inlineStr">
        <is>
          <t>Thứ tự ưu tiên tin gợi ý: độ gần tuyến rồi thời gian đăng</t>
        </is>
      </c>
      <c r="C5" s="471" t="inlineStr">
        <is>
          <t>"Sắp xếp: gần tuyến nhất trước, cùng độ gần → tin mới đăng trước" — OPR-04</t>
        </is>
      </c>
      <c r="D5" s="470" t="inlineStr">
        <is>
          <t>N/A: không phải input domain enum</t>
        </is>
      </c>
      <c r="E5" s="470" t="inlineStr">
        <is>
          <t>N/A: no explicit range</t>
        </is>
      </c>
      <c r="F5" s="469" t="inlineStr">
        <is>
          <t>✅ 2 (DT-rule1 khác độ gần / DT-rule2 bằng độ gần)</t>
        </is>
      </c>
      <c r="G5" s="470" t="inlineStr">
        <is>
          <t>N/A: no lifecycle</t>
        </is>
      </c>
      <c r="H5" s="470" t="inlineStr">
        <is>
          <t>N/A: &lt;3 params</t>
        </is>
      </c>
      <c r="I5" s="470" t="inlineStr">
        <is>
          <t>N/A: no user input</t>
        </is>
      </c>
      <c r="J5" s="470" t="inlineStr">
        <is>
          <t>N/A: read-only listing</t>
        </is>
      </c>
      <c r="K5" s="470" t="inlineStr">
        <is>
          <t>N/A: chỉ 2 rule, không vượt ngưỡng 16 → không escalate CEG</t>
        </is>
      </c>
      <c r="L5" s="458" t="n">
        <v>2</v>
      </c>
      <c r="M5" s="469" t="inlineStr">
        <is>
          <t>100% (1/1)</t>
        </is>
      </c>
    </row>
    <row r="7">
      <c r="A7" s="224" t="inlineStr">
        <is>
          <t>Total scenarios: 4</t>
        </is>
      </c>
    </row>
    <row r="8">
      <c r="A8" s="224" t="inlineStr">
        <is>
          <t>Total TCs derived: 33</t>
        </is>
      </c>
    </row>
    <row r="9">
      <c r="A9" s="224" t="inlineStr">
        <is>
          <t>Average coverage %: 100% (mọi technique applicable đều đã sinh TC)</t>
        </is>
      </c>
    </row>
    <row r="10">
      <c r="A10" s="224" t="inlineStr">
        <is>
          <t>Most-applied technique: B1 EP (11 TC)</t>
        </is>
      </c>
    </row>
    <row r="11">
      <c r="A11" s="224" t="inlineStr">
        <is>
          <t>Least-applied technique: B3 DT (2 TC) — B5 PW / B6 EG / B7 CRUD / B8 CEG N/A toàn module</t>
        </is>
      </c>
    </row>
    <row r="12">
      <c r="A12" s="224" t="inlineStr">
        <is>
          <t>Ghi chú scope: 2 TC hành vi khác của SC-ORD-003 (tin xuất hiện ở 'Đơn của tôi' sau khi đăng + nút 'Về trang chủ') đã có sẵn ở TC-DANGTIN-v1.0.xlsx — không lặp lại tại đây.</t>
        </is>
      </c>
    </row>
    <row r="13">
      <c r="A13" s="224" t="inlineStr">
        <is>
          <t>Ghi chú rubric: chạy auto-apply (non-interactive) toàn bộ technique applicable theo technique-rubric.md; không technique applicable nào bị bỏ qua.</t>
        </is>
      </c>
    </row>
  </sheetData>
  <autoFilter ref="A1:M5"/>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20"/>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30" customWidth="1" style="225" min="4" max="4"/>
    <col width="24" customWidth="1" style="225" min="5" max="5"/>
    <col width="20" customWidth="1" style="225" min="6" max="6"/>
    <col width="34" customWidth="1" style="225" min="7" max="7"/>
    <col width="12" customWidth="1" style="225" min="8" max="8"/>
    <col width="24" customWidth="1" style="225" min="9" max="9"/>
    <col width="30" customWidth="1" style="225" min="10" max="10"/>
    <col width="24" customWidth="1" style="225" min="11" max="11"/>
    <col width="10" customWidth="1" style="225" min="12" max="12"/>
    <col width="26"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SC-ASN-014</t>
        </is>
      </c>
      <c r="B2" s="458" t="inlineStr">
        <is>
          <t>Bảng tin hiển thị đủ card list + bấm mở Chi tiết tin (completeness)</t>
        </is>
      </c>
      <c r="C2" s="458" t="inlineStr">
        <is>
          <t>"Mỗi card: icon/ảnh hàng, loại hàng | giá trị, badge 'Tin của bạn' nếu là tin tự đăng…"</t>
        </is>
      </c>
      <c r="D2" s="469" t="inlineStr">
        <is>
          <t>✅ 2 (EP-own-post / EP-other-post cho badge "Tin của bạn")</t>
        </is>
      </c>
      <c r="E2" s="470" t="inlineStr">
        <is>
          <t>N/A: không có range số/ngày/độ dài trên 2 màn này</t>
        </is>
      </c>
      <c r="F2" s="470" t="inlineStr">
        <is>
          <t>N/A: single condition (badge có/không)</t>
        </is>
      </c>
      <c r="G2" s="470" t="inlineStr">
        <is>
          <t>N/A: no lifecycle trong scenario này</t>
        </is>
      </c>
      <c r="H2" s="470" t="inlineStr">
        <is>
          <t>N/A: &lt;3 params</t>
        </is>
      </c>
      <c r="I2" s="470" t="inlineStr">
        <is>
          <t>N/A: màn read-only, không có input field tự do</t>
        </is>
      </c>
      <c r="J2" s="470" t="inlineStr">
        <is>
          <t>N/A: CRUD tách theo module — Create/Update ở TC-DANGTIN, Delete ở CNL (Huỷ đơn); List/Read cover bởi TC completeness + navigation tại đây</t>
        </is>
      </c>
      <c r="K2" s="470" t="inlineStr">
        <is>
          <t>N/A: DT chỉ 2 rule, không vượt ngưỡng 16 → không escalate</t>
        </is>
      </c>
      <c r="L2" s="458" t="n">
        <v>4</v>
      </c>
      <c r="M2" s="469" t="inlineStr">
        <is>
          <t>100% (1/1)</t>
        </is>
      </c>
    </row>
    <row r="3">
      <c r="A3" s="471" t="inlineStr">
        <is>
          <t>SC-ASN-005</t>
        </is>
      </c>
      <c r="B3" s="471" t="inlineStr">
        <is>
          <t>Tin ẩn khỏi Bảng tin sau khi có người ghép</t>
        </is>
      </c>
      <c r="C3" s="471" t="inlineStr">
        <is>
          <t>"Tin không còn xuất hiện; không ai bấm 'Tôi mang giúp được' được nữa" — ASN-03/OPR-08</t>
        </is>
      </c>
      <c r="D3" s="470" t="inlineStr">
        <is>
          <t>N/A: dedupe vào B4 ST (partition = state)</t>
        </is>
      </c>
      <c r="E3" s="470" t="inlineStr">
        <is>
          <t>N/A: không có range số/ngày/độ dài trên 2 màn này</t>
        </is>
      </c>
      <c r="F3" s="470" t="inlineStr">
        <is>
          <t>N/A: single condition</t>
        </is>
      </c>
      <c r="G3" s="469" t="inlineStr">
        <is>
          <t>✅ 2 (ST-posted-matched + ST-invalid-matched-accept)</t>
        </is>
      </c>
      <c r="H3" s="470" t="inlineStr">
        <is>
          <t>N/A: &lt;3 params</t>
        </is>
      </c>
      <c r="I3" s="470" t="inlineStr">
        <is>
          <t>N/A: màn read-only, không có input field tự do</t>
        </is>
      </c>
      <c r="J3" s="470" t="inlineStr">
        <is>
          <t>N/A: CRUD tách theo module — Create/Update ở TC-DANGTIN, Delete ở CNL (Huỷ đơn); List/Read cover bởi TC completeness + navigation tại đây</t>
        </is>
      </c>
      <c r="K3" s="470" t="inlineStr">
        <is>
          <t>N/A: DT chỉ 2 rule, không vượt ngưỡng 16 → không escalate</t>
        </is>
      </c>
      <c r="L3" s="458" t="n">
        <v>5</v>
      </c>
      <c r="M3" s="469" t="inlineStr">
        <is>
          <t>100% (1/1)</t>
        </is>
      </c>
    </row>
    <row r="4">
      <c r="A4" s="458" t="inlineStr">
        <is>
          <t>SC-ASN-012</t>
        </is>
      </c>
      <c r="B4" s="458" t="inlineStr">
        <is>
          <t>Tin huỷ bởi Carrier (chưa lấy hàng) quay lại "Chờ ghép" và được khớp lại</t>
        </is>
      </c>
      <c r="C4" s="458" t="inlineStr">
        <is>
          <t>"Đơn về POSTED, hiện lại Bảng tin, được đưa lại vào luồng khớp" — OPR-08</t>
        </is>
      </c>
      <c r="D4" s="470" t="inlineStr">
        <is>
          <t>N/A: dedupe vào B4 ST</t>
        </is>
      </c>
      <c r="E4" s="470" t="inlineStr">
        <is>
          <t>N/A: không có range số/ngày/độ dài trên 2 màn này</t>
        </is>
      </c>
      <c r="F4" s="470" t="inlineStr">
        <is>
          <t>N/A: single condition</t>
        </is>
      </c>
      <c r="G4" s="469" t="inlineStr">
        <is>
          <t>✅ 2 (ST-matched-posted + ST-reposted-matched; nhánh huỷ khi IN_TRANSIT thuộc SC-DLV-009, không lặp)</t>
        </is>
      </c>
      <c r="H4" s="470" t="inlineStr">
        <is>
          <t>N/A: &lt;3 params</t>
        </is>
      </c>
      <c r="I4" s="470" t="inlineStr">
        <is>
          <t>N/A: màn read-only, không có input field tự do</t>
        </is>
      </c>
      <c r="J4" s="470" t="inlineStr">
        <is>
          <t>N/A: CRUD tách theo module — Create/Update ở TC-DANGTIN, Delete ở CNL (Huỷ đơn); List/Read cover bởi TC completeness + navigation tại đây</t>
        </is>
      </c>
      <c r="K4" s="470" t="inlineStr">
        <is>
          <t>N/A: DT chỉ 2 rule, không vượt ngưỡng 16 → không escalate</t>
        </is>
      </c>
      <c r="L4" s="458" t="n">
        <v>2</v>
      </c>
      <c r="M4" s="469" t="inlineStr">
        <is>
          <t>100% (1/1)</t>
        </is>
      </c>
    </row>
    <row r="5">
      <c r="A5" s="471" t="inlineStr">
        <is>
          <t>SC-ASN-010</t>
        </is>
      </c>
      <c r="B5" s="471" t="inlineStr">
        <is>
          <t>Gợi ý ưu tiên theo độ gần tuyến rồi thời gian đăng (bề mặt Bảng tin)</t>
        </is>
      </c>
      <c r="C5" s="471" t="inlineStr">
        <is>
          <t>"Sắp xếp: gần tuyến nhất trước, cùng độ gần → tin mới đăng trước" — OPR-04</t>
        </is>
      </c>
      <c r="D5" s="470" t="inlineStr">
        <is>
          <t>N/A: không phải input domain enum</t>
        </is>
      </c>
      <c r="E5" s="470" t="inlineStr">
        <is>
          <t>N/A: không có range số/ngày/độ dài trên 2 màn này</t>
        </is>
      </c>
      <c r="F5" s="469" t="inlineStr">
        <is>
          <t>✅ 2 (DT-rule1 / DT-rule2)</t>
        </is>
      </c>
      <c r="G5" s="470" t="inlineStr">
        <is>
          <t>N/A: no lifecycle</t>
        </is>
      </c>
      <c r="H5" s="470" t="inlineStr">
        <is>
          <t>N/A: &lt;3 params</t>
        </is>
      </c>
      <c r="I5" s="470" t="inlineStr">
        <is>
          <t>N/A: màn read-only, không có input field tự do</t>
        </is>
      </c>
      <c r="J5" s="470" t="inlineStr">
        <is>
          <t>N/A: CRUD tách theo module — Create/Update ở TC-DANGTIN, Delete ở CNL (Huỷ đơn); List/Read cover bởi TC completeness + navigation tại đây</t>
        </is>
      </c>
      <c r="K5" s="470" t="inlineStr">
        <is>
          <t>N/A: DT chỉ 2 rule, không vượt ngưỡng 16 → không escalate</t>
        </is>
      </c>
      <c r="L5" s="458" t="n">
        <v>2</v>
      </c>
      <c r="M5" s="469" t="inlineStr">
        <is>
          <t>100% (1/1) — bề mặt Trang chủ của cùng SC đã cover tại TC-TRANGCHU (TC_05.30-31)</t>
        </is>
      </c>
    </row>
    <row r="6">
      <c r="A6" s="458" t="inlineStr">
        <is>
          <t>SC-ORD-001</t>
        </is>
      </c>
      <c r="B6" s="458" t="inlineStr">
        <is>
          <t>Hiển thị màn Chi tiết tin (Thông tin hàng + Lộ trình &amp; liên hệ)</t>
        </is>
      </c>
      <c r="C6" s="458" t="inlineStr">
        <is>
          <t>"Ảnh sản phẩm | Ảnh minh hoạ hàng hoá (hoặc ảnh mặc định nếu người đăng không tải ảnh)…"</t>
        </is>
      </c>
      <c r="D6" s="469" t="inlineStr">
        <is>
          <t>✅ 2 (EP-with-image / EP-no-image)</t>
        </is>
      </c>
      <c r="E6" s="470" t="inlineStr">
        <is>
          <t>N/A: không có range số/ngày/độ dài trên 2 màn này</t>
        </is>
      </c>
      <c r="F6" s="470" t="inlineStr">
        <is>
          <t>N/A: single condition</t>
        </is>
      </c>
      <c r="G6" s="470" t="inlineStr">
        <is>
          <t>N/A: no lifecycle trên bề mặt hiển thị</t>
        </is>
      </c>
      <c r="H6" s="470" t="inlineStr">
        <is>
          <t>N/A: &lt;3 params</t>
        </is>
      </c>
      <c r="I6" s="470" t="inlineStr">
        <is>
          <t>N/A: màn read-only, không có input field tự do</t>
        </is>
      </c>
      <c r="J6" s="470" t="inlineStr">
        <is>
          <t>N/A: CRUD tách theo module — Create/Update ở TC-DANGTIN, Delete ở CNL (Huỷ đơn); List/Read cover bởi TC completeness + navigation tại đây</t>
        </is>
      </c>
      <c r="K6" s="470" t="inlineStr">
        <is>
          <t>N/A: DT chỉ 2 rule, không vượt ngưỡng 16 → không escalate</t>
        </is>
      </c>
      <c r="L6" s="458" t="n">
        <v>6</v>
      </c>
      <c r="M6" s="469" t="inlineStr">
        <is>
          <t>100% (1/1) — luồng đăng tin của cùng SC đã cover tại TC-DANGTIN</t>
        </is>
      </c>
    </row>
    <row r="7">
      <c r="A7" s="471" t="inlineStr">
        <is>
          <t>SC-ASN-003</t>
        </is>
      </c>
      <c r="B7" s="471" t="inlineStr">
        <is>
          <t>Trước khi ghép, SĐT KHÔNG lộ</t>
        </is>
      </c>
      <c r="C7" s="471" t="inlineStr">
        <is>
          <t>"BR-CON-02 … trước khi ghép không lộ SĐT" — §A5</t>
        </is>
      </c>
      <c r="D7" s="470" t="inlineStr">
        <is>
          <t>N/A: partition "sau ghép" thuộc SC-ASN-002, không lặp</t>
        </is>
      </c>
      <c r="E7" s="470" t="inlineStr">
        <is>
          <t>N/A: không có range số/ngày/độ dài trên 2 màn này</t>
        </is>
      </c>
      <c r="F7" s="470" t="inlineStr">
        <is>
          <t>N/A: single condition</t>
        </is>
      </c>
      <c r="G7" s="470" t="inlineStr">
        <is>
          <t>N/A: dedupe — transition ghép test tại SC-ASN-002</t>
        </is>
      </c>
      <c r="H7" s="470" t="inlineStr">
        <is>
          <t>N/A: &lt;3 params</t>
        </is>
      </c>
      <c r="I7" s="470" t="inlineStr">
        <is>
          <t>N/A: màn read-only, không có input field tự do</t>
        </is>
      </c>
      <c r="J7" s="470" t="inlineStr">
        <is>
          <t>N/A: CRUD tách theo module — Create/Update ở TC-DANGTIN, Delete ở CNL (Huỷ đơn); List/Read cover bởi TC completeness + navigation tại đây</t>
        </is>
      </c>
      <c r="K7" s="470" t="inlineStr">
        <is>
          <t>N/A: DT chỉ 2 rule, không vượt ngưỡng 16 → không escalate</t>
        </is>
      </c>
      <c r="L7" s="458" t="n">
        <v>1</v>
      </c>
      <c r="M7" s="472" t="inlineStr">
        <is>
          <t>N/A (0 applicable)</t>
        </is>
      </c>
    </row>
    <row r="8">
      <c r="A8" s="458" t="inlineStr">
        <is>
          <t>SC-ASN-001</t>
        </is>
      </c>
      <c r="B8" s="458" t="inlineStr">
        <is>
          <t>Carrier bấm "Tôi mang giúp được" → gửi đề nghị</t>
        </is>
      </c>
      <c r="C8" s="458" t="inlineStr">
        <is>
          <t>"ASN-01 Bày tỏ quan tâm / đề nghị mang giúp — Gửi tới chủ tin push + in-app"</t>
        </is>
      </c>
      <c r="D8" s="470" t="inlineStr">
        <is>
          <t>N/A: partition theo trạng thái tin đã test tại SC-ASN-005/011</t>
        </is>
      </c>
      <c r="E8" s="470" t="inlineStr">
        <is>
          <t>N/A: không có range số/ngày/độ dài trên 2 màn này</t>
        </is>
      </c>
      <c r="F8" s="470" t="inlineStr">
        <is>
          <t>N/A: single condition</t>
        </is>
      </c>
      <c r="G8" s="470" t="inlineStr">
        <is>
          <t>N/A: dedupe — transition test tại SC-ASN-002</t>
        </is>
      </c>
      <c r="H8" s="470" t="inlineStr">
        <is>
          <t>N/A: &lt;3 params</t>
        </is>
      </c>
      <c r="I8" s="470" t="inlineStr">
        <is>
          <t>N/A: màn read-only, không có input field tự do</t>
        </is>
      </c>
      <c r="J8" s="470" t="inlineStr">
        <is>
          <t>N/A: CRUD tách theo module — Create/Update ở TC-DANGTIN, Delete ở CNL (Huỷ đơn); List/Read cover bởi TC completeness + navigation tại đây</t>
        </is>
      </c>
      <c r="K8" s="470" t="inlineStr">
        <is>
          <t>N/A: DT chỉ 2 rule, không vượt ngưỡng 16 → không escalate</t>
        </is>
      </c>
      <c r="L8" s="458" t="n">
        <v>2</v>
      </c>
      <c r="M8" s="472" t="inlineStr">
        <is>
          <t>N/A (0 applicable)</t>
        </is>
      </c>
    </row>
    <row r="9">
      <c r="A9" s="471" t="inlineStr">
        <is>
          <t>SC-ASN-011</t>
        </is>
      </c>
      <c r="B9" s="471" t="inlineStr">
        <is>
          <t>Không tự khớp tin của chính mình (ẩn/disable nút hành động)</t>
        </is>
      </c>
      <c r="C9" s="471" t="inlineStr">
        <is>
          <t>"OPR-05 Không tự khớp với chính mình … người gửi ≠ người vận chuyển của cùng một đơn"</t>
        </is>
      </c>
      <c r="D9" s="469" t="inlineStr">
        <is>
          <t>✅ 3 (EP-viewer-owner / EP-viewer-receiver / EP-viewer-third-party)</t>
        </is>
      </c>
      <c r="E9" s="470" t="inlineStr">
        <is>
          <t>N/A: không có range số/ngày/độ dài trên 2 màn này</t>
        </is>
      </c>
      <c r="F9" s="470" t="inlineStr">
        <is>
          <t>N/A: single condition (vai trò người xem)</t>
        </is>
      </c>
      <c r="G9" s="470" t="inlineStr">
        <is>
          <t>N/A: no lifecycle</t>
        </is>
      </c>
      <c r="H9" s="470" t="inlineStr">
        <is>
          <t>N/A: &lt;3 params</t>
        </is>
      </c>
      <c r="I9" s="470" t="inlineStr">
        <is>
          <t>N/A: màn read-only, không có input field tự do</t>
        </is>
      </c>
      <c r="J9" s="470" t="inlineStr">
        <is>
          <t>N/A: CRUD tách theo module — Create/Update ở TC-DANGTIN, Delete ở CNL (Huỷ đơn); List/Read cover bởi TC completeness + navigation tại đây</t>
        </is>
      </c>
      <c r="K9" s="470" t="inlineStr">
        <is>
          <t>N/A: DT chỉ 2 rule, không vượt ngưỡng 16 → không escalate</t>
        </is>
      </c>
      <c r="L9" s="458" t="n">
        <v>4</v>
      </c>
      <c r="M9" s="469" t="inlineStr">
        <is>
          <t>100% (1/1)</t>
        </is>
      </c>
    </row>
    <row r="10">
      <c r="A10" s="458" t="inlineStr">
        <is>
          <t>SC-ASN-007</t>
        </is>
      </c>
      <c r="B10" s="458" t="inlineStr">
        <is>
          <t>Carrier "Nhận giao" từ thông báo khớp tuyến → MATCHED</t>
        </is>
      </c>
      <c r="C10" s="458" t="inlineStr">
        <is>
          <t>"MTCH-01/BR-MTCH-01" — §D3/§D4</t>
        </is>
      </c>
      <c r="D10" s="470" t="inlineStr">
        <is>
          <t>N/A: 1 luồng duy nhất</t>
        </is>
      </c>
      <c r="E10" s="470" t="inlineStr">
        <is>
          <t>N/A: không có range số/ngày/độ dài trên 2 màn này</t>
        </is>
      </c>
      <c r="F10" s="470" t="inlineStr">
        <is>
          <t>N/A: single condition</t>
        </is>
      </c>
      <c r="G10" s="470" t="inlineStr">
        <is>
          <t>N/A: dedupe — transition MATCHED test tại SC-ASN-002</t>
        </is>
      </c>
      <c r="H10" s="470" t="inlineStr">
        <is>
          <t>N/A: &lt;3 params</t>
        </is>
      </c>
      <c r="I10" s="470" t="inlineStr">
        <is>
          <t>N/A: màn read-only, không có input field tự do</t>
        </is>
      </c>
      <c r="J10" s="470" t="inlineStr">
        <is>
          <t>N/A: CRUD tách theo module — Create/Update ở TC-DANGTIN, Delete ở CNL (Huỷ đơn); List/Read cover bởi TC completeness + navigation tại đây</t>
        </is>
      </c>
      <c r="K10" s="470" t="inlineStr">
        <is>
          <t>N/A: DT chỉ 2 rule, không vượt ngưỡng 16 → không escalate</t>
        </is>
      </c>
      <c r="L10" s="458" t="n">
        <v>1</v>
      </c>
      <c r="M10" s="472" t="inlineStr">
        <is>
          <t>N/A (0 applicable) — ⚠ nhánh auto-match, Phase 1 Scope chờ PM chốt</t>
        </is>
      </c>
    </row>
    <row r="11">
      <c r="A11" s="471" t="inlineStr">
        <is>
          <t>SC-ASN-002</t>
        </is>
      </c>
      <c r="B11" s="471" t="inlineStr">
        <is>
          <t>Ghép ngay khi Carrier xác nhận → MATCHED + lộ SĐT + 3 khung đồng bộ</t>
        </is>
      </c>
      <c r="C11" s="471" t="inlineStr">
        <is>
          <t>"BR-CON-01 … hệ thống ghép ngay, không cần bước chủ tin duyệt — BR-CON-02 Sau khi ghép: lộ SĐT…"</t>
        </is>
      </c>
      <c r="D11" s="469" t="inlineStr">
        <is>
          <t>✅ 2 (EP-cancel / EP-confirm trên 2 nút modal)</t>
        </is>
      </c>
      <c r="E11" s="470" t="inlineStr">
        <is>
          <t>N/A: không có range số/ngày/độ dài trên 2 màn này</t>
        </is>
      </c>
      <c r="F11" s="470" t="inlineStr">
        <is>
          <t>N/A: single condition</t>
        </is>
      </c>
      <c r="G11" s="469" t="inlineStr">
        <is>
          <t>✅ 1 (ST-posted-matched tại modal xác nhận)</t>
        </is>
      </c>
      <c r="H11" s="470" t="inlineStr">
        <is>
          <t>N/A: &lt;3 params</t>
        </is>
      </c>
      <c r="I11" s="470" t="inlineStr">
        <is>
          <t>N/A: màn read-only, không có input field tự do</t>
        </is>
      </c>
      <c r="J11" s="470" t="inlineStr">
        <is>
          <t>N/A: CRUD tách theo module — Create/Update ở TC-DANGTIN, Delete ở CNL (Huỷ đơn); List/Read cover bởi TC completeness + navigation tại đây</t>
        </is>
      </c>
      <c r="K11" s="470" t="inlineStr">
        <is>
          <t>N/A: DT chỉ 2 rule, không vượt ngưỡng 16 → không escalate</t>
        </is>
      </c>
      <c r="L11" s="458" t="n">
        <v>5</v>
      </c>
      <c r="M11" s="469" t="inlineStr">
        <is>
          <t>100% (2/2)</t>
        </is>
      </c>
    </row>
    <row r="12">
      <c r="A12" s="458" t="inlineStr">
        <is>
          <t>SC-ASN-004</t>
        </is>
      </c>
      <c r="B12" s="458" t="inlineStr">
        <is>
          <t>2 Carrier cùng bấm nhận gần đồng thời → chỉ 1 người ghép (chống double-accept)</t>
        </is>
      </c>
      <c r="C12" s="458" t="inlineStr">
        <is>
          <t>"Chỉ 1 người ghép thành công (transaction lock); người còn lại nhận thông báo tin đã có người nhận"</t>
        </is>
      </c>
      <c r="D12" s="470" t="inlineStr">
        <is>
          <t>N/A: 1 rule duy nhất (race condition)</t>
        </is>
      </c>
      <c r="E12" s="470" t="inlineStr">
        <is>
          <t>N/A: không có range số/ngày/độ dài trên 2 màn này</t>
        </is>
      </c>
      <c r="F12" s="470" t="inlineStr">
        <is>
          <t>N/A: single condition</t>
        </is>
      </c>
      <c r="G12" s="470" t="inlineStr">
        <is>
          <t>N/A: dedupe — invalid accept-when-matched đã test tại SC-ASN-005</t>
        </is>
      </c>
      <c r="H12" s="470" t="inlineStr">
        <is>
          <t>N/A: &lt;3 params</t>
        </is>
      </c>
      <c r="I12" s="470" t="inlineStr">
        <is>
          <t>N/A: màn read-only, không có input field tự do</t>
        </is>
      </c>
      <c r="J12" s="470" t="inlineStr">
        <is>
          <t>N/A: CRUD tách theo module — Create/Update ở TC-DANGTIN, Delete ở CNL (Huỷ đơn); List/Read cover bởi TC completeness + navigation tại đây</t>
        </is>
      </c>
      <c r="K12" s="470" t="inlineStr">
        <is>
          <t>N/A: DT chỉ 2 rule, không vượt ngưỡng 16 → không escalate</t>
        </is>
      </c>
      <c r="L12" s="458" t="n">
        <v>1</v>
      </c>
      <c r="M12" s="472" t="inlineStr">
        <is>
          <t>N/A (0 applicable)</t>
        </is>
      </c>
    </row>
    <row r="13">
      <c r="A13" s="458" t="inlineStr">
        <is>
          <t>SC-ORD-034</t>
        </is>
      </c>
      <c r="B13" s="458" t="inlineStr">
        <is>
          <t>Icon quay lại tại màn Chi tiết tin</t>
        </is>
      </c>
      <c r="C13" s="458" t="inlineStr">
        <is>
          <t>Quan sát thực tế app STG (QA GiangDC2, chat 2026-07-30)</t>
        </is>
      </c>
      <c r="D13" s="470" t="inlineStr">
        <is>
          <t>N/A: display/navigation-only, không có input/condition để áp dụng technique</t>
        </is>
      </c>
      <c r="E13" s="470" t="inlineStr">
        <is>
          <t>N/A: display/navigation-only, không có input/condition để áp dụng technique</t>
        </is>
      </c>
      <c r="F13" s="470" t="inlineStr">
        <is>
          <t>N/A: display/navigation-only, không có input/condition để áp dụng technique</t>
        </is>
      </c>
      <c r="G13" s="470" t="inlineStr">
        <is>
          <t>N/A: display/navigation-only, không có input/condition để áp dụng technique</t>
        </is>
      </c>
      <c r="H13" s="470" t="inlineStr">
        <is>
          <t>N/A: display/navigation-only, không có input/condition để áp dụng technique</t>
        </is>
      </c>
      <c r="I13" s="470" t="inlineStr">
        <is>
          <t>N/A: display/navigation-only, không có input/condition để áp dụng technique</t>
        </is>
      </c>
      <c r="J13" s="470" t="inlineStr">
        <is>
          <t>N/A: display/navigation-only, không có input/condition để áp dụng technique</t>
        </is>
      </c>
      <c r="K13" s="470" t="inlineStr">
        <is>
          <t>N/A: display/navigation-only, không có input/condition để áp dụng technique</t>
        </is>
      </c>
      <c r="L13" s="458" t="n">
        <v>1</v>
      </c>
      <c r="M13" s="472" t="inlineStr">
        <is>
          <t>N/A (0 applicable)</t>
        </is>
      </c>
    </row>
    <row r="14">
      <c r="A14" s="224" t="inlineStr">
        <is>
          <t>Total scenarios: 11</t>
        </is>
      </c>
    </row>
    <row r="15">
      <c r="A15" s="224" t="inlineStr">
        <is>
          <t>Total TCs derived: 34</t>
        </is>
      </c>
    </row>
    <row r="16">
      <c r="A16" s="224" t="inlineStr">
        <is>
          <t>Average coverage %: 100% trên 7/11 scenario có technique applicable; 4 scenario log N/A (0 applicable) có lý do rõ per-cột</t>
        </is>
      </c>
    </row>
    <row r="17">
      <c r="A17" s="224" t="inlineStr">
        <is>
          <t>Most-applied technique: B1 EP (9 TC)</t>
        </is>
      </c>
    </row>
    <row r="18">
      <c r="A18" s="224" t="inlineStr">
        <is>
          <t>Least-applied technique: B3 DT (2 TC) — B2 BVA / B5 PW / B6 EG / B7 CRUD / B8 CEG N/A toàn module</t>
        </is>
      </c>
    </row>
    <row r="19">
      <c r="A19" s="224" t="inlineStr">
        <is>
          <t>Ghi chú scope: SC-ASN-006 (hệ thống tự quét khớp tuyến) và SC-ASN-009 (không gợi ý khi lệch địa chỉ/khung giờ) KHÔNG thuộc fragment này — không có bề mặt UI Bảng tin/Chi tiết tin, thuộc engine khớp tuyến (Phase 1 Scope: auto-match OFFER↔NEED ngoài phạm vi, PM chưa chốt).</t>
        </is>
      </c>
    </row>
    <row r="20">
      <c r="A20" s="224" t="inlineStr">
        <is>
          <t>Ghi chú rubric: chạy auto-apply (non-interactive) toàn bộ technique applicable theo technique-rubric.md; không technique applicable nào bị bỏ qua.</t>
        </is>
      </c>
    </row>
  </sheetData>
  <autoFilter ref="A1:M1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34" customWidth="1" style="225" min="4" max="4"/>
    <col width="22" customWidth="1" style="225" min="5" max="5"/>
    <col width="28" customWidth="1" style="225" min="6" max="6"/>
    <col width="34" customWidth="1" style="225" min="7" max="7"/>
    <col width="12" customWidth="1" style="225" min="8" max="8"/>
    <col width="30" customWidth="1" style="225" min="9" max="9"/>
    <col width="30" customWidth="1" style="225" min="10" max="10"/>
    <col width="22" customWidth="1" style="225" min="11" max="11"/>
    <col width="10" customWidth="1" style="225" min="12" max="12"/>
    <col width="30"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SC-DLV-005</t>
        </is>
      </c>
      <c r="B2" s="458" t="inlineStr">
        <is>
          <t>Nút "Xác nhận đã nhận hàng" chỉ kích hoạt khi = Đã giao</t>
        </is>
      </c>
      <c r="C2" s="458" t="inlineStr">
        <is>
          <t>"Nút CTA | Bị động ở Chờ ghép/Lấy hàng/Đang giao; CHỈ kích hoạt khi = 'Đã giao'"</t>
        </is>
      </c>
      <c r="D2" s="469" t="inlineStr">
        <is>
          <t>✅ 6 (Receiver: EP-posted/matched/in-transit disable + EP-delivered enable; Sender: EP-not-matched/EP-matched cho khối Liên hệ)</t>
        </is>
      </c>
      <c r="E2" s="470" t="inlineStr">
        <is>
          <t>N/A: không có range số/ngày/độ dài</t>
        </is>
      </c>
      <c r="F2" s="470" t="inlineStr">
        <is>
          <t>N/A: single condition mỗi scenario, không có ≥2 điều kiện nhân</t>
        </is>
      </c>
      <c r="G2" s="470" t="inlineStr">
        <is>
          <t>N/A: dedupe — chuyển trạng thái test tập trung tại SC-DLV-010/011</t>
        </is>
      </c>
      <c r="H2" s="470" t="inlineStr">
        <is>
          <t>N/A: &lt;3 params</t>
        </is>
      </c>
      <c r="I2" s="470" t="inlineStr">
        <is>
          <t>N/A: không có input field tự do trên màn Theo dõi đơn</t>
        </is>
      </c>
      <c r="J2" s="470" t="inlineStr">
        <is>
          <t>N/A: không phải CRUD entity — màn theo dõi trạng thái; Delete/Huỷ thuộc module CNL</t>
        </is>
      </c>
      <c r="K2" s="470" t="inlineStr">
        <is>
          <t>N/A: DT đã N/A, không có gì để escalate</t>
        </is>
      </c>
      <c r="L2" s="458" t="n">
        <v>8</v>
      </c>
      <c r="M2" s="469" t="inlineStr">
        <is>
          <t>100% (1/1)</t>
        </is>
      </c>
    </row>
    <row r="3">
      <c r="A3" s="471" t="inlineStr">
        <is>
          <t>SC-DLV-006</t>
        </is>
      </c>
      <c r="B3" s="471" t="inlineStr">
        <is>
          <t>Nút hành động Carrier bị động ở trạng thái "Đã giao"</t>
        </is>
      </c>
      <c r="C3" s="471" t="inlineStr">
        <is>
          <t>"Nút chuyển thành NHÃN không bấm được: 'Đã giao · chờ người nhận xác nhận'"</t>
        </is>
      </c>
      <c r="D3" s="470" t="inlineStr">
        <is>
          <t>N/A: dedupe — partition theo trạng thái đã cover tại ma trận nhãn (SC-DLV-013)</t>
        </is>
      </c>
      <c r="E3" s="470" t="inlineStr">
        <is>
          <t>N/A: không có range số/ngày/độ dài</t>
        </is>
      </c>
      <c r="F3" s="470" t="inlineStr">
        <is>
          <t>N/A: single condition mỗi scenario, không có ≥2 điều kiện nhân</t>
        </is>
      </c>
      <c r="G3" s="470" t="inlineStr">
        <is>
          <t>N/A: dedupe — chuyển trạng thái test tập trung tại SC-DLV-010/011</t>
        </is>
      </c>
      <c r="H3" s="470" t="inlineStr">
        <is>
          <t>N/A: &lt;3 params</t>
        </is>
      </c>
      <c r="I3" s="470" t="inlineStr">
        <is>
          <t>N/A: không có input field tự do trên màn Theo dõi đơn</t>
        </is>
      </c>
      <c r="J3" s="470" t="inlineStr">
        <is>
          <t>N/A: không phải CRUD entity — màn theo dõi trạng thái; Delete/Huỷ thuộc module CNL</t>
        </is>
      </c>
      <c r="K3" s="470" t="inlineStr">
        <is>
          <t>N/A: DT đã N/A, không có gì để escalate</t>
        </is>
      </c>
      <c r="L3" s="458" t="n">
        <v>3</v>
      </c>
      <c r="M3" s="472" t="inlineStr">
        <is>
          <t>N/A (0 applicable)</t>
        </is>
      </c>
    </row>
    <row r="4">
      <c r="A4" s="458" t="inlineStr">
        <is>
          <t>SC-DLV-010</t>
        </is>
      </c>
      <c r="B4" s="458" t="inlineStr">
        <is>
          <t>Không thể bấm "Đã giao" trước khi bấm "Tôi đã lấy hàng"</t>
        </is>
      </c>
      <c r="C4" s="458" t="inlineStr">
        <is>
          <t>"US-D09 — Nút chưa xuất hiện/disable; phải bấm 'Tôi đã lấy hàng' trước"</t>
        </is>
      </c>
      <c r="D4" s="469" t="inlineStr">
        <is>
          <t>✅ 2 (EP-cancel trên 2 popup xác nhận)</t>
        </is>
      </c>
      <c r="E4" s="470" t="inlineStr">
        <is>
          <t>N/A: không có range số/ngày/độ dài</t>
        </is>
      </c>
      <c r="F4" s="470" t="inlineStr">
        <is>
          <t>N/A: single condition mỗi scenario, không có ≥2 điều kiện nhân</t>
        </is>
      </c>
      <c r="G4" s="469" t="inlineStr">
        <is>
          <t>✅ 3 (ST-matched-intransit, ST-intransit-delivered, ST-invalid-matched-delivered)</t>
        </is>
      </c>
      <c r="H4" s="470" t="inlineStr">
        <is>
          <t>N/A: &lt;3 params</t>
        </is>
      </c>
      <c r="I4" s="470" t="inlineStr">
        <is>
          <t>N/A: không có input field tự do trên màn Theo dõi đơn</t>
        </is>
      </c>
      <c r="J4" s="470" t="inlineStr">
        <is>
          <t>N/A: không phải CRUD entity — màn theo dõi trạng thái; Delete/Huỷ thuộc module CNL</t>
        </is>
      </c>
      <c r="K4" s="470" t="inlineStr">
        <is>
          <t>N/A: DT đã N/A, không có gì để escalate</t>
        </is>
      </c>
      <c r="L4" s="458" t="n">
        <v>5</v>
      </c>
      <c r="M4" s="469" t="inlineStr">
        <is>
          <t>100% (2/2)</t>
        </is>
      </c>
    </row>
    <row r="5">
      <c r="A5" s="471" t="inlineStr">
        <is>
          <t>SC-DLV-011</t>
        </is>
      </c>
      <c r="B5" s="471" t="inlineStr">
        <is>
          <t>Người nhận xác nhận → đơn "Hoàn thành" ngay lập tức</t>
        </is>
      </c>
      <c r="C5" s="471" t="inlineStr">
        <is>
          <t>"Đơn chuyển 'Hoàn thành' NGAY LẬP TỨC, lịch sử ghi 'Hoàn thành &amp; đã đánh giá'"</t>
        </is>
      </c>
      <c r="D5" s="469" t="inlineStr">
        <is>
          <t>✅ 1 (EP-cancel trên popup xác nhận đã nhận hàng)</t>
        </is>
      </c>
      <c r="E5" s="470" t="inlineStr">
        <is>
          <t>N/A: không có range số/ngày/độ dài</t>
        </is>
      </c>
      <c r="F5" s="470" t="inlineStr">
        <is>
          <t>N/A: single condition mỗi scenario, không có ≥2 điều kiện nhân</t>
        </is>
      </c>
      <c r="G5" s="469" t="inlineStr">
        <is>
          <t>✅ 1 (ST-delivered-completed)</t>
        </is>
      </c>
      <c r="H5" s="470" t="inlineStr">
        <is>
          <t>N/A: &lt;3 params</t>
        </is>
      </c>
      <c r="I5" s="470" t="inlineStr">
        <is>
          <t>N/A: không có input field tự do trên màn Theo dõi đơn</t>
        </is>
      </c>
      <c r="J5" s="470" t="inlineStr">
        <is>
          <t>N/A: không phải CRUD entity — màn theo dõi trạng thái; Delete/Huỷ thuộc module CNL</t>
        </is>
      </c>
      <c r="K5" s="470" t="inlineStr">
        <is>
          <t>N/A: DT đã N/A, không có gì để escalate</t>
        </is>
      </c>
      <c r="L5" s="458" t="n">
        <v>5</v>
      </c>
      <c r="M5" s="469" t="inlineStr">
        <is>
          <t>100% (2/2)</t>
        </is>
      </c>
    </row>
    <row r="6">
      <c r="A6" s="458" t="inlineStr">
        <is>
          <t>SC-DLV-012</t>
        </is>
      </c>
      <c r="B6" s="458" t="inlineStr">
        <is>
          <t>Nhãn nút Sender/Receiver đúng theo trạng thái Đã ghép/Đang giao</t>
        </is>
      </c>
      <c r="C6" s="458" t="inlineStr">
        <is>
          <t>Ma trận nhãn nút × trạng thái × vai trò — quan sát app STG + ảnh Figma</t>
        </is>
      </c>
      <c r="D6" s="469" t="inlineStr">
        <is>
          <t>✅ 6 (EP-sender/receiver × posted/matched/in-transit — mở rộng thêm hàng "Chờ ghép" theo Block Definition)</t>
        </is>
      </c>
      <c r="E6" s="470" t="inlineStr">
        <is>
          <t>N/A: không có range số/ngày/độ dài</t>
        </is>
      </c>
      <c r="F6" s="470" t="inlineStr">
        <is>
          <t>N/A: single condition mỗi scenario, không có ≥2 điều kiện nhân</t>
        </is>
      </c>
      <c r="G6" s="470" t="inlineStr">
        <is>
          <t>N/A: dedupe — chuyển trạng thái test tập trung tại SC-DLV-010/011</t>
        </is>
      </c>
      <c r="H6" s="470" t="inlineStr">
        <is>
          <t>N/A: &lt;3 params</t>
        </is>
      </c>
      <c r="I6" s="470" t="inlineStr">
        <is>
          <t>N/A: không có input field tự do trên màn Theo dõi đơn</t>
        </is>
      </c>
      <c r="J6" s="470" t="inlineStr">
        <is>
          <t>N/A: không phải CRUD entity — màn theo dõi trạng thái; Delete/Huỷ thuộc module CNL</t>
        </is>
      </c>
      <c r="K6" s="470" t="inlineStr">
        <is>
          <t>N/A: DT đã N/A, không có gì để escalate</t>
        </is>
      </c>
      <c r="L6" s="458" t="n">
        <v>6</v>
      </c>
      <c r="M6" s="469" t="inlineStr">
        <is>
          <t>100% (1/1)</t>
        </is>
      </c>
    </row>
    <row r="7">
      <c r="A7" s="471" t="inlineStr">
        <is>
          <t>SC-DLV-013</t>
        </is>
      </c>
      <c r="B7" s="471" t="inlineStr">
        <is>
          <t>Tại "Đã giao": Sender/Carrier disable, chỉ Receiver enable</t>
        </is>
      </c>
      <c r="C7" s="471" t="inlineStr">
        <is>
          <t>"Sender &amp; Carrier cùng thấy nhãn disable; Receiver thấy nút enable (duy nhất)"</t>
        </is>
      </c>
      <c r="D7" s="469" t="inlineStr">
        <is>
          <t>✅ 3 (EP-sender-delivered / EP-carrier-delivered / EP-receiver-delivered)</t>
        </is>
      </c>
      <c r="E7" s="470" t="inlineStr">
        <is>
          <t>N/A: không có range số/ngày/độ dài</t>
        </is>
      </c>
      <c r="F7" s="470" t="inlineStr">
        <is>
          <t>N/A: single condition mỗi scenario, không có ≥2 điều kiện nhân</t>
        </is>
      </c>
      <c r="G7" s="470" t="inlineStr">
        <is>
          <t>N/A: dedupe — chuyển trạng thái test tập trung tại SC-DLV-010/011</t>
        </is>
      </c>
      <c r="H7" s="470" t="inlineStr">
        <is>
          <t>N/A: &lt;3 params</t>
        </is>
      </c>
      <c r="I7" s="470" t="inlineStr">
        <is>
          <t>N/A: không có input field tự do trên màn Theo dõi đơn</t>
        </is>
      </c>
      <c r="J7" s="470" t="inlineStr">
        <is>
          <t>N/A: không phải CRUD entity — màn theo dõi trạng thái; Delete/Huỷ thuộc module CNL</t>
        </is>
      </c>
      <c r="K7" s="470" t="inlineStr">
        <is>
          <t>N/A: DT đã N/A, không có gì để escalate</t>
        </is>
      </c>
      <c r="L7" s="458" t="n">
        <v>3</v>
      </c>
      <c r="M7" s="469" t="inlineStr">
        <is>
          <t>100% (1/1)</t>
        </is>
      </c>
    </row>
    <row r="8">
      <c r="A8" s="458" t="inlineStr">
        <is>
          <t>SC-DLV-014</t>
        </is>
      </c>
      <c r="B8" s="458" t="inlineStr">
        <is>
          <t>Carrier/Receiver thấy nhãn "Đơn đã hoàn thành" sau Hoàn thành</t>
        </is>
      </c>
      <c r="C8" s="458" t="inlineStr">
        <is>
          <t>"Cả 2 thấy nhãn 'Đơn đã hoàn thành' (disable) — không còn hành động nào khác"</t>
        </is>
      </c>
      <c r="D8" s="469" t="inlineStr">
        <is>
          <t>✅ 2 (EP-carrier-completed / EP-receiver-completed; nhãn Sender thuộc SC-GIFT-004)</t>
        </is>
      </c>
      <c r="E8" s="470" t="inlineStr">
        <is>
          <t>N/A: không có range số/ngày/độ dài</t>
        </is>
      </c>
      <c r="F8" s="470" t="inlineStr">
        <is>
          <t>N/A: single condition mỗi scenario, không có ≥2 điều kiện nhân</t>
        </is>
      </c>
      <c r="G8" s="470" t="inlineStr">
        <is>
          <t>N/A: dedupe — chuyển trạng thái test tập trung tại SC-DLV-010/011</t>
        </is>
      </c>
      <c r="H8" s="470" t="inlineStr">
        <is>
          <t>N/A: &lt;3 params</t>
        </is>
      </c>
      <c r="I8" s="470" t="inlineStr">
        <is>
          <t>N/A: không có input field tự do trên màn Theo dõi đơn</t>
        </is>
      </c>
      <c r="J8" s="470" t="inlineStr">
        <is>
          <t>N/A: không phải CRUD entity — màn theo dõi trạng thái; Delete/Huỷ thuộc module CNL</t>
        </is>
      </c>
      <c r="K8" s="470" t="inlineStr">
        <is>
          <t>N/A: DT đã N/A, không có gì để escalate</t>
        </is>
      </c>
      <c r="L8" s="458" t="n">
        <v>2</v>
      </c>
      <c r="M8" s="469" t="inlineStr">
        <is>
          <t>100% (1/1)</t>
        </is>
      </c>
    </row>
    <row r="9">
      <c r="A9" s="471" t="inlineStr">
        <is>
          <t>SC-DLV-009</t>
        </is>
      </c>
      <c r="B9" s="471" t="inlineStr">
        <is>
          <t>Sau khi đã lấy hàng (IN_TRANSIT), huỷ thường bị chặn</t>
        </is>
      </c>
      <c r="C9" s="471" t="inlineStr">
        <is>
          <t>"BR-ASN-03 — Bị chặn; chỉ còn lựa chọn 'Báo sự cố'"</t>
        </is>
      </c>
      <c r="D9" s="469" t="inlineStr">
        <is>
          <t>✅ 2 (EP-sender-blocked / EP-carrier-blocked)</t>
        </is>
      </c>
      <c r="E9" s="470" t="inlineStr">
        <is>
          <t>N/A: không có range số/ngày/độ dài</t>
        </is>
      </c>
      <c r="F9" s="470" t="inlineStr">
        <is>
          <t>N/A: single condition mỗi scenario, không có ≥2 điều kiện nhân</t>
        </is>
      </c>
      <c r="G9" s="470" t="inlineStr">
        <is>
          <t>N/A: dedupe — chuyển trạng thái test tập trung tại SC-DLV-010/011</t>
        </is>
      </c>
      <c r="H9" s="470" t="inlineStr">
        <is>
          <t>N/A: &lt;3 params</t>
        </is>
      </c>
      <c r="I9" s="470" t="inlineStr">
        <is>
          <t>N/A: không có input field tự do trên màn Theo dõi đơn</t>
        </is>
      </c>
      <c r="J9" s="470" t="inlineStr">
        <is>
          <t>N/A: không phải CRUD entity — màn theo dõi trạng thái; Delete/Huỷ thuộc module CNL</t>
        </is>
      </c>
      <c r="K9" s="470" t="inlineStr">
        <is>
          <t>N/A: DT đã N/A, không có gì để escalate</t>
        </is>
      </c>
      <c r="L9" s="458" t="n">
        <v>2</v>
      </c>
      <c r="M9" s="469" t="inlineStr">
        <is>
          <t>100% (1/1) — màn "Báo sự cố" out of scope v1.0 (C-CNL-01), không assert</t>
        </is>
      </c>
    </row>
    <row r="10">
      <c r="A10" s="458" t="inlineStr">
        <is>
          <t>SC-DLV-007</t>
        </is>
      </c>
      <c r="B10" s="458" t="inlineStr">
        <is>
          <t>Quá N giờ chưa xác nhận nhận hàng → nhắc → admin hỗ trợ</t>
        </is>
      </c>
      <c r="C10" s="458" t="inlineStr">
        <is>
          <t>"Đơn ở 'Đã giao' quá 2 giờ → gửi nhắc; quá thêm 2 giờ → chuyển admin hỗ trợ"</t>
        </is>
      </c>
      <c r="D10" s="470" t="inlineStr">
        <is>
          <t>N/A: dedupe vào B2 (partition = vùng thời gian)</t>
        </is>
      </c>
      <c r="E10" s="469" t="inlineStr">
        <is>
          <t>✅ 3 (BVA-under 2h−ε / BVA-at 2h / BVA-over 4h)</t>
        </is>
      </c>
      <c r="F10" s="470" t="inlineStr">
        <is>
          <t>N/A: single condition mỗi scenario, không có ≥2 điều kiện nhân</t>
        </is>
      </c>
      <c r="G10" s="470" t="inlineStr">
        <is>
          <t>N/A: dedupe — chuyển trạng thái test tập trung tại SC-DLV-010/011</t>
        </is>
      </c>
      <c r="H10" s="470" t="inlineStr">
        <is>
          <t>N/A: &lt;3 params</t>
        </is>
      </c>
      <c r="I10" s="470" t="inlineStr">
        <is>
          <t>N/A: không có input field tự do trên màn Theo dõi đơn</t>
        </is>
      </c>
      <c r="J10" s="470" t="inlineStr">
        <is>
          <t>N/A: không phải CRUD entity — màn theo dõi trạng thái; Delete/Huỷ thuộc module CNL</t>
        </is>
      </c>
      <c r="K10" s="470" t="inlineStr">
        <is>
          <t>N/A: DT đã N/A, không có gì để escalate</t>
        </is>
      </c>
      <c r="L10" s="458" t="n">
        <v>3</v>
      </c>
      <c r="M10" s="469" t="inlineStr">
        <is>
          <t>100% (1/1)</t>
        </is>
      </c>
    </row>
    <row r="11">
      <c r="A11" s="471" t="inlineStr">
        <is>
          <t>SC-DLV-001</t>
        </is>
      </c>
      <c r="B11" s="471" t="inlineStr">
        <is>
          <t>Carrier chụp ảnh hàng lúc nhận (tuỳ chọn) → lưu, gắn timeline</t>
        </is>
      </c>
      <c r="C11" s="471" t="inlineStr">
        <is>
          <t>"PUP-03/BR-CNF-01 — Ảnh lưu, gắn vào timeline làm bằng chứng"</t>
        </is>
      </c>
      <c r="D11" s="469" t="inlineStr">
        <is>
          <t>✅ 1 (EP-with-photo)</t>
        </is>
      </c>
      <c r="E11" s="470" t="inlineStr">
        <is>
          <t>N/A: không có range số/ngày/độ dài</t>
        </is>
      </c>
      <c r="F11" s="470" t="inlineStr">
        <is>
          <t>N/A: single condition mỗi scenario, không có ≥2 điều kiện nhân</t>
        </is>
      </c>
      <c r="G11" s="470" t="inlineStr">
        <is>
          <t>N/A: dedupe — chuyển trạng thái test tập trung tại SC-DLV-010/011</t>
        </is>
      </c>
      <c r="H11" s="470" t="inlineStr">
        <is>
          <t>N/A: &lt;3 params</t>
        </is>
      </c>
      <c r="I11" s="470" t="inlineStr">
        <is>
          <t>N/A: chưa có rule validate định dạng/dung lượng cho ảnh ở bước này (BVA ảnh 5MB thuộc luồng Đăng tin, TC-DANGTIN)</t>
        </is>
      </c>
      <c r="J11" s="470" t="inlineStr">
        <is>
          <t>N/A: không phải CRUD entity — màn theo dõi trạng thái; Delete/Huỷ thuộc module CNL</t>
        </is>
      </c>
      <c r="K11" s="470" t="inlineStr">
        <is>
          <t>N/A: DT đã N/A, không có gì để escalate</t>
        </is>
      </c>
      <c r="L11" s="458" t="n">
        <v>2</v>
      </c>
      <c r="M11" s="469" t="inlineStr">
        <is>
          <t>100% (1/1) — ⚠ Phase 1 Scope chờ PM chốt</t>
        </is>
      </c>
    </row>
    <row r="12">
      <c r="A12" s="458" t="inlineStr">
        <is>
          <t>SC-DLV-002</t>
        </is>
      </c>
      <c r="B12" s="458" t="inlineStr">
        <is>
          <t>Bỏ qua chụp ảnh lúc nhận vẫn chuyển trạng thái được</t>
        </is>
      </c>
      <c r="C12" s="458" t="inlineStr">
        <is>
          <t>"Chuyển IN_TRANSIT bình thường (ảnh không bắt buộc)"</t>
        </is>
      </c>
      <c r="D12" s="469" t="inlineStr">
        <is>
          <t>✅ 1 (EP-no-photo)</t>
        </is>
      </c>
      <c r="E12" s="470" t="inlineStr">
        <is>
          <t>N/A: không có range số/ngày/độ dài</t>
        </is>
      </c>
      <c r="F12" s="470" t="inlineStr">
        <is>
          <t>N/A: single condition mỗi scenario, không có ≥2 điều kiện nhân</t>
        </is>
      </c>
      <c r="G12" s="470" t="inlineStr">
        <is>
          <t>N/A: dedupe — chuyển trạng thái test tập trung tại SC-DLV-010/011</t>
        </is>
      </c>
      <c r="H12" s="470" t="inlineStr">
        <is>
          <t>N/A: &lt;3 params</t>
        </is>
      </c>
      <c r="I12" s="470" t="inlineStr">
        <is>
          <t>N/A: không có input field tự do trên màn Theo dõi đơn</t>
        </is>
      </c>
      <c r="J12" s="470" t="inlineStr">
        <is>
          <t>N/A: không phải CRUD entity — màn theo dõi trạng thái; Delete/Huỷ thuộc module CNL</t>
        </is>
      </c>
      <c r="K12" s="470" t="inlineStr">
        <is>
          <t>N/A: DT đã N/A, không có gì để escalate</t>
        </is>
      </c>
      <c r="L12" s="458" t="n">
        <v>1</v>
      </c>
      <c r="M12" s="469" t="inlineStr">
        <is>
          <t>100% (1/1) — ⚠ Phase 1 Scope chờ PM chốt</t>
        </is>
      </c>
    </row>
    <row r="13">
      <c r="A13" s="471" t="inlineStr">
        <is>
          <t>SC-DLV-003</t>
        </is>
      </c>
      <c r="B13" s="471" t="inlineStr">
        <is>
          <t>Carrier bật chia sẻ vị trí khi đang giao</t>
        </is>
      </c>
      <c r="C13" s="471" t="inlineStr">
        <is>
          <t>"GPS-01 — Sender/Receiver xem được vị trí tạm thời"</t>
        </is>
      </c>
      <c r="D13" s="470" t="inlineStr">
        <is>
          <t>N/A: C-DLV-02 Open — chưa chốt mặc định bật/tắt nên không phân vùng được</t>
        </is>
      </c>
      <c r="E13" s="470" t="inlineStr">
        <is>
          <t>N/A: không có range số/ngày/độ dài</t>
        </is>
      </c>
      <c r="F13" s="470" t="inlineStr">
        <is>
          <t>N/A: single condition mỗi scenario, không có ≥2 điều kiện nhân</t>
        </is>
      </c>
      <c r="G13" s="470" t="inlineStr">
        <is>
          <t>N/A: dedupe — chuyển trạng thái test tập trung tại SC-DLV-010/011</t>
        </is>
      </c>
      <c r="H13" s="470" t="inlineStr">
        <is>
          <t>N/A: &lt;3 params</t>
        </is>
      </c>
      <c r="I13" s="470" t="inlineStr">
        <is>
          <t>N/A: không có input field tự do trên màn Theo dõi đơn</t>
        </is>
      </c>
      <c r="J13" s="470" t="inlineStr">
        <is>
          <t>N/A: không phải CRUD entity — màn theo dõi trạng thái; Delete/Huỷ thuộc module CNL</t>
        </is>
      </c>
      <c r="K13" s="470" t="inlineStr">
        <is>
          <t>N/A: DT đã N/A, không có gì để escalate</t>
        </is>
      </c>
      <c r="L13" s="458" t="n">
        <v>1</v>
      </c>
      <c r="M13" s="472" t="inlineStr">
        <is>
          <t>N/A (0 applicable) — ⚠ C-DLV-02 Open + Phase 1 Scope</t>
        </is>
      </c>
    </row>
    <row r="14">
      <c r="A14" s="458" t="inlineStr">
        <is>
          <t>SC-DLV-004</t>
        </is>
      </c>
      <c r="B14" s="458" t="inlineStr">
        <is>
          <t>Vị trí chia sẻ tự tắt/xoá sau khi đơn đóng</t>
        </is>
      </c>
      <c r="C14" s="458" t="inlineStr">
        <is>
          <t>"Đơn chuyển COMPLETED hoặc CANCELLED → dữ liệu vị trí bị xoá"</t>
        </is>
      </c>
      <c r="D14" s="469" t="inlineStr">
        <is>
          <t>✅ 2 (EP-closed-completed / EP-closed-cancelled)</t>
        </is>
      </c>
      <c r="E14" s="470" t="inlineStr">
        <is>
          <t>N/A: không có range số/ngày/độ dài</t>
        </is>
      </c>
      <c r="F14" s="470" t="inlineStr">
        <is>
          <t>N/A: single condition mỗi scenario, không có ≥2 điều kiện nhân</t>
        </is>
      </c>
      <c r="G14" s="470" t="inlineStr">
        <is>
          <t>N/A: dedupe — chuyển trạng thái test tập trung tại SC-DLV-010/011</t>
        </is>
      </c>
      <c r="H14" s="470" t="inlineStr">
        <is>
          <t>N/A: &lt;3 params</t>
        </is>
      </c>
      <c r="I14" s="470" t="inlineStr">
        <is>
          <t>N/A: không có input field tự do trên màn Theo dõi đơn</t>
        </is>
      </c>
      <c r="J14" s="470" t="inlineStr">
        <is>
          <t>N/A: không phải CRUD entity — màn theo dõi trạng thái; Delete/Huỷ thuộc module CNL</t>
        </is>
      </c>
      <c r="K14" s="470" t="inlineStr">
        <is>
          <t>N/A: DT đã N/A, không có gì để escalate</t>
        </is>
      </c>
      <c r="L14" s="458" t="n">
        <v>2</v>
      </c>
      <c r="M14" s="469" t="inlineStr">
        <is>
          <t>100% (1/1) — ⚠ Phase 1 Scope chờ PM chốt</t>
        </is>
      </c>
    </row>
    <row r="15">
      <c r="A15" s="471" t="inlineStr">
        <is>
          <t>SC-DLV-008</t>
        </is>
      </c>
      <c r="B15" s="471" t="inlineStr">
        <is>
          <t>Ghi nhận chi phí đối soát offline, không qua app</t>
        </is>
      </c>
      <c r="C15" s="471" t="inlineStr">
        <is>
          <t>"COST-01/BR-COST-01 — Lưu bản ghi tham khảo, KHÔNG kích hoạt thanh toán qua app"</t>
        </is>
      </c>
      <c r="D15" s="470" t="inlineStr">
        <is>
          <t>N/A: chưa có UI minh hoạ để phân vùng field</t>
        </is>
      </c>
      <c r="E15" s="470" t="inlineStr">
        <is>
          <t>N/A: không có range số/ngày/độ dài</t>
        </is>
      </c>
      <c r="F15" s="470" t="inlineStr">
        <is>
          <t>N/A: single condition mỗi scenario, không có ≥2 điều kiện nhân</t>
        </is>
      </c>
      <c r="G15" s="470" t="inlineStr">
        <is>
          <t>N/A: dedupe — chuyển trạng thái test tập trung tại SC-DLV-010/011</t>
        </is>
      </c>
      <c r="H15" s="470" t="inlineStr">
        <is>
          <t>N/A: &lt;3 params</t>
        </is>
      </c>
      <c r="I15" s="470" t="inlineStr">
        <is>
          <t>N/A: chưa có UI field để áp 10-pattern</t>
        </is>
      </c>
      <c r="J15" s="470" t="inlineStr">
        <is>
          <t>N/A: không phải CRUD entity — màn theo dõi trạng thái; Delete/Huỷ thuộc module CNL</t>
        </is>
      </c>
      <c r="K15" s="470" t="inlineStr">
        <is>
          <t>N/A: DT đã N/A, không có gì để escalate</t>
        </is>
      </c>
      <c r="L15" s="458" t="n">
        <v>1</v>
      </c>
      <c r="M15" s="472" t="inlineStr">
        <is>
          <t>N/A (0 applicable) — ⚠ chưa có UI, viết ở mức rule</t>
        </is>
      </c>
    </row>
    <row r="16">
      <c r="A16" s="471" t="inlineStr">
        <is>
          <t>SC-DLV-015</t>
        </is>
      </c>
      <c r="B16" s="471" t="inlineStr">
        <is>
          <t>Icon quay lại tại màn Theo dõi đơn</t>
        </is>
      </c>
      <c r="C16" s="471" t="inlineStr">
        <is>
          <t>Quan sát thực tế app STG (QA GiangDC2, chat 2026-07-30)</t>
        </is>
      </c>
      <c r="D16" s="470" t="inlineStr">
        <is>
          <t>N/A: display/navigation-only, không có input/condition để áp dụng technique</t>
        </is>
      </c>
      <c r="E16" s="470" t="inlineStr">
        <is>
          <t>N/A: display/navigation-only, không có input/condition để áp dụng technique</t>
        </is>
      </c>
      <c r="F16" s="470" t="inlineStr">
        <is>
          <t>N/A: display/navigation-only, không có input/condition để áp dụng technique</t>
        </is>
      </c>
      <c r="G16" s="470" t="inlineStr">
        <is>
          <t>N/A: display/navigation-only, không có input/condition để áp dụng technique</t>
        </is>
      </c>
      <c r="H16" s="470" t="inlineStr">
        <is>
          <t>N/A: display/navigation-only, không có input/condition để áp dụng technique</t>
        </is>
      </c>
      <c r="I16" s="470" t="inlineStr">
        <is>
          <t>N/A: display/navigation-only, không có input/condition để áp dụng technique</t>
        </is>
      </c>
      <c r="J16" s="470" t="inlineStr">
        <is>
          <t>N/A: display/navigation-only, không có input/condition để áp dụng technique</t>
        </is>
      </c>
      <c r="K16" s="470" t="inlineStr">
        <is>
          <t>N/A: display/navigation-only, không có input/condition để áp dụng technique</t>
        </is>
      </c>
      <c r="L16" s="458" t="n">
        <v>1</v>
      </c>
      <c r="M16" s="472" t="inlineStr">
        <is>
          <t>N/A (0 applicable) — ⚠ chưa có UI, viết ở mức rule</t>
        </is>
      </c>
    </row>
    <row r="17">
      <c r="A17" s="224" t="inlineStr">
        <is>
          <t>Total scenarios: 14 (đủ 14/14 scenario module DLV)</t>
        </is>
      </c>
    </row>
    <row r="18">
      <c r="A18" s="224" t="inlineStr">
        <is>
          <t>Total TCs derived: 45</t>
        </is>
      </c>
    </row>
    <row r="19">
      <c r="A19" s="224" t="inlineStr">
        <is>
          <t>Average coverage %: 100% trên 11/14 scenario có technique applicable; 3 scenario log N/A (0 applicable) kèm lý do rõ per-cột</t>
        </is>
      </c>
    </row>
    <row r="20">
      <c r="A20" s="224" t="inlineStr">
        <is>
          <t>Most-applied technique: B1 EP (26 TC)</t>
        </is>
      </c>
    </row>
    <row r="21">
      <c r="A21" s="224" t="inlineStr">
        <is>
          <t>Least-applied technique: B4 ST (4 TC) — B3 DT / B5 PW / B6 EG / B7 CRUD / B8 CEG N/A toàn module</t>
        </is>
      </c>
    </row>
    <row r="22">
      <c r="A22" s="224" t="inlineStr">
        <is>
          <t>Ghi chú Step 3b: 5 TC completeness cho 5 block — Sender "Trạng thái &amp; lộ trình" (5 khối), Carrier "Liên hệ 2 phía" (2 khối), Carrier "Nút hành động theo trạng thái" (3 trạng thái), Receiver "Liên hệ &amp; nút xác nhận" (2 khối), popup "Xác nhận" đã nhận hàng (3 thành phần).</t>
        </is>
      </c>
    </row>
    <row r="23">
      <c r="A23" s="224" t="inlineStr">
        <is>
          <t>Ghi chú scope: màn "Xác nhận đã nhận hàng (đầy đủ)" (DOC-v1.0-02 §5.3 Table 15) KHÔNG derive TC — C-DLV-03 Resolved 2026-07-27 xác nhận out of scope v1.0, UI chính thức là modal đơn giản.</t>
        </is>
      </c>
    </row>
    <row r="24">
      <c r="A24" s="224" t="inlineStr">
        <is>
          <t>Ghi chú rubric: chạy auto-apply (non-interactive) toàn bộ technique applicable theo technique-rubric.md; không technique applicable nào bị bỏ qua.</t>
        </is>
      </c>
    </row>
  </sheetData>
  <autoFilter ref="A1:M15"/>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34" customWidth="1" style="225" min="4" max="4"/>
    <col width="26" customWidth="1" style="225" min="5" max="5"/>
    <col width="26" customWidth="1" style="225" min="6" max="6"/>
    <col width="34" customWidth="1" style="225" min="7" max="7"/>
    <col width="12" customWidth="1" style="225" min="8" max="8"/>
    <col width="46" customWidth="1" style="225" min="9" max="9"/>
    <col width="34" customWidth="1" style="225" min="10" max="10"/>
    <col width="22" customWidth="1" style="225" min="11" max="11"/>
    <col width="10" customWidth="1" style="225" min="12" max="12"/>
    <col width="14"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SC-CNL-001</t>
        </is>
      </c>
      <c r="B2" s="458" t="inlineStr">
        <is>
          <t>Huỷ đơn ở POSTED/MATCHED → popup bắt buộc nhập lý do</t>
        </is>
      </c>
      <c r="C2" s="458" t="inlineStr">
        <is>
          <t>"popup huỷ bắt buộc nhập lý do (nút Xác nhận khoá tới khi có lý do)" — US-D16</t>
        </is>
      </c>
      <c r="D2" s="469" t="inlineStr">
        <is>
          <t>✅ 5 (EP-empty-reason / EP-valid-reason / EP-cancel-dialog / EP-actor-sender / EP-actor-receiver)</t>
        </is>
      </c>
      <c r="E2" s="470" t="inlineStr">
        <is>
          <t>N/A: dedupe — BVA độ dài tối thiểu thuộc SC-CNL-005</t>
        </is>
      </c>
      <c r="F2" s="470" t="inlineStr">
        <is>
          <t>N/A: single condition (lý do có/không hợp lệ), không có ≥2 điều kiện nhân</t>
        </is>
      </c>
      <c r="G2" s="470" t="inlineStr">
        <is>
          <t>N/A: dedupe — transition huỷ test tại SC-CNL-003/004</t>
        </is>
      </c>
      <c r="H2" s="470" t="inlineStr">
        <is>
          <t>N/A: &lt;3 params</t>
        </is>
      </c>
      <c r="I2" s="470" t="inlineStr">
        <is>
          <t>N/A: dedupe — 10-pattern trên ô Lý do huỷ gom về SC-CNL-005</t>
        </is>
      </c>
      <c r="J2" s="470" t="inlineStr">
        <is>
          <t>N/A: dedupe — CRUD-Delete gắn tại SC-CNL-003</t>
        </is>
      </c>
      <c r="K2" s="470" t="inlineStr">
        <is>
          <t>N/A: DT đã N/A, không có gì để escalate</t>
        </is>
      </c>
      <c r="L2" s="458" t="n">
        <v>6</v>
      </c>
      <c r="M2" s="469" t="inlineStr">
        <is>
          <t>100% (1/1)</t>
        </is>
      </c>
    </row>
    <row r="3">
      <c r="A3" s="471" t="inlineStr">
        <is>
          <t>SC-CNL-005</t>
        </is>
      </c>
      <c r="B3" s="471" t="inlineStr">
        <is>
          <t>Lý do huỷ tối thiểu 5 ký tự mới bật nút Xác nhận (VAL-04)</t>
        </is>
      </c>
      <c r="C3" s="471" t="inlineStr">
        <is>
          <t>"Lý do huỷ bắt buộc tối thiểu 5 ký tự mới bật nút 'Xác nhận'" — BRD v3.2 §D8.3</t>
        </is>
      </c>
      <c r="D3" s="470" t="inlineStr">
        <is>
          <t>N/A: dedupe — partition rỗng/không rỗng đã cover tại SC-CNL-001</t>
        </is>
      </c>
      <c r="E3" s="469" t="inlineStr">
        <is>
          <t>✅ 3 (BVA-min-1 4 ký tự / BVA-min 5 ký tự / BVA-min+1 6 ký tự)</t>
        </is>
      </c>
      <c r="F3" s="470" t="inlineStr">
        <is>
          <t>N/A: single condition (lý do có/không hợp lệ), không có ≥2 điều kiện nhân</t>
        </is>
      </c>
      <c r="G3" s="470" t="inlineStr">
        <is>
          <t>N/A: no lifecycle</t>
        </is>
      </c>
      <c r="H3" s="470" t="inlineStr">
        <is>
          <t>N/A: &lt;3 params</t>
        </is>
      </c>
      <c r="I3" s="469" t="inlineStr">
        <is>
          <t>✅ 7 (EG-whitespace-only, EG-trim, EG-unicode, EG-very-long, EG-sql-meta, EG-xss-meta, EG-control-chars; EG-null/empty dedupe sang SC-CNL-001, EG-binary-paste N/A trên UI mobile, EG-leading-zeros N/A vì không phải field số)</t>
        </is>
      </c>
      <c r="J3" s="470" t="inlineStr">
        <is>
          <t>N/A: không phải op CRUD</t>
        </is>
      </c>
      <c r="K3" s="470" t="inlineStr">
        <is>
          <t>N/A: DT đã N/A, không có gì để escalate</t>
        </is>
      </c>
      <c r="L3" s="458" t="n">
        <v>10</v>
      </c>
      <c r="M3" s="469" t="inlineStr">
        <is>
          <t>100% (2/2)</t>
        </is>
      </c>
    </row>
    <row r="4">
      <c r="A4" s="458" t="inlineStr">
        <is>
          <t>SC-CNL-003</t>
        </is>
      </c>
      <c r="B4" s="458" t="inlineStr">
        <is>
          <t>Đơn huỷ ghi rõ vai trò người huỷ + lý do, đồng bộ realtime 3 bên</t>
        </is>
      </c>
      <c r="C4" s="458" t="inlineStr">
        <is>
          <t>"đơn huỷ ghi rõ ai huỷ (Người gửi/Người vận chuyển/Người nhận) + lý do, đồng bộ realtime cho cả 3 bên"</t>
        </is>
      </c>
      <c r="D4" s="469" t="inlineStr">
        <is>
          <t>✅ 3 (EP-actor-sender / EP-actor-carrier / EP-actor-receiver)</t>
        </is>
      </c>
      <c r="E4" s="470" t="inlineStr">
        <is>
          <t>N/A: no range field</t>
        </is>
      </c>
      <c r="F4" s="470" t="inlineStr">
        <is>
          <t>N/A: single condition (lý do có/không hợp lệ), không có ≥2 điều kiện nhân</t>
        </is>
      </c>
      <c r="G4" s="470" t="inlineStr">
        <is>
          <t>N/A: dedupe — transition về POSTED thuộc SC-CNL-004</t>
        </is>
      </c>
      <c r="H4" s="470" t="inlineStr">
        <is>
          <t>N/A: &lt;3 params</t>
        </is>
      </c>
      <c r="I4" s="470" t="inlineStr">
        <is>
          <t>N/A: dedupe sang SC-CNL-005</t>
        </is>
      </c>
      <c r="J4" s="469" t="inlineStr">
        <is>
          <t>✅ 1 (CRUD-Delete — op Delete của entity Đơn; C/R/U/L/S nằm ở TC-DANGTIN/TC-BANGTIN/TC-HOATDONG)</t>
        </is>
      </c>
      <c r="K4" s="470" t="inlineStr">
        <is>
          <t>N/A: DT đã N/A, không có gì để escalate</t>
        </is>
      </c>
      <c r="L4" s="458" t="n">
        <v>8</v>
      </c>
      <c r="M4" s="469" t="inlineStr">
        <is>
          <t>100% (2/2)</t>
        </is>
      </c>
    </row>
    <row r="5">
      <c r="A5" s="471" t="inlineStr">
        <is>
          <t>SC-CNL-004</t>
        </is>
      </c>
      <c r="B5" s="471" t="inlineStr">
        <is>
          <t>Carrier huỷ khi "Đã ghép" (chưa lấy hàng) → đơn về "Chờ ghép"</t>
        </is>
      </c>
      <c r="C5" s="471" t="inlineStr">
        <is>
          <t>"OPR-09 — Đơn tự động về POSTED, hiển thị lại Bảng tin"</t>
        </is>
      </c>
      <c r="D5" s="470" t="inlineStr">
        <is>
          <t>N/A: dedupe vào B4 ST (partition = state)</t>
        </is>
      </c>
      <c r="E5" s="470" t="inlineStr">
        <is>
          <t>N/A: no range field</t>
        </is>
      </c>
      <c r="F5" s="470" t="inlineStr">
        <is>
          <t>N/A: single condition (lý do có/không hợp lệ), không có ≥2 điều kiện nhân</t>
        </is>
      </c>
      <c r="G5" s="469" t="inlineStr">
        <is>
          <t>✅ 1 (ST-matched-posted; nhánh 'tin hiện lại Bảng tin + được khớp lại' đã cover tại TC-BANGTIN/SC-ASN-012)</t>
        </is>
      </c>
      <c r="H5" s="470" t="inlineStr">
        <is>
          <t>N/A: &lt;3 params</t>
        </is>
      </c>
      <c r="I5" s="470" t="inlineStr">
        <is>
          <t>N/A: dedupe sang SC-CNL-005</t>
        </is>
      </c>
      <c r="J5" s="470" t="inlineStr">
        <is>
          <t>N/A: dedupe sang SC-CNL-003</t>
        </is>
      </c>
      <c r="K5" s="470" t="inlineStr">
        <is>
          <t>N/A: DT đã N/A, không có gì để escalate</t>
        </is>
      </c>
      <c r="L5" s="458" t="n">
        <v>2</v>
      </c>
      <c r="M5" s="469" t="inlineStr">
        <is>
          <t>100% (1/1)</t>
        </is>
      </c>
    </row>
    <row r="6">
      <c r="A6" s="458" t="inlineStr">
        <is>
          <t>SC-CNL-002</t>
        </is>
      </c>
      <c r="B6" s="458" t="inlineStr">
        <is>
          <t>Không cho huỷ khi đơn đã "Đang giao" trở đi</t>
        </is>
      </c>
      <c r="C6" s="458" t="inlineStr">
        <is>
          <t>"OPR-11 — Không có lựa chọn huỷ thường"</t>
        </is>
      </c>
      <c r="D6" s="469" t="inlineStr">
        <is>
          <t>✅ 2 (EP-receiver-blocked / EP-delivered-blocked; nhánh Sender/Carrier tại "Đang giao" đã cover ở TC-THEODOIDON/SC-DLV-009)</t>
        </is>
      </c>
      <c r="E6" s="470" t="inlineStr">
        <is>
          <t>N/A: no range field</t>
        </is>
      </c>
      <c r="F6" s="470" t="inlineStr">
        <is>
          <t>N/A: single condition (lý do có/không hợp lệ), không có ≥2 điều kiện nhân</t>
        </is>
      </c>
      <c r="G6" s="470" t="inlineStr">
        <is>
          <t>N/A: dedupe — không phát sinh transition</t>
        </is>
      </c>
      <c r="H6" s="470" t="inlineStr">
        <is>
          <t>N/A: &lt;3 params</t>
        </is>
      </c>
      <c r="I6" s="470" t="inlineStr">
        <is>
          <t>N/A: không có input field trong scope TC này</t>
        </is>
      </c>
      <c r="J6" s="470" t="inlineStr">
        <is>
          <t>N/A: dedupe sang SC-CNL-003</t>
        </is>
      </c>
      <c r="K6" s="470" t="inlineStr">
        <is>
          <t>N/A: DT đã N/A, không có gì để escalate</t>
        </is>
      </c>
      <c r="L6" s="458" t="n">
        <v>2</v>
      </c>
      <c r="M6" s="469" t="inlineStr">
        <is>
          <t>100% (1/1)</t>
        </is>
      </c>
    </row>
    <row r="8">
      <c r="A8" s="224" t="inlineStr">
        <is>
          <t>Total scenarios: 5 (đủ 5/5 scenario module CNL)</t>
        </is>
      </c>
    </row>
    <row r="9">
      <c r="A9" s="224" t="inlineStr">
        <is>
          <t>Total TCs derived: 28</t>
        </is>
      </c>
    </row>
    <row r="10">
      <c r="A10" s="224" t="inlineStr">
        <is>
          <t>Average coverage %: 100% — mọi technique applicable đều đã sinh TC, không scenario nào 0-dim</t>
        </is>
      </c>
    </row>
    <row r="11">
      <c r="A11" s="224" t="inlineStr">
        <is>
          <t>Most-applied technique: B1 EP (10 TC)</t>
        </is>
      </c>
    </row>
    <row r="12">
      <c r="A12" s="224" t="inlineStr">
        <is>
          <t>Least-applied technique: B7 CRUD (1 TC) — B3 DT / B5 PW / B8 CEG N/A toàn module</t>
        </is>
      </c>
    </row>
    <row r="13">
      <c r="A13" s="224" t="inlineStr">
        <is>
          <t>Ghi chú B6 EG: đây là module ĐẦU TIÊN trong project có ô nhập tự do bắt buộc ("Lý do huỷ") nên 10-pattern Error Guessing lần đầu áp dụng đầy đủ. TC quan trọng nhất là EG-whitespace-only — nếu hệ thống đếm độ dài TRƯỚC khi trim thì 5 dấu cách sẽ lọt qua VAL-04.</t>
        </is>
      </c>
    </row>
    <row r="14">
      <c r="A14" s="224" t="inlineStr">
        <is>
          <t>Ghi chú Step 3b: 2 TC completeness — popup "Huỷ nhận đơn" (4 thành phần, verbatim Figma) và màn "Đơn đã huỷ" (2 thành phần, verbatim Figma).</t>
        </is>
      </c>
    </row>
    <row r="15">
      <c r="A15" s="224" t="inlineStr">
        <is>
          <t>Ghi chú §10.1: ảnh Figma chỉ xác nhận verbatim biến thể popup của Carrier; biến thể Sender/Receiver chưa có ảnh → TC chỉ assert RULE (nút Xác nhận khoá tới khi có lý do), KHÔNG assert title/placeholder cụ thể.</t>
        </is>
      </c>
    </row>
    <row r="16">
      <c r="A16" s="224" t="inlineStr">
        <is>
          <t>Ghi chú rubric: chạy auto-apply (non-interactive) toàn bộ technique applicable theo technique-rubric.md; không technique applicable nào bị bỏ qua.</t>
        </is>
      </c>
    </row>
  </sheetData>
  <autoFilter ref="A1:M6"/>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14"/>
  <sheetViews>
    <sheetView workbookViewId="0">
      <pane ySplit="1" topLeftCell="A2" activePane="bottomLeft" state="frozen"/>
      <selection pane="bottomLeft" activeCell="A1" sqref="A1"/>
    </sheetView>
  </sheetViews>
  <sheetFormatPr baseColWidth="8" defaultRowHeight="15"/>
  <cols>
    <col width="16" customWidth="1" style="225" min="1" max="1"/>
    <col width="40" customWidth="1" style="225" min="2" max="2"/>
    <col width="50" customWidth="1" style="225" min="3" max="3"/>
    <col width="40" customWidth="1" style="225" min="4" max="4"/>
    <col width="22" customWidth="1" style="225" min="5" max="5"/>
    <col width="26" customWidth="1" style="225" min="6" max="6"/>
    <col width="34" customWidth="1" style="225" min="7" max="7"/>
    <col width="12" customWidth="1" style="225" min="8" max="8"/>
    <col width="34" customWidth="1" style="225" min="9" max="9"/>
    <col width="40" customWidth="1" style="225" min="10" max="10"/>
    <col width="22" customWidth="1" style="225" min="11" max="11"/>
    <col width="10" customWidth="1" style="225" min="12" max="12"/>
    <col width="16" customWidth="1" style="225" min="13" max="13"/>
  </cols>
  <sheetData>
    <row r="1">
      <c r="A1" s="468" t="inlineStr">
        <is>
          <t>SC ID</t>
        </is>
      </c>
      <c r="B1" s="468" t="inlineStr">
        <is>
          <t>Scenario Title</t>
        </is>
      </c>
      <c r="C1" s="468" t="inlineStr">
        <is>
          <t>Source Hint</t>
        </is>
      </c>
      <c r="D1" s="468" t="inlineStr">
        <is>
          <t>B1 EP</t>
        </is>
      </c>
      <c r="E1" s="468" t="inlineStr">
        <is>
          <t>B2 BVA</t>
        </is>
      </c>
      <c r="F1" s="468" t="inlineStr">
        <is>
          <t>B3 DT</t>
        </is>
      </c>
      <c r="G1" s="468" t="inlineStr">
        <is>
          <t>B4 ST</t>
        </is>
      </c>
      <c r="H1" s="468" t="inlineStr">
        <is>
          <t>B5 PW</t>
        </is>
      </c>
      <c r="I1" s="468" t="inlineStr">
        <is>
          <t>B6 EG</t>
        </is>
      </c>
      <c r="J1" s="468" t="inlineStr">
        <is>
          <t>B7 CRUD</t>
        </is>
      </c>
      <c r="K1" s="468" t="inlineStr">
        <is>
          <t>B8 CEG</t>
        </is>
      </c>
      <c r="L1" s="468" t="inlineStr">
        <is>
          <t>Total TCs</t>
        </is>
      </c>
      <c r="M1" s="468" t="inlineStr">
        <is>
          <t>Coverage %</t>
        </is>
      </c>
    </row>
    <row r="2">
      <c r="A2" s="458" t="inlineStr">
        <is>
          <t>SC-GIFT-001</t>
        </is>
      </c>
      <c r="B2" s="458" t="inlineStr">
        <is>
          <t>Sau Hoàn thành, Sender chọn 1/4 loại quà tặng Carrier</t>
        </is>
      </c>
      <c r="C2" s="458" t="inlineStr">
        <is>
          <t>"4 lựa chọn quà: 🌷 Bông hoa · ☕ Ly cà phê · 🧸 Gấu bông · 👑 Vương miện" — §3.8 + Figma</t>
        </is>
      </c>
      <c r="D2" s="469" t="inlineStr">
        <is>
          <t>✅ 6 (EP-flower / EP-coffee / EP-teddy / EP-crown / EP-switch-selection / EP-invalid-none)</t>
        </is>
      </c>
      <c r="E2" s="470" t="inlineStr">
        <is>
          <t>N/A: không có range số/ngày/độ dài</t>
        </is>
      </c>
      <c r="F2" s="470" t="inlineStr">
        <is>
          <t>N/A: single condition (đã chọn quà hay chưa)</t>
        </is>
      </c>
      <c r="G2" s="470" t="inlineStr">
        <is>
          <t>N/A: dedupe — đổi trạng thái nút thuộc SC-GIFT-004</t>
        </is>
      </c>
      <c r="H2" s="470" t="inlineStr">
        <is>
          <t>N/A: &lt;3 params</t>
        </is>
      </c>
      <c r="I2" s="470" t="inlineStr">
        <is>
          <t>N/A: màn Tặng quà chỉ có chip chọn sẵn, không có ô nhập tự do</t>
        </is>
      </c>
      <c r="J2" s="470" t="inlineStr">
        <is>
          <t>N/A: quà là bản ghi 1 chiều, không có Update/Delete từ UI; List/Read đã cover tại TC-CANHAN (màn "Quà đã nhận", SC-GIFT-003/006/007)</t>
        </is>
      </c>
      <c r="K2" s="470" t="inlineStr">
        <is>
          <t>N/A: DT đã N/A, không có gì để escalate</t>
        </is>
      </c>
      <c r="L2" s="458" t="n">
        <v>8</v>
      </c>
      <c r="M2" s="469" t="inlineStr">
        <is>
          <t>100% (1/1)</t>
        </is>
      </c>
    </row>
    <row r="3">
      <c r="A3" s="471" t="inlineStr">
        <is>
          <t>SC-GIFT-002</t>
        </is>
      </c>
      <c r="B3" s="471" t="inlineStr">
        <is>
          <t>Gửi quà không cần Carrier xác nhận → popup cảm ơn</t>
        </is>
      </c>
      <c r="C3" s="471" t="inlineStr">
        <is>
          <t>"Xác nhận → modal 'Đã gửi lời cảm ơn!' — tính năng tương tác xã hội, không bắt buộc"</t>
        </is>
      </c>
      <c r="D3" s="470" t="inlineStr">
        <is>
          <t>N/A: dedupe — partition loại quà đã cover tại SC-GIFT-001</t>
        </is>
      </c>
      <c r="E3" s="470" t="inlineStr">
        <is>
          <t>N/A: không có range số/ngày/độ dài</t>
        </is>
      </c>
      <c r="F3" s="470" t="inlineStr">
        <is>
          <t>N/A: single condition (đã chọn quà hay chưa)</t>
        </is>
      </c>
      <c r="G3" s="470" t="inlineStr">
        <is>
          <t>N/A: dedupe sang SC-GIFT-004</t>
        </is>
      </c>
      <c r="H3" s="470" t="inlineStr">
        <is>
          <t>N/A: &lt;3 params</t>
        </is>
      </c>
      <c r="I3" s="470" t="inlineStr">
        <is>
          <t>N/A: màn Tặng quà chỉ có chip chọn sẵn, không có ô nhập tự do</t>
        </is>
      </c>
      <c r="J3" s="470" t="inlineStr">
        <is>
          <t>N/A: quà là bản ghi 1 chiều, không có Update/Delete từ UI; List/Read đã cover tại TC-CANHAN (màn "Quà đã nhận", SC-GIFT-003/006/007)</t>
        </is>
      </c>
      <c r="K3" s="470" t="inlineStr">
        <is>
          <t>N/A: DT đã N/A, không có gì để escalate</t>
        </is>
      </c>
      <c r="L3" s="458" t="n">
        <v>4</v>
      </c>
      <c r="M3" s="472" t="inlineStr">
        <is>
          <t>N/A (0 applicable)</t>
        </is>
      </c>
    </row>
    <row r="4">
      <c r="A4" s="458" t="inlineStr">
        <is>
          <t>SC-GIFT-004</t>
        </is>
      </c>
      <c r="B4" s="458" t="inlineStr">
        <is>
          <t>Nút "Cảm ơn người vận chuyển" đổi thành "Bạn đã đánh giá" sau khi gửi quà</t>
        </is>
      </c>
      <c r="C4" s="458" t="inlineStr">
        <is>
          <t>Ma trận nhãn nút × trạng thái × vai trò (hàng "Hoàn thành" × cột Người gửi) — quan sát app STG + Figma</t>
        </is>
      </c>
      <c r="D4" s="469" t="inlineStr">
        <is>
          <t>✅ 1 (EP-sender-completed-not-gifted — ô ma trận nhãn nút còn lại)</t>
        </is>
      </c>
      <c r="E4" s="470" t="inlineStr">
        <is>
          <t>N/A: không có range số/ngày/độ dài</t>
        </is>
      </c>
      <c r="F4" s="470" t="inlineStr">
        <is>
          <t>N/A: single condition (đã chọn quà hay chưa)</t>
        </is>
      </c>
      <c r="G4" s="469" t="inlineStr">
        <is>
          <t>✅ 2 (ST-gift-sent + ST-invalid-regift)</t>
        </is>
      </c>
      <c r="H4" s="470" t="inlineStr">
        <is>
          <t>N/A: &lt;3 params</t>
        </is>
      </c>
      <c r="I4" s="470" t="inlineStr">
        <is>
          <t>N/A: màn Tặng quà chỉ có chip chọn sẵn, không có ô nhập tự do</t>
        </is>
      </c>
      <c r="J4" s="470" t="inlineStr">
        <is>
          <t>N/A: quà là bản ghi 1 chiều, không có Update/Delete từ UI; List/Read đã cover tại TC-CANHAN (màn "Quà đã nhận", SC-GIFT-003/006/007)</t>
        </is>
      </c>
      <c r="K4" s="470" t="inlineStr">
        <is>
          <t>N/A: DT đã N/A, không có gì để escalate</t>
        </is>
      </c>
      <c r="L4" s="458" t="n">
        <v>4</v>
      </c>
      <c r="M4" s="469" t="inlineStr">
        <is>
          <t>100% (2/2)</t>
        </is>
      </c>
    </row>
    <row r="5">
      <c r="A5" s="458" t="inlineStr">
        <is>
          <t>SC-GIFT-008</t>
        </is>
      </c>
      <c r="B5" s="458" t="inlineStr">
        <is>
          <t>Icon quay lại tại màn Tặng quà</t>
        </is>
      </c>
      <c r="C5" s="458" t="inlineStr">
        <is>
          <t>Quan sát thực tế app STG (QA GiangDC2, chat 2026-07-30)</t>
        </is>
      </c>
      <c r="D5" s="469" t="inlineStr">
        <is>
          <t>N/A: display/navigation-only, không có input/condition để áp dụng technique</t>
        </is>
      </c>
      <c r="E5" s="470" t="inlineStr">
        <is>
          <t>N/A: display/navigation-only, không có input/condition để áp dụng technique</t>
        </is>
      </c>
      <c r="F5" s="470" t="inlineStr">
        <is>
          <t>N/A: display/navigation-only, không có input/condition để áp dụng technique</t>
        </is>
      </c>
      <c r="G5" s="469" t="inlineStr">
        <is>
          <t>N/A: display/navigation-only, không có input/condition để áp dụng technique</t>
        </is>
      </c>
      <c r="H5" s="470" t="inlineStr">
        <is>
          <t>N/A: display/navigation-only, không có input/condition để áp dụng technique</t>
        </is>
      </c>
      <c r="I5" s="470" t="inlineStr">
        <is>
          <t>N/A: display/navigation-only, không có input/condition để áp dụng technique</t>
        </is>
      </c>
      <c r="J5" s="470" t="inlineStr">
        <is>
          <t>N/A: display/navigation-only, không có input/condition để áp dụng technique</t>
        </is>
      </c>
      <c r="K5" s="470" t="inlineStr">
        <is>
          <t>N/A: display/navigation-only, không có input/condition để áp dụng technique</t>
        </is>
      </c>
      <c r="L5" s="458" t="n">
        <v>1</v>
      </c>
      <c r="M5" s="469" t="inlineStr">
        <is>
          <t>100% (2/2)</t>
        </is>
      </c>
    </row>
    <row r="6">
      <c r="A6" s="224" t="inlineStr">
        <is>
          <t>Total scenarios: 3 (SC-GIFT-001/002/004 — 4 scenario GIFT còn lại SC-GIFT-003/005/006/007 đã cover tại TC-CANHAN)</t>
        </is>
      </c>
    </row>
    <row r="7">
      <c r="A7" s="224" t="inlineStr">
        <is>
          <t>Total TCs derived: 17</t>
        </is>
      </c>
    </row>
    <row r="8">
      <c r="A8" s="224" t="inlineStr">
        <is>
          <t>Average coverage %: 100% trên 2/3 scenario có technique applicable; SC-GIFT-002 log N/A (0 applicable) vì mọi dimension đã dedupe sang 2 scenario còn lại</t>
        </is>
      </c>
    </row>
    <row r="9">
      <c r="A9" s="224" t="inlineStr">
        <is>
          <t>Most-applied technique: B1 EP (7 TC)</t>
        </is>
      </c>
    </row>
    <row r="10">
      <c r="A10" s="224" t="inlineStr">
        <is>
          <t>Least-applied technique: B4 ST (2 TC) — B2 BVA / B3 DT / B5 PW / B6 EG / B7 CRUD / B8 CEG N/A toàn module</t>
        </is>
      </c>
    </row>
    <row r="11">
      <c r="A11" s="224" t="inlineStr">
        <is>
          <t>Ghi chú Step 3b: 3 TC completeness — màn Tặng quà (5 thành phần), danh sách 4 chip loại quà, popup "Đã gửi lời cảm ơn!" (3 thành phần). Cả 3 verbatim từ ảnh Figma DOC-v1.0-04.</t>
        </is>
      </c>
    </row>
    <row r="12">
      <c r="A12" s="224" t="inlineStr">
        <is>
          <t>Ghi chú ma trận nhãn nút: ô cuối cùng (hàng "Hoàn thành" × cột Người gửi) được cover tại đây — 14 ô còn lại đã cover ở TC-THEODOIDON (11 ô) và TC-BANGTIN (3 ô cột Carrier hàng "Chờ ghép", tại màn Chi tiết tin). Ma trận 15 ô nay đủ 15/15.</t>
        </is>
      </c>
    </row>
    <row r="13">
      <c r="A13" s="224" t="inlineStr">
        <is>
          <t>Ghi chú out of scope: KHÔNG derive TC cho REQ-GIFT-002 (chấm sao 1-5, RAT-01/02) — C-GIFT-01 Resolved/Deferred, phase sau; màn Tặng quà xác nhận KHÔNG có UI sao.</t>
        </is>
      </c>
    </row>
    <row r="14">
      <c r="A14" s="224" t="inlineStr">
        <is>
          <t>Ghi chú rubric: chạy auto-apply (non-interactive) toàn bộ technique applicable theo technique-rubric.md; không technique applicable nào bị bỏ qua.</t>
        </is>
      </c>
    </row>
  </sheetData>
  <autoFilter ref="A1:M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2026-07-28T02:13:19Z</dcterms:created>
  <dcterms:modified xsi:type="dcterms:W3CDTF">2026-07-30T10:51:47Z</dcterms:modified>
  <cp:revision>2</cp:revision>
</cp:coreProperties>
</file>