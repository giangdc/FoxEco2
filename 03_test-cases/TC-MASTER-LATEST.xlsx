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harts/colors9.xml" ContentType="application/vnd.ms-office.chartcolorstyle+xml"/>
  <Override PartName="/xl/charts/style4.xml" ContentType="application/vnd.ms-office.chartstyle+xml"/>
  <Override PartName="/xl/charts/colors8.xml" ContentType="application/vnd.ms-office.chartcolorstyle+xml"/>
  <Override PartName="/xl/charts/style3.xml" ContentType="application/vnd.ms-office.chartstyle+xml"/>
  <Override PartName="/xl/charts/style2.xml" ContentType="application/vnd.ms-office.chartstyle+xml"/>
  <Override PartName="/xl/charts/style7.xml" ContentType="application/vnd.ms-office.chartstyle+xml"/>
  <Override PartName="/xl/charts/colors6.xml" ContentType="application/vnd.ms-office.chartcolorstyle+xml"/>
  <Override PartName="/xl/charts/style6.xml" ContentType="application/vnd.ms-office.chartstyle+xml"/>
  <Override PartName="/xl/charts/chart10.xml" ContentType="application/vnd.openxmlformats-officedocument.drawingml.chart+xml"/>
  <Override PartName="/xl/charts/style5.xml" ContentType="application/vnd.ms-office.chartstyle+xml"/>
  <Override PartName="/xl/charts/colors1.xml" ContentType="application/vnd.ms-office.chartcolorstyle+xml"/>
  <Override PartName="/xl/charts/chart6.xml" ContentType="application/vnd.openxmlformats-officedocument.drawingml.chart+xml"/>
  <Override PartName="/xl/charts/colors2.xml" ContentType="application/vnd.ms-office.chartcolorstyle+xml"/>
  <Override PartName="/xl/charts/chart3.xml" ContentType="application/vnd.openxmlformats-officedocument.drawingml.chart+xml"/>
  <Override PartName="/xl/charts/style1.xml" ContentType="application/vnd.ms-office.chartstyle+xml"/>
  <Override PartName="/xl/charts/style9.xml" ContentType="application/vnd.ms-office.chartstyle+xml"/>
  <Override PartName="/xl/charts/colors5.xml" ContentType="application/vnd.ms-office.chartcolorstyle+xml"/>
  <Override PartName="/xl/charts/style8.xml" ContentType="application/vnd.ms-office.chartstyle+xml"/>
  <Override PartName="/xl/charts/chart14.xml" ContentType="application/vnd.openxmlformats-officedocument.drawingml.chart+xml"/>
  <Override PartName="/xl/charts/chart9.xml" ContentType="application/vnd.openxmlformats-officedocument.drawingml.chart+xml"/>
  <Override PartName="/xl/charts/colors13.xml" ContentType="application/vnd.ms-office.chartcolorstyle+xml"/>
  <Override PartName="/xl/charts/style18.xml" ContentType="application/vnd.ms-office.chartstyle+xml"/>
  <Override PartName="/xl/charts/colors16.xml" ContentType="application/vnd.ms-office.chartcolorstyle+xml"/>
  <Override PartName="/xl/charts/chart5.xml" ContentType="application/vnd.openxmlformats-officedocument.drawingml.chart+xml"/>
  <Override PartName="/xl/charts/style17.xml" ContentType="application/vnd.ms-office.chartstyle+xml"/>
  <Override PartName="/xl/charts/chart17.xml" ContentType="application/vnd.openxmlformats-officedocument.drawingml.chart+xml"/>
  <Override PartName="/xl/charts/chart1.xml" ContentType="application/vnd.openxmlformats-officedocument.drawingml.chart+xml"/>
  <Override PartName="/xl/charts/colors15.xml" ContentType="application/vnd.ms-office.chartcolorstyle+xml"/>
  <Override PartName="/xl/charts/colors17.xml" ContentType="application/vnd.ms-office.chartcolorstyle+xml"/>
  <Override PartName="/xl/charts/chart13.xml" ContentType="application/vnd.openxmlformats-officedocument.drawingml.chart+xml"/>
  <Override PartName="/xl/charts/colors7.xml" ContentType="application/vnd.ms-office.chartcolorstyle+xml"/>
  <Override PartName="/xl/charts/chart11.xml" ContentType="application/vnd.openxmlformats-officedocument.drawingml.chart+xml"/>
  <Override PartName="/xl/charts/chart18.xml" ContentType="application/vnd.openxmlformats-officedocument.drawingml.chart+xml"/>
  <Override PartName="/xl/charts/colors18.xml" ContentType="application/vnd.ms-office.chartcolorstyle+xml"/>
  <Override PartName="/xl/charts/style13.xml" ContentType="application/vnd.ms-office.chartstyle+xml"/>
  <Override PartName="/xl/charts/colors14.xml" ContentType="application/vnd.ms-office.chartcolorstyle+xml"/>
  <Override PartName="/xl/charts/style10.xml" ContentType="application/vnd.ms-office.chartstyle+xml"/>
  <Override PartName="/xl/charts/style16.xml" ContentType="application/vnd.ms-office.chartstyle+xml"/>
  <Override PartName="/xl/charts/chart2.xml" ContentType="application/vnd.openxmlformats-officedocument.drawingml.chart+xml"/>
  <Override PartName="/xl/charts/style15.xml" ContentType="application/vnd.ms-office.chartstyle+xml"/>
  <Override PartName="/xl/charts/chart16.xml" ContentType="application/vnd.openxmlformats-officedocument.drawingml.chart+xml"/>
  <Override PartName="/xl/charts/style11.xml" ContentType="application/vnd.ms-office.chartstyle+xml"/>
  <Override PartName="/xl/charts/colors4.xml" ContentType="application/vnd.ms-office.chartcolorstyle+xml"/>
  <Override PartName="/xl/charts/style12.xml" ContentType="application/vnd.ms-office.chartstyle+xml"/>
  <Override PartName="/xl/charts/chart8.xml" ContentType="application/vnd.openxmlformats-officedocument.drawingml.chart+xml"/>
  <Override PartName="/xl/charts/chart12.xml" ContentType="application/vnd.openxmlformats-officedocument.drawingml.chart+xml"/>
  <Override PartName="/xl/charts/colors11.xml" ContentType="application/vnd.ms-office.chartcolorstyle+xml"/>
  <Override PartName="/xl/charts/colors3.xml" ContentType="application/vnd.ms-office.chartcolorstyle+xml"/>
  <Override PartName="/xl/charts/style14.xml" ContentType="application/vnd.ms-office.chartstyle+xml"/>
  <Override PartName="/xl/charts/colors12.xml" ContentType="application/vnd.ms-office.chartcolorstyle+xml"/>
  <Override PartName="/xl/charts/colors10.xml" ContentType="application/vnd.ms-office.chartcolorstyle+xml"/>
  <Override PartName="/xl/charts/chart15.xml" ContentType="application/vnd.openxmlformats-officedocument.drawingml.chart+xml"/>
  <Override PartName="/xl/charts/chart4.xml" ContentType="application/vnd.openxmlformats-officedocument.drawingml.chart+xml"/>
  <Override PartName="/xl/charts/chart7.xml" ContentType="application/vnd.openxmlformats-officedocument.drawingml.chart+xml"/>
  <Override PartName="/xl/drawings/drawing20.xml" ContentType="application/vnd.openxmlformats-officedocument.drawing+xml"/>
  <Override PartName="/xl/drawings/drawing12.xml" ContentType="application/vnd.openxmlformats-officedocument.drawing+xml"/>
  <Override PartName="/xl/drawings/drawing8.xml" ContentType="application/vnd.openxmlformats-officedocument.drawing+xml"/>
  <Override PartName="/xl/drawings/drawing11.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22.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17.xml" ContentType="application/vnd.openxmlformats-officedocument.drawing+xml"/>
  <Override PartName="/xl/drawings/drawing13.xml" ContentType="application/vnd.openxmlformats-officedocument.drawing+xml"/>
  <Override PartName="/xl/drawings/drawing23.xml" ContentType="application/vnd.openxmlformats-officedocument.drawing+xml"/>
  <Override PartName="/xl/drawings/drawing21.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4.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xml" ContentType="application/vnd.openxmlformats-officedocument.drawing+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Cover" sheetId="1" state="visible" r:id="rId3"/>
    <sheet name="Guideline" sheetId="2" state="visible" r:id="rId4"/>
    <sheet name="Revision History" sheetId="3" state="visible" r:id="rId5"/>
    <sheet name="Summary" sheetId="4" state="visible" r:id="rId6"/>
    <sheet name="Dashboard" sheetId="5" state="visible" r:id="rId7"/>
    <sheet name="Report Test" sheetId="6" state="visible" r:id="rId8"/>
    <sheet name="Bug Data" sheetId="7" state="visible" r:id="rId9"/>
    <sheet name="RTM" sheetId="8" state="visible" r:id="rId10"/>
    <sheet name="Hoạt động" sheetId="9" state="visible" r:id="rId11"/>
    <sheet name="Cá nhân" sheetId="10" state="visible" r:id="rId12"/>
    <sheet name="Thông báo" sheetId="11" state="visible" r:id="rId13"/>
    <sheet name="Đăng tin" sheetId="12" state="visible" r:id="rId14"/>
    <sheet name="Trang chủ" sheetId="13" state="visible" r:id="rId15"/>
    <sheet name="Bảng tin &amp; Chi tiết tin" sheetId="14" state="visible" r:id="rId16"/>
    <sheet name="Theo dõi đơn" sheetId="15" state="visible" r:id="rId17"/>
    <sheet name="Huỷ đơn" sheetId="16" state="visible" r:id="rId18"/>
    <sheet name="Tặng quà" sheetId="17" state="visible" r:id="rId19"/>
    <sheet name="Coverage Matrix" sheetId="18" state="visible" r:id="rId20"/>
    <sheet name="Coverage Matrix - Cá nhân" sheetId="19" state="visible" r:id="rId21"/>
    <sheet name="Coverage Matrix - Thông báo" sheetId="20" state="visible" r:id="rId22"/>
    <sheet name="Coverage Matrix - Đăng tin" sheetId="21" state="visible" r:id="rId23"/>
    <sheet name="Coverage Matrix - Trang chủ" sheetId="22" state="visible" r:id="rId24"/>
    <sheet name="Coverage Matrix - Bảng tin" sheetId="23" state="visible" r:id="rId25"/>
    <sheet name="Coverage Matrix - Theo dõi đơn" sheetId="24" state="visible" r:id="rId26"/>
    <sheet name="Coverage Matrix - Huỷ đơn" sheetId="25" state="visible" r:id="rId27"/>
    <sheet name="Coverage Matrix - Tặng quà" sheetId="26" state="visible" r:id="rId28"/>
  </sheets>
  <definedNames>
    <definedName function="false" hidden="true" localSheetId="13" name="_xlnm._FilterDatabase" vbProcedure="false">'Bảng tin &amp; Chi tiết tin'!$A$6:$U$6</definedName>
    <definedName function="false" hidden="true" localSheetId="9" name="_xlnm._FilterDatabase" vbProcedure="false">'Cá nhân'!$A$6:$U$6</definedName>
    <definedName function="false" hidden="true" localSheetId="17" name="_xlnm._FilterDatabase" vbProcedure="false">'Coverage Matrix'!$A$1:$M$1</definedName>
    <definedName function="false" hidden="true" localSheetId="22" name="_xlnm._FilterDatabase" vbProcedure="false">'Coverage Matrix - Bảng tin'!$A$1:$M$12</definedName>
    <definedName function="false" hidden="true" localSheetId="18" name="_xlnm._FilterDatabase" vbProcedure="false">'Coverage Matrix - Cá nhân'!$A$1:$M$1</definedName>
    <definedName function="false" hidden="true" localSheetId="20" name="_xlnm._FilterDatabase" vbProcedure="false">'Coverage Matrix - Đăng tin'!$A$1:$M$21</definedName>
    <definedName function="false" hidden="true" localSheetId="24" name="_xlnm._FilterDatabase" vbProcedure="false">'Coverage Matrix - Huỷ đơn'!$A$1:$M$6</definedName>
    <definedName function="false" hidden="true" localSheetId="25" name="_xlnm._FilterDatabase" vbProcedure="false">'Coverage Matrix - Tặng quà'!$A$1:$M$4</definedName>
    <definedName function="false" hidden="true" localSheetId="23" name="_xlnm._FilterDatabase" vbProcedure="false">'Coverage Matrix - Theo dõi đơn'!$A$1:$M$15</definedName>
    <definedName function="false" hidden="true" localSheetId="19" name="_xlnm._FilterDatabase" vbProcedure="false">'Coverage Matrix - Thông báo'!$A$1:$M$1</definedName>
    <definedName function="false" hidden="true" localSheetId="21" name="_xlnm._FilterDatabase" vbProcedure="false">'Coverage Matrix - Trang chủ'!$A$1:$M$5</definedName>
    <definedName function="false" hidden="true" localSheetId="11" name="_xlnm._FilterDatabase" vbProcedure="false">'Đăng tin'!$A$6:$U$6</definedName>
    <definedName function="false" hidden="true" localSheetId="8" name="_xlnm._FilterDatabase" vbProcedure="false">'Hoạt động'!$A$6:$U$6</definedName>
    <definedName function="false" hidden="true" localSheetId="15" name="_xlnm._FilterDatabase" vbProcedure="false">'Huỷ đơn'!$A$6:$U$6</definedName>
    <definedName function="false" hidden="true" localSheetId="16" name="_xlnm._FilterDatabase" vbProcedure="false">'Tặng quà'!$A$6:$U$6</definedName>
    <definedName function="false" hidden="true" localSheetId="14" name="_xlnm._FilterDatabase" vbProcedure="false">'Theo dõi đơn'!$A$6:$U$6</definedName>
    <definedName function="false" hidden="true" localSheetId="10" name="_xlnm._FilterDatabase" vbProcedure="false">'Thông báo'!$A$6:$U$6</definedName>
    <definedName function="false" hidden="true" localSheetId="12" name="_xlnm._FilterDatabase" vbProcedure="false">'Trang chủ'!$A$6:$U$6</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L217" authorId="0">
      <text>
        <r>
          <rPr>
            <sz val="10"/>
            <rFont val="Arial"/>
            <family val="2"/>
          </rPr>
          <t xml:space="preserve">======
ID#AAAB_rq93Wk
Ghi rõ chức năng/scope test của từng Round giúp Manager nắm tổng quát    (2026-07-08 10:16:14)
• TH1 – Round chia scope KHÔNG trùng (VD: R1: Function A; R2: Function B, C) → độ phủ cộng dồn.
• TH2 – mỗi Round chạy full regression toàn bộ chức năng (số Round = số lần test lại).</t>
        </r>
      </text>
      <mc:AlternateContent>
        <mc:Choice Requires="v2">
          <commentPr autoFill="true" autoScale="false" colHidden="false" locked="false" rowHidden="false" textHAlign="justify" textVAlign="top">
            <anchor moveWithCells="false" sizeWithCells="false">
              <xdr:from>
                <xdr:col>1</xdr:col>
                <xdr:colOff>61</xdr:colOff>
                <xdr:row>0</xdr:row>
                <xdr:rowOff>2</xdr:rowOff>
              </xdr:from>
              <xdr:to>
                <xdr:col>2</xdr:col>
                <xdr:colOff>101</xdr:colOff>
                <xdr:row>3</xdr:row>
                <xdr:rowOff>2</xdr:rowOff>
              </xdr:to>
            </anchor>
          </commentPr>
        </mc:Choice>
        <mc:Fallback/>
      </mc:AlternateContent>
    </comment>
  </commentList>
</comments>
</file>

<file path=xl/sharedStrings.xml><?xml version="1.0" encoding="utf-8"?>
<sst xmlns="http://schemas.openxmlformats.org/spreadsheetml/2006/main" count="7282" uniqueCount="2865">
  <si>
    <t xml:space="preserve">FoxEco</t>
  </si>
  <si>
    <t xml:space="preserve">TEST CASE &amp; TEST REPORT</t>
  </si>
  <si>
    <t xml:space="preserve">Bộ tài liệu kiểm thử — quy trình SDLC</t>
  </si>
  <si>
    <t xml:space="preserve">Mã hiệu</t>
  </si>
  <si>
    <t xml:space="preserve">7.1-BM/PM/HDCV/ISC</t>
  </si>
  <si>
    <t xml:space="preserve">Phiên bản</t>
  </si>
  <si>
    <t xml:space="preserve">File gồm 2 phần: TEST CASE (viết &amp; theo dõi case) và REPORT (tổng hợp kết quả &amp; bug).</t>
  </si>
  <si>
    <t xml:space="preserve">Sheet: Guideline · Revision History · Summary · Dashboard · Report Test · Data · RTM·  Test Cases </t>
  </si>
  <si>
    <t xml:space="preserve">QUY ĐỊNH CHUNG</t>
  </si>
  <si>
    <t xml:space="preserve">1. Đặt tên file</t>
  </si>
  <si>
    <t xml:space="preserve">ISC_[Tên dự án]_[Version]_TC_[Version TC]_R[Số round test].xlsx 
VD: ISC_FCP-Web_v1.0_TC_v1.0_R1.xls</t>
  </si>
  <si>
    <t xml:space="preserve">2. Tách sheet</t>
  </si>
  <si>
    <t xml:space="preserve">Mỗi Function/Screen tách thành 1 sheet Test Cases riêng (copy sheet mẫu).</t>
  </si>
  <si>
    <t xml:space="preserve">3. Test Title</t>
  </si>
  <si>
    <t xml:space="preserve">Mỗi case kiểm tra 1 nội dung; bắt đầu bằng 'Check ...'</t>
  </si>
  <si>
    <t xml:space="preserve">4. Người thực hiện</t>
  </si>
  <si>
    <t xml:space="preserve">Dùng email, mỗi case 1 người</t>
  </si>
  <si>
    <t xml:space="preserve">5. Phiên bản</t>
  </si>
  <si>
    <t xml:space="preserve">Khi update nội dung file test cases phải tăng [Version TC] và quản lý lịch sử thay đổi trong sheet Revision History </t>
  </si>
  <si>
    <t xml:space="preserve">PHÂN LOẠI TRẠNG THÁI (Status — trạng thái TỔNG của TC)</t>
  </si>
  <si>
    <t xml:space="preserve">Trạng thái</t>
  </si>
  <si>
    <t xml:space="preserve">Ý nghĩa</t>
  </si>
  <si>
    <t xml:space="preserve">Pass</t>
  </si>
  <si>
    <t xml:space="preserve">Đạt — chỉ Pass khi TẤT CẢ bước/kiểm tra trong case đều đạt</t>
  </si>
  <si>
    <t xml:space="preserve">Fail</t>
  </si>
  <si>
    <t xml:space="preserve">Chỉ cần 1 bước/kiểm tra không đạt → Fail (ghi ID Bugs)</t>
  </si>
  <si>
    <t xml:space="preserve">Block</t>
  </si>
  <si>
    <t xml:space="preserve">Không thực hiện được / Pending — ghi rõ lý do ở Remark</t>
  </si>
  <si>
    <t xml:space="preserve">N/A</t>
  </si>
  <si>
    <t xml:space="preserve">Case không áp dụng (VD: Won't fix)</t>
  </si>
  <si>
    <t xml:space="preserve">PHÂN LOẠI ĐỘ ƯU TIÊN </t>
  </si>
  <si>
    <t xml:space="preserve">Priority</t>
  </si>
  <si>
    <t xml:space="preserve">High (P1)</t>
  </si>
  <si>
    <t xml:space="preserve">Bắt buộc chạy; ảnh hưởng luồng/nghiệp vụ chính</t>
  </si>
  <si>
    <t xml:space="preserve">Medium (P2)</t>
  </si>
  <si>
    <t xml:space="preserve">Chạy ít nhất 1 lần; ảnh hưởng người dùng mức trung bình</t>
  </si>
  <si>
    <t xml:space="preserve">Low (P3)</t>
  </si>
  <si>
    <t xml:space="preserve">Có thể bỏ khi rút ngắn thời gian; ít ảnh hưởng</t>
  </si>
  <si>
    <t xml:space="preserve">PHÂN LOẠI NHÓM (Group)</t>
  </si>
  <si>
    <t xml:space="preserve">Group</t>
  </si>
  <si>
    <t xml:space="preserve">Functional</t>
  </si>
  <si>
    <t xml:space="preserve">Kiểm tra chức năng theo luồng nghiệp vụ</t>
  </si>
  <si>
    <t xml:space="preserve">UI</t>
  </si>
  <si>
    <t xml:space="preserve">Kiểm tra giao diện: bố cục, hiển thị, responsive, thông báo, trạng thái control</t>
  </si>
  <si>
    <t xml:space="preserve">Integration</t>
  </si>
  <si>
    <t xml:space="preserve">Kiểm tra tích hợp giữa các module / API / hệ thống</t>
  </si>
  <si>
    <t xml:space="preserve">Database</t>
  </si>
  <si>
    <t xml:space="preserve">Kiểm tra tầng dữ liệu: lưu/đọc đúng, ràng buộc &amp; toàn vẹn dữ liệu (CSDL)</t>
  </si>
  <si>
    <t xml:space="preserve">Ý NGHĨA CỘT EXECUTION</t>
  </si>
  <si>
    <t xml:space="preserve">Status</t>
  </si>
  <si>
    <t xml:space="preserve">Trạng thái TỔNG của TC = kết quả round MỚI NHẤT (tự động, không nhập tay).</t>
  </si>
  <si>
    <t xml:space="preserve">Executed By (mỗi round)</t>
  </si>
  <si>
    <t xml:space="preserve">Email người thực thi test ở TỪNG round.</t>
  </si>
  <si>
    <t xml:space="preserve">ID Bugs (mỗi round)</t>
  </si>
  <si>
    <t xml:space="preserve">Mã bug (Jira) phát sinh ở round đó khi Fail.</t>
  </si>
  <si>
    <t xml:space="preserve">SDLC</t>
  </si>
  <si>
    <t xml:space="preserve">Các cột dưới đây tích hợp AI vào quy trình kiểm thử</t>
  </si>
  <si>
    <t xml:space="preserve">Origin (Nguồn tạo)</t>
  </si>
  <si>
    <t xml:space="preserve">AI = TC do AI sinh · QC = QC viết tay</t>
  </si>
  <si>
    <t xml:space="preserve">Review</t>
  </si>
  <si>
    <t xml:space="preserve">Reviewed = QC đã review · Pending = chờ review · N/A</t>
  </si>
  <si>
    <t xml:space="preserve">Automated</t>
  </si>
  <si>
    <t xml:space="preserve">Yes/No — TC đã được viết script automation hay chưa</t>
  </si>
  <si>
    <t xml:space="preserve">Script</t>
  </si>
  <si>
    <t xml:space="preserve">Đường dẫn file script automation (nếu có)</t>
  </si>
  <si>
    <t xml:space="preserve">Vibe-test</t>
  </si>
  <si>
    <t xml:space="preserve">Yes/No/N-A theo TỪNG round — TC có kiểm thử kiểu 'vibe-test' (thăm dò có AI agent hỗ trợ) ở round đó. Cột 'Vibe-test (tổng)' tự gộp = Yes nếu có ≥1 round Yes.</t>
  </si>
  <si>
    <t xml:space="preserve">KQ Script</t>
  </si>
  <si>
    <t xml:space="preserve">Kết quả CHẠY script tự động theo TỪNG round: Pass/Fail/Block/N/A/Chưa chạy. Cột 'KQ Script (tổng)' tự lấy kết quả round mới nhất.</t>
  </si>
  <si>
    <t xml:space="preserve">Traceability</t>
  </si>
  <si>
    <t xml:space="preserve">Scenario ID + Req ID + DOC Source: truy vết TC ↔ kịch bản ↔ yêu cầu ↔ tài liệu nguồn</t>
  </si>
  <si>
    <t xml:space="preserve">TEST THEO ROUND (nhiều round trong 1 version)</t>
  </si>
  <si>
    <t xml:space="preserve">R1 … R5</t>
  </si>
  <si>
    <t xml:space="preserve">Mỗi round là 1 khối 5 cột: Vibe-test · KQ Script · Kết quả · Executed By · ID Bugs. Chạy round nào thì nhập vào khối round đó. Template hỗ trợ 5 round.</t>
  </si>
  <si>
    <t xml:space="preserve">TỰ ĐỘNG = kết quả (Kết quả) của round MỚI NHẤT trong R1…R5. Không nhập tay.</t>
  </si>
  <si>
    <t xml:space="preserve">Round (Bug Data)</t>
  </si>
  <si>
    <t xml:space="preserve">Round phát hiện bug. Report mục IV thống kê Bug theo round &amp; tiến độ Pass/Fail theo round.</t>
  </si>
  <si>
    <t xml:space="preserve">REVISION HISTORY</t>
  </si>
  <si>
    <t xml:space="preserve">Date</t>
  </si>
  <si>
    <t xml:space="preserve">Version</t>
  </si>
  <si>
    <t xml:space="preserve">Author</t>
  </si>
  <si>
    <t xml:space="preserve">Reviewer</t>
  </si>
  <si>
    <t xml:space="preserve">Approver</t>
  </si>
  <si>
    <t xml:space="preserve">Change Description</t>
  </si>
  <si>
    <t xml:space="preserve">GiangDC2</t>
  </si>
  <si>
    <t xml:space="preserve">—</t>
  </si>
  <si>
    <t xml:space="preserve">Tạo mới — consolidate 3 fragment (Hoạt động/Cá nhân/Thông báo) v1.0, comprehensive mode</t>
  </si>
  <si>
    <t xml:space="preserve">Consolidate thêm Đăng tin (Test Case 4, TC_04, 100 TC) vào TC-MASTER — 162 TC tổng cộng (Hoạt động 20 + Cá nhân 15 + Thông báo 27 + Đăng tin 100). Dashboard +1 row, RTM +11 Req ID row, Coverage Matrix - Đăng tin thêm mới.</t>
  </si>
  <si>
    <t xml:space="preserve">SYNC: (1) Đưa +13 TC mới của Đăng tin (Block Người gửi/Người nhận, autocomplete địa chỉ, SC-ORD-031/032, đã có sẵn trong fragment/TC-MASTER 2026-07-29 nhưng chưa vào file ISC chính) vào ISC_FoxEco_v1.0_TC_v1_R1.xlsx — Đăng tin 100→113 TC, tổng 162→175 TC. (2) Patch 3 ô Expected Result còn sót hedge text cũ "⚠ QA đề xuất, chưa BA confirm chính thức" (Hoạt động dòng 27-28, Thông báo dòng 29) sang text đã Resolved khớp với fragment (C-ORD-06).</t>
  </si>
  <si>
    <t xml:space="preserve">CONSOLIDATE toàn bộ 9 fragment v1.0 → TC-MASTER: thêm 5 sheet chức năng mới Test Case 5 (TC_05 Trang chủ 32 TC), Test Case 6 (TC_06 Bảng tin &amp; Chi tiết tin 31), Test Case 7 (TC_07 Theo dõi đơn 44), Test Case 8 (TC_08 Huỷ đơn 27), Test Case 9 (TC_09 Tặng quà 16); đồng bộ lại 4 sheet cũ theo fragment mới nhất (Hoạt động 20 / Cá nhân 15 / Thông báo 27 / Đăng tin 109). Tổng 321 TC / 9 sheet. Dashboard +5 dòng (công thức Tổng TC đếm cột C cho cả 30 dòng). RTM: 23 → 41 Req ID (+18), toàn bộ công thức E/F/G/H nối đủ 9 term COUNTIF theo 9 sheet, dòng Tổng dời xuống row 47 với range SUM E6:E46, ghi chú cuối bảng cập nhật "9 sheet", conditional formatting gap mở rộng B6:J46. 9 sheet Coverage Matrix refresh từ fragment (comprehensive mode).</t>
  </si>
  <si>
    <t xml:space="preserve">FIX toàn bộ 12 finding của /review-tc 2026-07-30 (2 MAJOR + 10 MINOR). +2 TC màn "Quà đã nhận" (TC_02.16 completeness 3 thành phần, TC_02.17 danh sách lịch sử — đóng gap R2-15) → 321→323 TC. Viết lại Remark TC_03.1/2/3 theo trần 5 thông báo/tin đã chốt. Viết lại TC_03.8/TC_03.10 chỉ assert vế thông báo + dedupe sang TC_07. Coverage Matrix: SC-NTF-006 (DEPRECATED) → SC-ASN-013; tách SC-ORD-004/005; footer Trang chủ 31→32; Cá nhân 15→17. Chuẩn hoá 27 DOC Source phi-tài-liệu. Sửa Remark VAL-02→N/A baseline (TC_04.81/82), Expected TC_04.93 + TC_04.106.</t>
  </si>
  <si>
    <t xml:space="preserve">SUMMARY — Thiết lập chung &amp; Chỉ số Test Case</t>
  </si>
  <si>
    <t xml:space="preserve">Sheet SETUP CHUNG. Chỉ số TỔNG QUAN bên dưới được GOM TỰ ĐỘNG từ TẤT CẢ sheet Test Case, quản lý ở sheet "Dashboard".</t>
  </si>
  <si>
    <t xml:space="preserve">THIẾT LẬP CHUNG</t>
  </si>
  <si>
    <t xml:space="preserve">Tên dự án</t>
  </si>
  <si>
    <t xml:space="preserve">Mã tài liệu</t>
  </si>
  <si>
    <t xml:space="preserve">v1.0</t>
  </si>
  <si>
    <t xml:space="preserve">Sprint</t>
  </si>
  <si>
    <t xml:space="preserve">N/A (Solo — không chia sprint)</t>
  </si>
  <si>
    <t xml:space="preserve">Ngày bắt đầu test</t>
  </si>
  <si>
    <t xml:space="preserve">Ngày kết thúc test</t>
  </si>
  <si>
    <t xml:space="preserve">Số sheet chức năng</t>
  </si>
  <si>
    <t xml:space="preserve">PIC</t>
  </si>
  <si>
    <t xml:space="preserve">Ô vàng = nhập tay. Version / ngày test được Test Cases &amp; Report tham chiếu tự động.</t>
  </si>
  <si>
    <t xml:space="preserve">TỔNG QUAN TEST CASE — ƯU TIÊN &amp; TIẾN ĐỘ THỰC THI</t>
  </si>
  <si>
    <t xml:space="preserve">Tổng số Test Case</t>
  </si>
  <si>
    <t xml:space="preserve">THEO NHÓM LOẠI TC (Group)</t>
  </si>
  <si>
    <t xml:space="preserve">Mức ưu tiên</t>
  </si>
  <si>
    <t xml:space="preserve">Tổng TC</t>
  </si>
  <si>
    <t xml:space="preserve">% / Tổng</t>
  </si>
  <si>
    <t xml:space="preserve">Đã chạy</t>
  </si>
  <si>
    <t xml:space="preserve">% đã chạy</t>
  </si>
  <si>
    <t xml:space="preserve">Nhóm</t>
  </si>
  <si>
    <t xml:space="preserve">Số TC</t>
  </si>
  <si>
    <t xml:space="preserve">Tổng</t>
  </si>
  <si>
    <t xml:space="preserve">SDLC — MỨC ĐỘ ÁP DỤNG</t>
  </si>
  <si>
    <t xml:space="preserve">Chỉ số</t>
  </si>
  <si>
    <t xml:space="preserve">Số lượng</t>
  </si>
  <si>
    <t xml:space="preserve">% / Tổng TC</t>
  </si>
  <si>
    <t xml:space="preserve">TC do AI sinh (Origin=AI)</t>
  </si>
  <si>
    <t xml:space="preserve">TC do QC viết (Origin=QC)</t>
  </si>
  <si>
    <t xml:space="preserve">TC đã automation (Automated=Yes)</t>
  </si>
  <si>
    <t xml:space="preserve">TC Vibe-test (Yes)</t>
  </si>
  <si>
    <t xml:space="preserve">TC script auto chạy Pass</t>
  </si>
  <si>
    <t xml:space="preserve">TC đã TL review</t>
  </si>
  <si>
    <t xml:space="preserve">% tính trên TỔNG SỐ TEST CASE. Tự đếm từ sheet Test Cases (khác khối III của Report — khối đó nhập tay theo bug).</t>
  </si>
  <si>
    <t xml:space="preserve">Test nhiều Round/1 version: nhập kết quả từng round ở cột R1…R8 (sheet Test Case); Status = round mới nhất. Chi tiết tiến độ theo round ở Report — mục IV.</t>
  </si>
  <si>
    <t xml:space="preserve">MÔI TRƯỜNG &amp; PHẠM VI TEST</t>
  </si>
  <si>
    <t xml:space="preserve">Environment</t>
  </si>
  <si>
    <t xml:space="preserve">Staging</t>
  </si>
  <si>
    <t xml:space="preserve">Platform</t>
  </si>
  <si>
    <t xml:space="preserve">Web / Android / iOS</t>
  </si>
  <si>
    <t xml:space="preserve">Device</t>
  </si>
  <si>
    <t xml:space="preserve">VD: iPhone 14 (iOS 17), Galaxy S23 (Android 14)</t>
  </si>
  <si>
    <t xml:space="preserve">Accounts</t>
  </si>
  <si>
    <t xml:space="preserve">VD: user01, user02</t>
  </si>
  <si>
    <t xml:space="preserve">Functional Testing</t>
  </si>
  <si>
    <t xml:space="preserve">VD: 1. Function A / 2. Function B</t>
  </si>
  <si>
    <t xml:space="preserve">System Integration Testing (nếu có)</t>
  </si>
  <si>
    <t xml:space="preserve">VD: Tool A, Tool B</t>
  </si>
  <si>
    <t xml:space="preserve">►  QUẢN LÝ DANH SÁCH SHEET TEST CASE: xem sheet "Dashboard".
     Thêm/bớt function chỉ cần thêm/xoá 1 dòng (tên tab sheet) ở Dashboard — mọi chỉ số tự cập nhật.</t>
  </si>
  <si>
    <t xml:space="preserve">BẢNG ĐIỀU KHIỂN — QUẢN LÝ &amp; GOM SỐ LIỆU TẤT CẢ SHEET TEST CASE</t>
  </si>
  <si>
    <t xml:space="preserve">QUẢN LÝ SHEET  (nhập tay 3 cột)</t>
  </si>
  <si>
    <t xml:space="preserve">Execution</t>
  </si>
  <si>
    <t xml:space="preserve">PRIORITY</t>
  </si>
  <si>
    <t xml:space="preserve">GROUP TC</t>
  </si>
  <si>
    <t xml:space="preserve">PRIORITY — ĐÃ CHẠY</t>
  </si>
  <si>
    <t xml:space="preserve">TIẾN ĐỘ THEO ROUND (mỗi round chạy lại toàn bộ TC)</t>
  </si>
  <si>
    <t xml:space="preserve">STT</t>
  </si>
  <si>
    <t xml:space="preserve">Mã CN</t>
  </si>
  <si>
    <t xml:space="preserve">Tên tab sheet
(đúng 100%)</t>
  </si>
  <si>
    <t xml:space="preserve">Function / Màn hình</t>
  </si>
  <si>
    <t xml:space="preserve">Chưa chạy</t>
  </si>
  <si>
    <t xml:space="preserve">Executed</t>
  </si>
  <si>
    <t xml:space="preserve">Coverage %</t>
  </si>
  <si>
    <t xml:space="preserve">Pass %</t>
  </si>
  <si>
    <t xml:space="preserve">High</t>
  </si>
  <si>
    <t xml:space="preserve">Medium</t>
  </si>
  <si>
    <t xml:space="preserve">Low</t>
  </si>
  <si>
    <t xml:space="preserve">AI-gen</t>
  </si>
  <si>
    <t xml:space="preserve">QC viết</t>
  </si>
  <si>
    <t xml:space="preserve">Auto</t>
  </si>
  <si>
    <t xml:space="preserve">Vibe</t>
  </si>
  <si>
    <t xml:space="preserve">Script Pass</t>
  </si>
  <si>
    <t xml:space="preserve">Reviewed</t>
  </si>
  <si>
    <t xml:space="preserve">High
đã chạy</t>
  </si>
  <si>
    <t xml:space="preserve">Medium
đã chạy</t>
  </si>
  <si>
    <t xml:space="preserve">Low
đã chạy</t>
  </si>
  <si>
    <t xml:space="preserve">R1 Executed</t>
  </si>
  <si>
    <t xml:space="preserve">R1 Pass</t>
  </si>
  <si>
    <t xml:space="preserve">R1 Fail</t>
  </si>
  <si>
    <t xml:space="preserve">R1 Block</t>
  </si>
  <si>
    <t xml:space="preserve">R1 N/A</t>
  </si>
  <si>
    <t xml:space="preserve">R2 Executed</t>
  </si>
  <si>
    <t xml:space="preserve">R2 Pass</t>
  </si>
  <si>
    <t xml:space="preserve">R2 Fail</t>
  </si>
  <si>
    <t xml:space="preserve">R2 Block</t>
  </si>
  <si>
    <t xml:space="preserve">R2 N/A</t>
  </si>
  <si>
    <t xml:space="preserve">R3 Executed</t>
  </si>
  <si>
    <t xml:space="preserve">R3 Pass</t>
  </si>
  <si>
    <t xml:space="preserve">R3 Fail</t>
  </si>
  <si>
    <t xml:space="preserve">R3 Block</t>
  </si>
  <si>
    <t xml:space="preserve">R3 N/A</t>
  </si>
  <si>
    <t xml:space="preserve">R4 Executed</t>
  </si>
  <si>
    <t xml:space="preserve">R4 Pass</t>
  </si>
  <si>
    <t xml:space="preserve">R4 Fail</t>
  </si>
  <si>
    <t xml:space="preserve">R4 Block</t>
  </si>
  <si>
    <t xml:space="preserve">R4 N/A</t>
  </si>
  <si>
    <t xml:space="preserve">R5 Executed</t>
  </si>
  <si>
    <t xml:space="preserve">R5 Pass</t>
  </si>
  <si>
    <t xml:space="preserve">R5 Fail</t>
  </si>
  <si>
    <t xml:space="preserve">R5 Block</t>
  </si>
  <si>
    <t xml:space="preserve">R5 N/A</t>
  </si>
  <si>
    <t xml:space="preserve">TC_01</t>
  </si>
  <si>
    <t xml:space="preserve">Hoạt động</t>
  </si>
  <si>
    <t xml:space="preserve">Hoạt động (Đơn của tôi)</t>
  </si>
  <si>
    <t xml:space="preserve">TC_02</t>
  </si>
  <si>
    <t xml:space="preserve">Cá nhân</t>
  </si>
  <si>
    <t xml:space="preserve">TC_03</t>
  </si>
  <si>
    <t xml:space="preserve">Thông báo</t>
  </si>
  <si>
    <t xml:space="preserve">TC_04</t>
  </si>
  <si>
    <t xml:space="preserve">Đăng tin</t>
  </si>
  <si>
    <t xml:space="preserve">Đăng tin (Wizard NEED + Form OFFER)</t>
  </si>
  <si>
    <t xml:space="preserve">TC_05</t>
  </si>
  <si>
    <t xml:space="preserve">Trang chủ</t>
  </si>
  <si>
    <t xml:space="preserve">TC_06</t>
  </si>
  <si>
    <t xml:space="preserve">Bảng tin &amp; Chi tiết tin</t>
  </si>
  <si>
    <t xml:space="preserve">TC_07</t>
  </si>
  <si>
    <t xml:space="preserve">Theo dõi đơn</t>
  </si>
  <si>
    <t xml:space="preserve">Theo dõi đơn (3 vai trò)</t>
  </si>
  <si>
    <t xml:space="preserve">TC_08</t>
  </si>
  <si>
    <t xml:space="preserve">Huỷ đơn</t>
  </si>
  <si>
    <t xml:space="preserve">TC_09</t>
  </si>
  <si>
    <t xml:space="preserve">Tặng quà</t>
  </si>
  <si>
    <t xml:space="preserve">TOTAL</t>
  </si>
  <si>
    <t xml:space="preserve">CÁCH THÊM 1 FUNCTION MỚI (chạy được cả Excel &amp; Google Sheets):</t>
  </si>
  <si>
    <t xml:space="preserve">1. Nhân bản (Duplicate) 1 sheet Test Case có sẵn → đổi tên tab thành tên function mới.</t>
  </si>
  <si>
    <t xml:space="preserve">2. Thêm 1 dòng ở bảng trên: nhập Mã CN, TÊN TAB SHEET (phải giống hệt tên tab), Function.</t>
  </si>
  <si>
    <t xml:space="preserve">3. Xong! Tổng TC / Pass / Coverage / Priority / SDLC tự cộng vào Summary &amp; Report Test.</t>
  </si>
  <si>
    <t xml:space="preserve">Lưu ý: cột "Tên tab sheet" phải trùng KHÍT tên tab (kể cả khoảng trắng). Sai tên → dòng đó = 0 (không lỗi).</t>
  </si>
  <si>
    <t xml:space="preserve">Các chỉ số lấy từ sheet Test Case: A=Testcase ID · E=Group · F=Priority · K=Origin · L=Review · M=Auto · O=Vibe(tổng) · P=KQ Script(tổng) · Kết quả từng round: S/X/AC/AH/AM · Status(mới nhất)=AP.</t>
  </si>
  <si>
    <t xml:space="preserve">I. THÔNG TIN CHUNG</t>
  </si>
  <si>
    <t xml:space="preserve">TỔNG QUAN NHANH</t>
  </si>
  <si>
    <t xml:space="preserve">Tổng số Bug</t>
  </si>
  <si>
    <t xml:space="preserve">Critical + Major</t>
  </si>
  <si>
    <t xml:space="preserve">% Bug đã Fixed</t>
  </si>
  <si>
    <t xml:space="preserve">Test Period</t>
  </si>
  <si>
    <t xml:space="preserve">% Coverage (thực thi)</t>
  </si>
  <si>
    <t xml:space="preserve">Thông tin dự án load tự động từ sheet Summary (PROJECT SETUP). Môi trường · thiết bị · tài khoản · phạm vi test: xem mục 'MÔI TRƯỜNG &amp; PHẠM VI TEST' trong Summary.</t>
  </si>
  <si>
    <t xml:space="preserve">% Automation</t>
  </si>
  <si>
    <t xml:space="preserve">% Bug do AI phát hiện</t>
  </si>
  <si>
    <t xml:space="preserve">% TC Pass</t>
  </si>
  <si>
    <t xml:space="preserve">Critical/Major còn Open</t>
  </si>
  <si>
    <t xml:space="preserve">II. REPORT TEST</t>
  </si>
  <si>
    <t xml:space="preserve">KPI = chỉ số chính (Key Performance Indicator). Ô có màu = nhập ở khối III / Data; số tự cập nhật.</t>
  </si>
  <si>
    <t xml:space="preserve">PHẦN A — TỔNG QUAN</t>
  </si>
  <si>
    <t xml:space="preserve">1. Total Test</t>
  </si>
  <si>
    <t xml:space="preserve">1a. Bug Status theo nền tảng (Platform)</t>
  </si>
  <si>
    <t xml:space="preserve">Nền tảng</t>
  </si>
  <si>
    <t xml:space="preserve">Open</t>
  </si>
  <si>
    <t xml:space="preserve">Cancel</t>
  </si>
  <si>
    <t xml:space="preserve">Pending</t>
  </si>
  <si>
    <t xml:space="preserve">Done</t>
  </si>
  <si>
    <t xml:space="preserve">Total</t>
  </si>
  <si>
    <t xml:space="preserve">Web</t>
  </si>
  <si>
    <t xml:space="preserve">Mobile</t>
  </si>
  <si>
    <t xml:space="preserve">Open = bug trên Jira ở trạng thái: Todo, In Progress, In Review.</t>
  </si>
  <si>
    <t xml:space="preserve">1b. Tỷ lệ Bug theo chức năng (Function)</t>
  </si>
  <si>
    <t xml:space="preserve">Bug theo chức năng</t>
  </si>
  <si>
    <t xml:space="preserve">ID</t>
  </si>
  <si>
    <t xml:space="preserve">Chức năng</t>
  </si>
  <si>
    <t xml:space="preserve">Tỷ lệ</t>
  </si>
  <si>
    <t xml:space="preserve">F01</t>
  </si>
  <si>
    <t xml:space="preserve">Function A</t>
  </si>
  <si>
    <t xml:space="preserve">F02</t>
  </si>
  <si>
    <t xml:space="preserve">Function B</t>
  </si>
  <si>
    <t xml:space="preserve">F03</t>
  </si>
  <si>
    <t xml:space="preserve">Function C</t>
  </si>
  <si>
    <t xml:space="preserve">F04</t>
  </si>
  <si>
    <t xml:space="preserve">F05</t>
  </si>
  <si>
    <t xml:space="preserve">F06</t>
  </si>
  <si>
    <t xml:space="preserve">F07</t>
  </si>
  <si>
    <t xml:space="preserve">F08</t>
  </si>
  <si>
    <t xml:space="preserve">F09</t>
  </si>
  <si>
    <t xml:space="preserve">F10</t>
  </si>
  <si>
    <t xml:space="preserve">Thêm chức năng mới: chỉ cần gõ tên Func (đúng như ở sheet Bug Data) vào cột "Chức năng" ở dòng F0x còn trống — số liệu &amp; biểu đồ tự cập nhật, không phải sửa công thức.</t>
  </si>
  <si>
    <t xml:space="preserve">2. Coverage (Độ phủ Test Case)</t>
  </si>
  <si>
    <t xml:space="preserve">Coverage theo chức năng</t>
  </si>
  <si>
    <t xml:space="preserve">Total TC</t>
  </si>
  <si>
    <t xml:space="preserve">Executed TC</t>
  </si>
  <si>
    <t xml:space="preserve">Coverage</t>
  </si>
  <si>
    <t xml:space="preserve">Note</t>
  </si>
  <si>
    <t xml:space="preserve">Tổng (dòng Total) = gộp TẤT CẢ sheet Test Case. 3 dòng chi tiết ở trên minh hoạ 3 function đầu — danh sách đầy đủ theo từng sheet xem ở "Dashboard".</t>
  </si>
  <si>
    <t xml:space="preserve">2b. Kết quả thực thi Test Case</t>
  </si>
  <si>
    <t xml:space="preserve">Kết quả TC theo Status (từ sheet Test Cases)</t>
  </si>
  <si>
    <t xml:space="preserve">Chưa thực hiện</t>
  </si>
  <si>
    <t xml:space="preserve">3. Bug Severity</t>
  </si>
  <si>
    <t xml:space="preserve">Bug Severity</t>
  </si>
  <si>
    <t xml:space="preserve">Mức độ</t>
  </si>
  <si>
    <t xml:space="preserve">Thang điểm</t>
  </si>
  <si>
    <t xml:space="preserve">Critical Bug</t>
  </si>
  <si>
    <t xml:space="preserve">Major Bug</t>
  </si>
  <si>
    <t xml:space="preserve">Medium Bug</t>
  </si>
  <si>
    <t xml:space="preserve">Low Bug</t>
  </si>
  <si>
    <t xml:space="preserve">Thang điểm: Critical=20, Major=10, Medium=5, Low=2.</t>
  </si>
  <si>
    <t xml:space="preserve">PHẦN B — CHI TIẾT QC</t>
  </si>
  <si>
    <t xml:space="preserve">4. Bug Resolution</t>
  </si>
  <si>
    <t xml:space="preserve">Bug Resolution</t>
  </si>
  <si>
    <t xml:space="preserve">Resolution</t>
  </si>
  <si>
    <t xml:space="preserve">Fixed</t>
  </si>
  <si>
    <t xml:space="preserve">Won't fix</t>
  </si>
  <si>
    <t xml:space="preserve">5. Bug Won't fix By Reason</t>
  </si>
  <si>
    <t xml:space="preserve">Bug Won't fix By Reason</t>
  </si>
  <si>
    <t xml:space="preserve">Mã</t>
  </si>
  <si>
    <t xml:space="preserve">Lý do</t>
  </si>
  <si>
    <t xml:space="preserve">1.1</t>
  </si>
  <si>
    <t xml:space="preserve">QC miss thông tin/ nghiệp vụ</t>
  </si>
  <si>
    <t xml:space="preserve">1.2</t>
  </si>
  <si>
    <t xml:space="preserve">QC post trùng bug</t>
  </si>
  <si>
    <t xml:space="preserve">1.3</t>
  </si>
  <si>
    <t xml:space="preserve">QC không tái hiện được Bug</t>
  </si>
  <si>
    <t xml:space="preserve">2.1</t>
  </si>
  <si>
    <t xml:space="preserve">BA miss luồng</t>
  </si>
  <si>
    <t xml:space="preserve">2.2</t>
  </si>
  <si>
    <t xml:space="preserve">BA thiếu/ sai nghiệp vụ</t>
  </si>
  <si>
    <t xml:space="preserve">3.1</t>
  </si>
  <si>
    <t xml:space="preserve">Dev không sửa do Ngoài scope dự án</t>
  </si>
  <si>
    <t xml:space="preserve">3.2</t>
  </si>
  <si>
    <t xml:space="preserve">Dev không fix do Phụ thuộc thông tin các bên liên quan ngoài ISC</t>
  </si>
  <si>
    <t xml:space="preserve">3.3</t>
  </si>
  <si>
    <t xml:space="preserve">Dev không fix do Điều kiện test không đáp ứng (Môi trường, cấu hình, dữ liệu, thiết bị,...)</t>
  </si>
  <si>
    <t xml:space="preserve">3.4</t>
  </si>
  <si>
    <t xml:space="preserve">Dev miss thông tin</t>
  </si>
  <si>
    <t xml:space="preserve">4.1</t>
  </si>
  <si>
    <t xml:space="preserve">PM/PMO CR, QC không nhận thông tin</t>
  </si>
  <si>
    <t xml:space="preserve">6. Defect Type</t>
  </si>
  <si>
    <t xml:space="preserve">Defect Type</t>
  </si>
  <si>
    <t xml:space="preserve">Loại</t>
  </si>
  <si>
    <t xml:space="preserve">SL</t>
  </si>
  <si>
    <t xml:space="preserve">Data</t>
  </si>
  <si>
    <t xml:space="preserve">Interface</t>
  </si>
  <si>
    <t xml:space="preserve">Logic</t>
  </si>
  <si>
    <t xml:space="preserve">Requirement</t>
  </si>
  <si>
    <t xml:space="preserve">Server</t>
  </si>
  <si>
    <t xml:space="preserve">Other</t>
  </si>
  <si>
    <t xml:space="preserve">7. Effect</t>
  </si>
  <si>
    <t xml:space="preserve">Effect</t>
  </si>
  <si>
    <t xml:space="preserve">Functionality</t>
  </si>
  <si>
    <t xml:space="preserve">Performance</t>
  </si>
  <si>
    <t xml:space="preserve">Security</t>
  </si>
  <si>
    <t xml:space="preserve">Serviceability</t>
  </si>
  <si>
    <t xml:space="preserve">Usability</t>
  </si>
  <si>
    <t xml:space="preserve">8. Bug Rework</t>
  </si>
  <si>
    <t xml:space="preserve">Bug Rework</t>
  </si>
  <si>
    <t xml:space="preserve">Số lần rework</t>
  </si>
  <si>
    <t xml:space="preserve">1-2 lần</t>
  </si>
  <si>
    <t xml:space="preserve">3-5 lần</t>
  </si>
  <si>
    <t xml:space="preserve">6-7 lần</t>
  </si>
  <si>
    <t xml:space="preserve">8-10 lần</t>
  </si>
  <si>
    <t xml:space="preserve">III. SDLC / AUTOMATION METRICS</t>
  </si>
  <si>
    <t xml:space="preserve">Chỉ số SDLC &amp; Automation</t>
  </si>
  <si>
    <t xml:space="preserve">TC sinh bởi AI (AI-generated)</t>
  </si>
  <si>
    <t xml:space="preserve">TC do QC viết tay</t>
  </si>
  <si>
    <t xml:space="preserve">TC đã automation (có script)</t>
  </si>
  <si>
    <t xml:space="preserve">TC Vibe-test</t>
  </si>
  <si>
    <t xml:space="preserve">TC đã QC review</t>
  </si>
  <si>
    <t xml:space="preserve">Bug do AI phát hiện (nhập tay)</t>
  </si>
  <si>
    <t xml:space="preserve">Ô vàng = nhập tay; các % tự tính trên Tổng TC. % Bug do AI = Bug do AI phát hiện / Tổng số Bug.</t>
  </si>
  <si>
    <t xml:space="preserve">IV. KẾT QUẢ THỰC THI THEO ROUND (Round-by-Round)</t>
  </si>
  <si>
    <t xml:space="preserve">Ghi Phạm vi/Chức năng test của mỗi Round ở cột 'Phạm vi'. TH1 – các Round chia scope KHÔNG trùng nhau (VD R1: Function A; R2: Function B, C) → độ phủ cộng dồn qua các Round. TH2 – mỗi Round chạy full regression toàn bộ chức năng (số Round = số lần test lại). Coverage% = Đã chạy/Tổng TC · Pass rate = Pass/Đã chạy · dòng 'Cuối' = verdict Final.</t>
  </si>
  <si>
    <t xml:space="preserve">Bảng kết quả theo Round (số liệu gom tự động từ Dashboard)</t>
  </si>
  <si>
    <t xml:space="preserve">Round</t>
  </si>
  <si>
    <t xml:space="preserve">Thời gian</t>
  </si>
  <si>
    <t xml:space="preserve">Coverage%</t>
  </si>
  <si>
    <t xml:space="preserve">Pass rate</t>
  </si>
  <si>
    <t xml:space="preserve">Phạm vi / Chức năng test</t>
  </si>
  <si>
    <t xml:space="preserve">Round 1</t>
  </si>
  <si>
    <t xml:space="preserve">R1: ....</t>
  </si>
  <si>
    <t xml:space="preserve">Toàn bộ A, B, C (full regression)</t>
  </si>
  <si>
    <t xml:space="preserve">Round 2</t>
  </si>
  <si>
    <t xml:space="preserve">R2: ....</t>
  </si>
  <si>
    <t xml:space="preserve">Toàn bộ A, B, C — retest bug R1</t>
  </si>
  <si>
    <t xml:space="preserve">Round 3</t>
  </si>
  <si>
    <t xml:space="preserve">R3: ....</t>
  </si>
  <si>
    <t xml:space="preserve">Toàn bộ A, B, C — retest bug R2</t>
  </si>
  <si>
    <t xml:space="preserve">Round 4</t>
  </si>
  <si>
    <t xml:space="preserve">R4: ....</t>
  </si>
  <si>
    <t xml:space="preserve">Round 5</t>
  </si>
  <si>
    <t xml:space="preserve">R5: ....</t>
  </si>
  <si>
    <t xml:space="preserve">Cuối (Final)</t>
  </si>
  <si>
    <t xml:space="preserve">Toàn bộ chức năng A, B, C</t>
  </si>
  <si>
    <t xml:space="preserve">Xu hướng Bug theo Round (phát hiện vs đã đóng)</t>
  </si>
  <si>
    <t xml:space="preserve">Phát hiện</t>
  </si>
  <si>
    <t xml:space="preserve">Đã đóng</t>
  </si>
  <si>
    <t xml:space="preserve">Phát hiện = bug gắn Round ở sheet Bug Data. Đã đóng = bug của round đó đã Done. Total Phát hiện phải khớp Tổng số Bug ở mục 1.</t>
  </si>
  <si>
    <t xml:space="preserve">Key</t>
  </si>
  <si>
    <t xml:space="preserve">Type</t>
  </si>
  <si>
    <t xml:space="preserve">Summary</t>
  </si>
  <si>
    <t xml:space="preserve">Status (Jira)</t>
  </si>
  <si>
    <t xml:space="preserve">Priority (Jira)</t>
  </si>
  <si>
    <t xml:space="preserve">Assignee</t>
  </si>
  <si>
    <t xml:space="preserve">Reporter</t>
  </si>
  <si>
    <t xml:space="preserve">Created</t>
  </si>
  <si>
    <t xml:space="preserve">Resolved</t>
  </si>
  <si>
    <t xml:space="preserve">Fix Version</t>
  </si>
  <si>
    <t xml:space="preserve">Severity</t>
  </si>
  <si>
    <t xml:space="preserve">Function</t>
  </si>
  <si>
    <t xml:space="preserve">Bug Status</t>
  </si>
  <si>
    <t xml:space="preserve">Won't Fix Reason</t>
  </si>
  <si>
    <t xml:space="preserve">Defect</t>
  </si>
  <si>
    <t xml:space="preserve">Rework number</t>
  </si>
  <si>
    <t xml:space="preserve">Round closed bug</t>
  </si>
  <si>
    <t xml:space="preserve">Danh mục Won't Fix Reason (nguồn dropdown cột Q)</t>
  </si>
  <si>
    <t xml:space="preserve">HƯỚNG DẪN IMPORT TỪ JIRA</t>
  </si>
  <si>
    <t xml:space="preserve">IP-101</t>
  </si>
  <si>
    <t xml:space="preserve">Bug</t>
  </si>
  <si>
    <t xml:space="preserve">Đăng nhập sai mật khẩu không báo lỗi</t>
  </si>
  <si>
    <t xml:space="preserve">Highest</t>
  </si>
  <si>
    <t xml:space="preserve">BinhPTH3</t>
  </si>
  <si>
    <t xml:space="preserve">PhucDN7</t>
  </si>
  <si>
    <t xml:space="preserve">01/06/2026</t>
  </si>
  <si>
    <t xml:space="preserve">03/06/2026</t>
  </si>
  <si>
    <t xml:space="preserve">R1</t>
  </si>
  <si>
    <t xml:space="preserve">1.1 QC miss thông tin/ nghiệp vụ</t>
  </si>
  <si>
    <t xml:space="preserve">① KHỐI JIRA (cột A–K, nền vàng): export/CSV từ Jira rồi dán trực tiếp bắt đầu ô A2.</t>
  </si>
  <si>
    <t xml:space="preserve">IP-102</t>
  </si>
  <si>
    <t xml:space="preserve">Layout combo lệch trên mobile</t>
  </si>
  <si>
    <t xml:space="preserve">In Progress</t>
  </si>
  <si>
    <t xml:space="preserve">QuanVH15</t>
  </si>
  <si>
    <t xml:space="preserve">ThuyenNT</t>
  </si>
  <si>
    <t xml:space="preserve">02/06/2026</t>
  </si>
  <si>
    <t xml:space="preserve">1.2 QC post trùng bug</t>
  </si>
  <si>
    <t xml:space="preserve">   • Board dự án: foxproject.atlassian.net (project key IP). Mỗi round = 1 Sprint.</t>
  </si>
  <si>
    <t xml:space="preserve">IP-103</t>
  </si>
  <si>
    <t xml:space="preserve">API timeout khi tải danh sách</t>
  </si>
  <si>
    <t xml:space="preserve">QuanVH16</t>
  </si>
  <si>
    <t xml:space="preserve">HaTTM</t>
  </si>
  <si>
    <t xml:space="preserve">3.2 Dev không fix do Phụ thuộc thông tin các bên liên quan ngoài ISC</t>
  </si>
  <si>
    <t xml:space="preserve">1.3 QC không tái hiện được Bug</t>
  </si>
  <si>
    <t xml:space="preserve">   • A Key, B Type, C Summary, D Status, E Priority, F Assignee, G Reporter,</t>
  </si>
  <si>
    <t xml:space="preserve">IP-104</t>
  </si>
  <si>
    <t xml:space="preserve">Sai thông báo khi validate ngày</t>
  </si>
  <si>
    <t xml:space="preserve">In Review</t>
  </si>
  <si>
    <t xml:space="preserve">ChuyenNT5</t>
  </si>
  <si>
    <t xml:space="preserve">HuyenNHK</t>
  </si>
  <si>
    <t xml:space="preserve">04/06/2026</t>
  </si>
  <si>
    <t xml:space="preserve">2.1 BA miss luồng</t>
  </si>
  <si>
    <t xml:space="preserve">     H Created, I Resolved, J Fix Version, K Sprint — khớp cột export mặc định của Jira.</t>
  </si>
  <si>
    <t xml:space="preserve">IP-105</t>
  </si>
  <si>
    <t xml:space="preserve">Phân quyền sai, user xem được dữ liệu cấm</t>
  </si>
  <si>
    <t xml:space="preserve">VanMTT3</t>
  </si>
  <si>
    <t xml:space="preserve">05/06/2026</t>
  </si>
  <si>
    <t xml:space="preserve">09/06/2026</t>
  </si>
  <si>
    <t xml:space="preserve">2.2 BA thiếu/ sai nghiệp vụ</t>
  </si>
  <si>
    <t xml:space="preserve">② KHỐI QC PHÂN TÍCH (cột L–V, nền cam): QC tự điền, là nguồn cho biểu đồ sheet Report Test.</t>
  </si>
  <si>
    <t xml:space="preserve">IP-106</t>
  </si>
  <si>
    <t xml:space="preserve">Nút Lưu mờ không bấm được</t>
  </si>
  <si>
    <t xml:space="preserve">06/06/2026</t>
  </si>
  <si>
    <t xml:space="preserve">3.1 Dev không sửa do Ngoài scope dự án</t>
  </si>
  <si>
    <t xml:space="preserve">   • L Severity (20=Critical,10=Major,5=Medium,2=Low) — map từ Priority/field Severity của Jira.</t>
  </si>
  <si>
    <t xml:space="preserve">IP-107</t>
  </si>
  <si>
    <t xml:space="preserve">Sai định dạng tiền tệ trên màn list</t>
  </si>
  <si>
    <t xml:space="preserve">07/06/2026</t>
  </si>
  <si>
    <t xml:space="preserve">10/06/2026</t>
  </si>
  <si>
    <t xml:space="preserve">   • O Bug Status: CÔNG THỨC tự tính từ D (To Do/In Progress/In Review→Open; Pending/Cancel/Done giữ nguyên). KHÔNG nhập tay.</t>
  </si>
  <si>
    <t xml:space="preserve">IP-108</t>
  </si>
  <si>
    <t xml:space="preserve">Tải trang chậm khi nhiều bản ghi</t>
  </si>
  <si>
    <t xml:space="preserve">To Do</t>
  </si>
  <si>
    <t xml:space="preserve">08/06/2026</t>
  </si>
  <si>
    <t xml:space="preserve">3.3 Dev không fix do Điều kiện test không đáp ứng (Môi trường, cấu hình, dữ liệu, thiết bị,...)</t>
  </si>
  <si>
    <t xml:space="preserve">   • U Round: round PHÁT HIỆN bug (1..5) — map từ Sprint (K). Là nguồn cho biểu đồ xu hướng theo Round.</t>
  </si>
  <si>
    <t xml:space="preserve">IP-109</t>
  </si>
  <si>
    <t xml:space="preserve">Mất dữ liệu khi submit 2 lần</t>
  </si>
  <si>
    <t xml:space="preserve">16/06/2026</t>
  </si>
  <si>
    <t xml:space="preserve">R2</t>
  </si>
  <si>
    <t xml:space="preserve">3.4 Dev miss thông tin</t>
  </si>
  <si>
    <t xml:space="preserve">   • V Round closed bug: round ĐÓNG bug (1..5) — điền khi bug đã Done; để trống nếu chưa đóng.</t>
  </si>
  <si>
    <t xml:space="preserve">IP-110</t>
  </si>
  <si>
    <t xml:space="preserve">Hiển thị tiếng Việt lỗi font</t>
  </si>
  <si>
    <t xml:space="preserve">4.1 PM/PMO CR, QC không nhận thông tin</t>
  </si>
  <si>
    <t xml:space="preserve">   • Q Won't Fix Reason: chọn theo danh mục (mã + lý do) ở cột Y.</t>
  </si>
  <si>
    <t xml:space="preserve">IP-111</t>
  </si>
  <si>
    <t xml:space="preserve">Tính tổng sai khi có chiết khấu</t>
  </si>
  <si>
    <t xml:space="preserve">11/06/2026</t>
  </si>
  <si>
    <t xml:space="preserve">17/06/2026</t>
  </si>
  <si>
    <t xml:space="preserve">③ 13 dòng mẫu nền vàng/cam: xoá khi dùng dữ liệu thật. Chỉ dán vào khối Jira, khối QC điền tay.</t>
  </si>
  <si>
    <t xml:space="preserve">IP-112</t>
  </si>
  <si>
    <t xml:space="preserve">Log không ghi nhận thao tác xóa</t>
  </si>
  <si>
    <t xml:space="preserve">12/06/2026</t>
  </si>
  <si>
    <t xml:space="preserve">R3</t>
  </si>
  <si>
    <t xml:space="preserve">Ghi chú: mapping theo cấu trúc export chuẩn của Jira; nếu dự án dùng custom field (Severity, Sprint) có thể chỉnh cột tương ứng.</t>
  </si>
  <si>
    <t xml:space="preserve">IP-113</t>
  </si>
  <si>
    <t xml:space="preserve">Token không hết hạn sau khi logout</t>
  </si>
  <si>
    <t xml:space="preserve">13/06/2026</t>
  </si>
  <si>
    <t xml:space="preserve">18/06/2026</t>
  </si>
  <si>
    <t xml:space="preserve">Form OFFER không auto-fill "Điểm xuất phát" + default "Thời gian di chuyển" sai</t>
  </si>
  <si>
    <t xml:space="preserve">Thiếu message lỗi khi validate Điểm đến/Điểm xuất phát</t>
  </si>
  <si>
    <t xml:space="preserve">FE-148</t>
  </si>
  <si>
    <t xml:space="preserve">Header màn Cá nhân thiếu MNV (mã nhân viên) + badge tier "🏆 Hạng Đồng hành"</t>
  </si>
  <si>
    <t xml:space="preserve">Tuanvm37</t>
  </si>
  <si>
    <t xml:space="preserve">04/08/2026</t>
  </si>
  <si>
    <t xml:space="preserve">RTM — MA TRẬN TRUY VẾT YÊU CẦU (Requirement Traceability Matrix)</t>
  </si>
  <si>
    <t xml:space="preserve">Mỗi dòng = 1 yêu cầu (Req ID). Số liệu tự đếm từ sheet Test Cases. Yêu cầu có 0 TC = LỖ HỔNG phủ (gap).</t>
  </si>
  <si>
    <t xml:space="preserve">Req ID</t>
  </si>
  <si>
    <t xml:space="preserve">Yêu cầu (mô tả)</t>
  </si>
  <si>
    <t xml:space="preserve">Nguồn (DOC)</t>
  </si>
  <si>
    <t xml:space="preserve">% phủ</t>
  </si>
  <si>
    <t xml:space="preserve">REQ-USR-002</t>
  </si>
  <si>
    <t xml:space="preserve">Xem hồ sơ cá nhân (view-only — xem C-USR-03)</t>
  </si>
  <si>
    <t xml:space="preserve">USR-02 · DOC-v1.0-01 §A6</t>
  </si>
  <si>
    <t xml:space="preserve">REQ-USR-003</t>
  </si>
  <si>
    <t xml:space="preserve">Hiển thị phòng ban + khu vực/tỉnh</t>
  </si>
  <si>
    <t xml:space="preserve">USR-04 · DOC-v1.0-01 §A6</t>
  </si>
  <si>
    <t xml:space="preserve">REQ-USR-004</t>
  </si>
  <si>
    <t xml:space="preserve">Hiển thị tổng đơn đã giúp + tổng quà ảo nhận (không tính điểm/CO₂)</t>
  </si>
  <si>
    <t xml:space="preserve">USR-05 · DOC-v1.0-01 §A6, §A7 + DOC-v1.0-04</t>
  </si>
  <si>
    <t xml:space="preserve">REQ-USR-005</t>
  </si>
  <si>
    <t xml:space="preserve">Cấu hình kênh liên hệ sẽ lộ</t>
  </si>
  <si>
    <t xml:space="preserve">USR-07 · DOC-v1.0-01 §A6</t>
  </si>
  <si>
    <t xml:space="preserve">REQ-ORD-004</t>
  </si>
  <si>
    <t xml:space="preserve">Tin hết hạn tự động</t>
  </si>
  <si>
    <t xml:space="preserve">ORD-06, US-D04 · DOC-v1.0-01 §D3, §D1b</t>
  </si>
  <si>
    <t xml:space="preserve">REQ-ORD-011</t>
  </si>
  <si>
    <t xml:space="preserve">Màn Hoạt động (Đơn của tôi) — theo dõi lịch sử đơn theo tab</t>
  </si>
  <si>
    <t xml:space="preserve">DOC-v1.0-02</t>
  </si>
  <si>
    <t xml:space="preserve">REQ-GIFT-001</t>
  </si>
  <si>
    <t xml:space="preserve">Tặng quà cảm ơn Carrier (4 loại)</t>
  </si>
  <si>
    <t xml:space="preserve">GIFT-01, BR-GIFT-01 · DOC-v1.0-01 §D3, §D4</t>
  </si>
  <si>
    <t xml:space="preserve">REQ-CNL-001</t>
  </si>
  <si>
    <t xml:space="preserve">Huỷ đơn kèm lý do bắt buộc + đồng bộ realtime</t>
  </si>
  <si>
    <t xml:space="preserve">CNL-01, BR-CNL-01, BR-INT-05, US-D16 · DOC-v1.0-01 §D3, §D4, §A5, §D1b</t>
  </si>
  <si>
    <t xml:space="preserve">REQ-NTF-001</t>
  </si>
  <si>
    <t xml:space="preserve">Thông báo theo sự kiện vòng đời đơn (9 loại)</t>
  </si>
  <si>
    <t xml:space="preserve">NTF-01..09 · DOC-v1.0-01 §D6 + DOC-v1.0-04</t>
  </si>
  <si>
    <t xml:space="preserve">REQ-NTF-002</t>
  </si>
  <si>
    <t xml:space="preserve">Lộ liên hệ có kiểm soát (SĐT không đưa vào nội dung push, OPR-07) — ⚠ phần "trần thông báo/ngày" (OPR-06) đã xác nhận KHÔNG triển khai ở v1.0</t>
  </si>
  <si>
    <t xml:space="preserve">OPR-07 · DOC-v1.0-01 §D7 (OPR-06 out-of-scope v1.0 — BA xác nhận 2026-07-29, xem REQ-ASN-005/SC-ASN-013 thay thế)</t>
  </si>
  <si>
    <t xml:space="preserve">REQ-ORD-001</t>
  </si>
  <si>
    <t xml:space="preserve">Đăng tin gửi hàng NEED/OFFER</t>
  </si>
  <si>
    <t xml:space="preserve">ORD-01 · DOC-v1.0-01 §D3 + DOC-v1.0-04</t>
  </si>
  <si>
    <t xml:space="preserve">REQ-ORD-002</t>
  </si>
  <si>
    <t xml:space="preserve">Wizard đăng tin ngắn 3 bước</t>
  </si>
  <si>
    <t xml:space="preserve">ORD-02 · DOC-v1.0-01 §D3</t>
  </si>
  <si>
    <t xml:space="preserve">REQ-ORD-003</t>
  </si>
  <si>
    <t xml:space="preserve">Tin có timeline trạng thái</t>
  </si>
  <si>
    <t xml:space="preserve">ORD-04 · DOC-v1.0-01 §D3</t>
  </si>
  <si>
    <t xml:space="preserve">REQ-ORD-005</t>
  </si>
  <si>
    <t xml:space="preserve">Consent điều khoản trước khi đăng</t>
  </si>
  <si>
    <t xml:space="preserve">ORD-09 · DOC-v1.0-01 §D3</t>
  </si>
  <si>
    <t xml:space="preserve">REQ-ORD-006</t>
  </si>
  <si>
    <t xml:space="preserve">Chỉnh sửa tin chỉ khi "Chờ ghép"</t>
  </si>
  <si>
    <t xml:space="preserve">ORD-10, BR-EDIT-01, OPR-10 · DOC-v1.0-01 §D3, §D4, §D7</t>
  </si>
  <si>
    <t xml:space="preserve">REQ-ORD-007</t>
  </si>
  <si>
    <t xml:space="preserve">Quick-select văn phòng FPT</t>
  </si>
  <si>
    <t xml:space="preserve">LOC-03 · DOC-v1.0-01 §D3</t>
  </si>
  <si>
    <t xml:space="preserve">REQ-ORD-008</t>
  </si>
  <si>
    <t xml:space="preserve">Tự điền người nhận từ email công ty</t>
  </si>
  <si>
    <t xml:space="preserve">USR-EML, US-D18 · DOC-v1.0-01 §D3, §D1b</t>
  </si>
  <si>
    <t xml:space="preserve">REQ-ORD-009</t>
  </si>
  <si>
    <t xml:space="preserve">Ngưỡng giá trị hàng &amp; cảnh báo bảo hiểm</t>
  </si>
  <si>
    <t xml:space="preserve">BR-ORD-03 · DOC-v1.0-01 §D4</t>
  </si>
  <si>
    <t xml:space="preserve">REQ-ORD-010</t>
  </si>
  <si>
    <t xml:space="preserve">Hàng cấm không được đăng</t>
  </si>
  <si>
    <t xml:space="preserve">BR-ORD-04 · DOC-v1.0-01 §D4</t>
  </si>
  <si>
    <t xml:space="preserve">REQ-ORD-012</t>
  </si>
  <si>
    <t xml:space="preserve">Validate &amp; giá trị mặc định các trường form đăng tin (NEED + OFFER)</t>
  </si>
  <si>
    <t xml:space="preserve">D8.1/D8.2 · DOC-v1.0-01 §D8.1, §D8.2</t>
  </si>
  <si>
    <t xml:space="preserve">REQ-ORD-013</t>
  </si>
  <si>
    <t xml:space="preserve">Quy tắc chung cho form (VAL-01..05)</t>
  </si>
  <si>
    <t xml:space="preserve">VAL-01..05 · DOC-v1.0-01 §D8.3</t>
  </si>
  <si>
    <t xml:space="preserve">REQ-ASN-005</t>
  </si>
  <si>
    <t xml:space="preserve">Trần số tin gợi ý cho 1 carrier (OPR-01) — chỉ nhận tối đa 5 thông báo khớp tin (mới &amp; gần tuyến nhất)</t>
  </si>
  <si>
    <t xml:space="preserve">OPR-01 · DOC-v1.0-01 §D7, BA xác nhận qua chat 2026-07-29</t>
  </si>
  <si>
    <t xml:space="preserve">REQ-ORD-014</t>
  </si>
  <si>
    <t xml:space="preserve">Tìm kiếm/gợi ý địa chỉ văn phòng theo text nhập (autocomplete), không phân biệt hoa/thường — áp dụng Địa chỉ lấy hàng &amp; giao hàng</t>
  </si>
  <si>
    <t xml:space="preserve">DOC-v1.0-06</t>
  </si>
  <si>
    <t xml:space="preserve">REQ-ORD-015</t>
  </si>
  <si>
    <t xml:space="preserve">Trang chủ hiển thị đủ cấu trúc chung (Header/Banner/Card/bottom-nav)</t>
  </si>
  <si>
    <t xml:space="preserve">REQ-ASN-001</t>
  </si>
  <si>
    <t xml:space="preserve">Bày tỏ quan tâm/đề nghị mang giúp</t>
  </si>
  <si>
    <t xml:space="preserve">ASN-01 · DOC-v1.0-01 §D3</t>
  </si>
  <si>
    <t xml:space="preserve">REQ-ASN-002</t>
  </si>
  <si>
    <t xml:space="preserve">Ghép ngay khi chấp nhận + lộ liên hệ</t>
  </si>
  <si>
    <t xml:space="preserve">ASN-02, BR-CON-01, BR-CON-02 · DOC-v1.0-01 §D3, §A5</t>
  </si>
  <si>
    <t xml:space="preserve">REQ-ASN-003</t>
  </si>
  <si>
    <t xml:space="preserve">Chống ghép trùng (1 tin chỉ 1 cặp active)</t>
  </si>
  <si>
    <t xml:space="preserve">ASN-03, OPR-03 · DOC-v1.0-01 §D3, §D7</t>
  </si>
  <si>
    <t xml:space="preserve">REQ-ASN-004</t>
  </si>
  <si>
    <t xml:space="preserve">Tự động khớp tuyến OFFER↔NEED</t>
  </si>
  <si>
    <t xml:space="preserve">MTCH-01, BR-MTCH-01 · DOC-v1.0-01 §D3, §D4</t>
  </si>
  <si>
    <t xml:space="preserve">REQ-ASN-007</t>
  </si>
  <si>
    <t xml:space="preserve">Ưu tiên gợi ý theo độ gần &amp; thời gian đăng</t>
  </si>
  <si>
    <t xml:space="preserve">OPR-04 · DOC-v1.0-01 §D7</t>
  </si>
  <si>
    <t xml:space="preserve">REQ-ASN-008</t>
  </si>
  <si>
    <t xml:space="preserve">Không tự khớp với chính mình</t>
  </si>
  <si>
    <t xml:space="preserve">OPR-05 · DOC-v1.0-01 §D7</t>
  </si>
  <si>
    <t xml:space="preserve">REQ-ASN-009</t>
  </si>
  <si>
    <t xml:space="preserve">Vòng đời tin trong luồng khớp</t>
  </si>
  <si>
    <t xml:space="preserve">OPR-08 · DOC-v1.0-01 §D7</t>
  </si>
  <si>
    <t xml:space="preserve">REQ-ASN-010</t>
  </si>
  <si>
    <t xml:space="preserve">Màn Bảng tin hiển thị danh sách tin đăng cộng đồng</t>
  </si>
  <si>
    <t xml:space="preserve">REQ-DLV-001</t>
  </si>
  <si>
    <t xml:space="preserve">Chụp ảnh hàng lúc nhận (tuỳ chọn)</t>
  </si>
  <si>
    <t xml:space="preserve">PUP-03, BR-CNF-01 · DOC-v1.0-01 §D3, §D4</t>
  </si>
  <si>
    <t xml:space="preserve">REQ-DLV-002</t>
  </si>
  <si>
    <t xml:space="preserve">Chia sẻ vị trí khi đang giao (tuỳ chọn)</t>
  </si>
  <si>
    <t xml:space="preserve">GPS-01 · DOC-v1.0-01 §D3</t>
  </si>
  <si>
    <t xml:space="preserve">REQ-DLV-003</t>
  </si>
  <si>
    <t xml:space="preserve">Xác nhận đã nhận hàng + escalate</t>
  </si>
  <si>
    <t xml:space="preserve">DLV-03, BR-CNF-04, BR-INT-03 · DOC-v1.0-01 §D3, §D4, §A5 + DOC-v1.0-04</t>
  </si>
  <si>
    <t xml:space="preserve">REQ-DLV-004</t>
  </si>
  <si>
    <t xml:space="preserve">(Tuỳ chọn) ghi nhận chi phí đối soát offline</t>
  </si>
  <si>
    <t xml:space="preserve">COST-01, BR-COST-01 · DOC-v1.0-01 §D3, §D4</t>
  </si>
  <si>
    <t xml:space="preserve">REQ-DLV-005</t>
  </si>
  <si>
    <t xml:space="preserve">Sau khi lấy hàng (IN_TRANSIT) không huỷ thường → phải tạo sự cố</t>
  </si>
  <si>
    <t xml:space="preserve">BR-ASN-03 · DOC-v1.0-01 §D4</t>
  </si>
  <si>
    <t xml:space="preserve">REQ-DLV-006</t>
  </si>
  <si>
    <t xml:space="preserve">Thứ tự bắt buộc: "Tôi đã lấy hàng" trước "Đã giao"</t>
  </si>
  <si>
    <t xml:space="preserve">US-D09 · DOC-v1.0-01 §D1b</t>
  </si>
  <si>
    <t xml:space="preserve">REQ-GIFT-003</t>
  </si>
  <si>
    <t xml:space="preserve">Nút "Cảm ơn người vận chuyển" khoá lại sau khi gửi quà</t>
  </si>
  <si>
    <t xml:space="preserve">DOC-v1.0-04 + DOC-v1.0-05</t>
  </si>
  <si>
    <t xml:space="preserve">REQ-CNL-002</t>
  </si>
  <si>
    <t xml:space="preserve">Carrier huỷ khi chưa lấy hàng → trả đơn về "Chờ ghép"</t>
  </si>
  <si>
    <t xml:space="preserve">OPR-09 · DOC-v1.0-01 §D7</t>
  </si>
  <si>
    <t xml:space="preserve">REQ-CNL-003</t>
  </si>
  <si>
    <t xml:space="preserve">Điều kiện được phép huỷ theo trạng thái</t>
  </si>
  <si>
    <t xml:space="preserve">OPR-11 · DOC-v1.0-01 §D7</t>
  </si>
  <si>
    <t xml:space="preserve">Ghi chú: Số liệu tự đếm trên CẢ 9 sheet Test Cases, Test Case 2..Test Case 9 (khớp gần đúng "*Req*" nên 1 TC gắn nhiều Req vẫn được tính cho từng Req). Yêu cầu có Số TC = 0 → tô đỏ = LỖ HỔNG PHỦ (gap), cần bổ sung test case. % phủ = Đã chạy / Số TC.</t>
  </si>
  <si>
    <t xml:space="preserve">Mã chức năng</t>
  </si>
  <si>
    <t xml:space="preserve">Tên chức năng</t>
  </si>
  <si>
    <t xml:space="preserve">TRACEABILITY</t>
  </si>
  <si>
    <t xml:space="preserve">TEST DESIGN</t>
  </si>
  <si>
    <t xml:space="preserve">ROUND 1</t>
  </si>
  <si>
    <t xml:space="preserve">ROUND 2</t>
  </si>
  <si>
    <t xml:space="preserve">ROUND 3</t>
  </si>
  <si>
    <t xml:space="preserve">ROUND 4</t>
  </si>
  <si>
    <t xml:space="preserve">ROUND 5</t>
  </si>
  <si>
    <t xml:space="preserve">KẾT QUẢ TỔNG</t>
  </si>
  <si>
    <t xml:space="preserve">Testcase ID</t>
  </si>
  <si>
    <t xml:space="preserve">DOC Source</t>
  </si>
  <si>
    <t xml:space="preserve">Test Title
(Nội dung test)</t>
  </si>
  <si>
    <t xml:space="preserve">Pre-condition
(Điều kiện/Dữ liệu)</t>
  </si>
  <si>
    <t xml:space="preserve">Test Steps
(Các bước)</t>
  </si>
  <si>
    <t xml:space="preserve">Expected Result
(Kết quả mong đợi)</t>
  </si>
  <si>
    <t xml:space="preserve">Origin</t>
  </si>
  <si>
    <t xml:space="preserve">Kết quả</t>
  </si>
  <si>
    <t xml:space="preserve">Executed By</t>
  </si>
  <si>
    <t xml:space="preserve">ID Bugs</t>
  </si>
  <si>
    <t xml:space="preserve">Vibe-test
(tổng)</t>
  </si>
  <si>
    <t xml:space="preserve">KQ Script
(tổng)</t>
  </si>
  <si>
    <t xml:space="preserve">Remark</t>
  </si>
  <si>
    <t xml:space="preserve">DOC-v1.0-02 §3.7 + ảnh Hoạt động</t>
  </si>
  <si>
    <t xml:space="preserve">Check bottom nav đủ 5 tab và "Hoạt động" highlight đúng khi đang ở màn này</t>
  </si>
  <si>
    <t xml:space="preserve">Đã đăng nhập app FoxPro (FoxEco SDK)</t>
  </si>
  <si>
    <t xml:space="preserve">1. Mở app FoxEco
2. Từ bất kỳ tab nào, bấm "Hoạt động" tại bottom nav
3. Quan sát thanh bottom nav</t>
  </si>
  <si>
    <t xml:space="preserve">3. Bottom nav hiển thị đủ 5 tab: "Trang chủ", "Bảng tin", nút [+] (Đăng tin), "Hoạt động", "Cá nhân"; tab "Hoạt động" hiển thị highlight màu cam (active), 4 tab còn lại không highlight</t>
  </si>
  <si>
    <t xml:space="preserve">AI</t>
  </si>
  <si>
    <t xml:space="preserve">No</t>
  </si>
  <si>
    <t xml:space="preserve">Yes</t>
  </si>
  <si>
    <t xml:space="preserve">chaugiag@gmail.com</t>
  </si>
  <si>
    <t xml:space="preserve">Block Tab switcher</t>
  </si>
  <si>
    <t xml:space="preserve">Check hiển thị đủ 2 tab "Đang diễn ra"/"Đã hoàn thành" tại màn Hoạt động</t>
  </si>
  <si>
    <t xml:space="preserve">Đã đăng nhập, đang ở màn Hoạt động</t>
  </si>
  <si>
    <t xml:space="preserve">1. Mở app FoxEco
2. Bấm "Hoạt động" tại bottom nav
3. Quan sát khu vực tab switcher đầu màn</t>
  </si>
  <si>
    <t xml:space="preserve">3. Hiển thị đủ 2 tab đúng label "Đang diễn ra" và "Đã hoàn thành"</t>
  </si>
  <si>
    <t xml:space="preserve">Check tab mặc định khi mới vào màn Hoạt động là "Đang diễn ra"</t>
  </si>
  <si>
    <t xml:space="preserve">Đã đăng nhập, CHƯA từng vào màn Hoạt động trong phiên hiện tại (state PRISTINE)</t>
  </si>
  <si>
    <t xml:space="preserve">1. Mở app FoxEco
2. Bấm "Hoạt động" tại bottom nav lần đầu
3. Quan sát tab đang được chọn (active)</t>
  </si>
  <si>
    <t xml:space="preserve">3. Tab "Đang diễn ra" được highlight/chọn mặc định, danh sách hiển thị theo tab này</t>
  </si>
  <si>
    <t xml:space="preserve">Check dữ liệu đúng tại tab "Đang diễn ra"</t>
  </si>
  <si>
    <t xml:space="preserve">Đã đăng nhập, có đơn ở nhiều trạng thái đang diễn ra (Chờ ghép/Đã ghép/Đang giao) lẫn đơn đã Hoàn thành/Hết hạn/Đã huỷ</t>
  </si>
  <si>
    <t xml:space="preserve">1. Mở app FoxEco
2. Bấm "Hoạt động" tại bottom nav
3. Mở tab "Đang diễn ra" (nếu chưa active)
4. Quan sát toàn bộ danh sách đơn hiển thị</t>
  </si>
  <si>
    <t xml:space="preserve">4. Danh sách CHỈ chứa đơn ở trạng thái đang diễn ra (Chờ ghép/Đã ghép/Đang giao/Đã giao/Đã huỷ) — "Đã giao" là trạng thái trung gian trước "Hoàn thành" (đã giao hàng, chờ xác nhận hoàn tất); KHÔNG lẫn đơn Hoàn thành/Hết hạn</t>
  </si>
  <si>
    <t xml:space="preserve">Technique: EP-mixed-aggregate (baseline) | Xem EP-matched/EP-in-transit TC kế tiếp cho từng trạng thái riêng; partition "Chờ ghép" đã có ở SC-ORD-020/021 | Cập nhật 2026-07-30: bổ sung đơn Đã huỷ vào bộ dữ liệu trộn (user xác nhận đơn Đã huỷ CÓ hiển thị ở tab này).</t>
  </si>
  <si>
    <t xml:space="preserve">Check dữ liệu đúng tại tab "Đã hoàn thành"</t>
  </si>
  <si>
    <t xml:space="preserve">Đã đăng nhập, có đơn Hoàn thành/Hết hạn lẫn đơn đang diễn ra (Chờ ghép/Đã ghép/Đang giao)</t>
  </si>
  <si>
    <t xml:space="preserve">1. Mở app FoxEco
2. Bấm "Hoạt động" tại bottom nav
3. Bấm tab "Đã hoàn thành"
4. Quan sát toàn bộ danh sách đơn hiển thị</t>
  </si>
  <si>
    <t xml:space="preserve">4. Danh sách CHỈ chứa đơn Hoàn thành/Hết hạn; KHÔNG lẫn đơn đang diễn ra</t>
  </si>
  <si>
    <t xml:space="preserve">Technique: EP-mixed-aggregate (baseline) | EP theo từng trạng thái riêng (Hoàn thành/Hết hạn) đã có ở SC-ORD-019/SC-ORD-005 — dedupe, không tạo thêm TC</t>
  </si>
  <si>
    <t xml:space="preserve">Check đơn trạng thái "Đã ghép" hiển thị tại tab "Đang diễn ra"</t>
  </si>
  <si>
    <t xml:space="preserve">Có đơn đang ở trạng thái "Đã ghép" (MATCHED)</t>
  </si>
  <si>
    <t xml:space="preserve">1. Mở app FoxEco
2. Bấm "Hoạt động" tại bottom nav
3. Mở tab "Đang diễn ra" (nếu chưa active)
4. Tìm card đơn "Đã ghép" trong danh sách</t>
  </si>
  <si>
    <t xml:space="preserve">4. Card đơn "Đã ghép" xuất hiện đúng trong danh sách tab "Đang diễn ra", hiển thị đúng badge "Đã ghép"</t>
  </si>
  <si>
    <t xml:space="preserve">Technique: EP-matched</t>
  </si>
  <si>
    <t xml:space="preserve">Check đơn trạng thái "Đang giao" hiển thị tại tab "Đang diễn ra"</t>
  </si>
  <si>
    <t xml:space="preserve">Có đơn đang ở trạng thái "Đang giao" (IN_TRANSIT)</t>
  </si>
  <si>
    <t xml:space="preserve">1. Mở app FoxEco
2. Bấm "Hoạt động" tại bottom nav
3. Mở tab "Đang diễn ra" (nếu chưa active)
4. Tìm card đơn "Đang giao" trong danh sách</t>
  </si>
  <si>
    <t xml:space="preserve">4. Card đơn "Đang giao" xuất hiện đúng trong danh sách tab "Đang diễn ra", hiển thị đúng badge "Đang giao"</t>
  </si>
  <si>
    <t xml:space="preserve">Technique: EP-in-transit</t>
  </si>
  <si>
    <t xml:space="preserve">Block Card danh sách đơn</t>
  </si>
  <si>
    <t xml:space="preserve">Check đầy đủ + đúng 5 trường hiển thị trên 1 card đơn tại màn Hoạt động</t>
  </si>
  <si>
    <t xml:space="preserve">Có ít nhất 1 đơn hiển thị trong danh sách tại tab "Đang diễn ra"</t>
  </si>
  <si>
    <t xml:space="preserve">1. Mở app FoxEco
2. Bấm "Hoạt động" tại bottom nav
3. Quan sát 1 card đơn bất kỳ trong danh sách</t>
  </si>
  <si>
    <t xml:space="preserve">3. Card tại tab "Đang diễn ra" hiển thị đủ 4 trường: (1) icon trạng thái, (2) tên tin, (3) tuyến "Từ → Đến", (4) badge trạng thái — không thiếu, không rỗng bất thường. Trường "ngày" (ngày hoàn thành) CHỈ xuất hiện trên card tại tab "Đã hoàn thành", KHÔNG hiển thị ở tab "Đang diễn ra" (xem TC_01.11 để verify riêng khi có data)</t>
  </si>
  <si>
    <t xml:space="preserve">Field/column completeness check — auto-derived (xem generate.md Step 3b)</t>
  </si>
  <si>
    <t xml:space="preserve">DOC-v1.0-01</t>
  </si>
  <si>
    <t xml:space="preserve">Check tin tự động chuyển "Hết hạn" khi quá "Đến ngày", hiển thị đúng tại Hoạt động</t>
  </si>
  <si>
    <t xml:space="preserve">Có tin NEED ở trạng thái POSTED với "Đến ngày" đã set gần (test nhanh), không có ai nhận mang giúp tới hạn</t>
  </si>
  <si>
    <t xml:space="preserve">1. Đăng tin NEED với "Đến ngày" = [ngày gần, vd hôm nay]
2. Chờ tới thời điểm "Đến ngày" mà không có Carrier nhận
3. Mở app FoxEco → bấm "Hoạt động" → tab "Đã hoàn thành"</t>
  </si>
  <si>
    <t xml:space="preserve">3. Tin tự động chuyển trạng thái EXPIRED; card hiển thị icon đồng hồ xám + badge "Hết hạn" + dòng lý do "Không có ai nhận mang giúp trong thời gian đăng — tin đã tự động đóng."</t>
  </si>
  <si>
    <t xml:space="preserve">Technique: BVA-at-expiry (baseline) | Xem BVA-before-expiry TC kế tiếp cho boundary trước hạn | Nguồn: merge CA v1.1 `C-ORDER-2` — v1.0 từng chốt ngưỡng EXPIRED = "Từ ngày"; BRD v3.2 ghi rõ 2 lần là "Đến ngày" và user xác nhận lại "Den ngay dung" (đảo ngược resolution cũ). Nhãn TC làm rõ để không đọc nhầm thành "Từ ngày"</t>
  </si>
  <si>
    <t xml:space="preserve">Check tin CHƯA tự động chuyển "Hết hạn" khi CHƯA tới "Đến ngày" (boundary ngay trước hạn)</t>
  </si>
  <si>
    <t xml:space="preserve">Có tin NEED ở trạng thái POSTED với "Đến ngày" còn cách hiện tại 1 khoảng rất ngắn (vd còn 1 phút, dữ liệu test dàn dựng), chưa ai nhận mang giúp</t>
  </si>
  <si>
    <t xml:space="preserve">1. Đăng tin NEED với "Đến ngày" = [thời điểm còn 1 phút nữa mới tới hạn]
2. Ngay TRƯỚC thời điểm "Đến ngày" (boundary min-1), mở app FoxEco → bấm "Hoạt động" → tab "Đang diễn ra"
3. Quan sát card tin vừa đăng</t>
  </si>
  <si>
    <t xml:space="preserve">3. Tin vẫn ở trạng thái "Chờ ghép" (POSTED), CHƯA tự chuyển "Hết hạn" — badge hiển thị đúng "Chờ ghép"</t>
  </si>
  <si>
    <t xml:space="preserve">Technique: BVA-before-expiry | Cần bổ sung test data trong catalog (catalog chưa có mốc hạn tin cụ thể để dựng boundary chính xác) | Nguồn: merge CA v1.1 `C-ORDER-2` — v1.0 từng chốt ngưỡng EXPIRED = "Từ ngày"; BRD v3.2 ghi rõ 2 lần là "Đến ngày" và user xác nhận lại "Den ngay dung" (đảo ngược resolution cũ). Nhãn TC làm rõ để không đọc nhầm thành "Từ ngày"</t>
  </si>
  <si>
    <t xml:space="preserve">Check card trạng thái "Hoàn thành" hiển thị đúng tại tab "Đã hoàn thành"</t>
  </si>
  <si>
    <t xml:space="preserve">Có đơn đã chuyển trạng thái COMPLETED</t>
  </si>
  <si>
    <t xml:space="preserve">1. Mở app FoxEco → bấm "Hoạt động" → tab "Đã hoàn thành"
2. Quan sát card đơn COMPLETED</t>
  </si>
  <si>
    <t xml:space="preserve">2. Card hiển thị icon check màu xanh + badge "Hoàn thành" + trường "ngày hoàn thành" (chỉ card tại tab "Đã hoàn thành" mới có trường ngày này, khác card tại tab "Đang diễn ra" — xem TC_01.8)</t>
  </si>
  <si>
    <t xml:space="preserve">Technique: EP-completed (baseline) | Dùng chung phân vùng cho SC-ORD-026 tab data</t>
  </si>
  <si>
    <t xml:space="preserve">Check card trạng thái "Chờ ghép" hiển thị đúng tại tab "Đang diễn ra"</t>
  </si>
  <si>
    <t xml:space="preserve">Có tin NEED/OFFER ở trạng thái POSTED (chưa ai nhận)</t>
  </si>
  <si>
    <t xml:space="preserve">1. Mở app FoxEco → bấm "Hoạt động" → tab "Đang diễn ra"
2. Quan sát card tin POSTED</t>
  </si>
  <si>
    <t xml:space="preserve">2. Card hiển thị đúng badge "Chờ ghép"</t>
  </si>
  <si>
    <t xml:space="preserve">Technique: EP-posted (baseline) | Dùng chung phân vùng cho SC-ORD-017 tab data + SC-ORD-021 tap-to-detail</t>
  </si>
  <si>
    <t xml:space="preserve">Check bấm vào card trạng thái "Chờ ghép" mở đúng màn Chi tiết tin</t>
  </si>
  <si>
    <t xml:space="preserve">Có đơn ở trạng thái "Chờ ghép" tại màn Hoạt động</t>
  </si>
  <si>
    <t xml:space="preserve">1. Mở app FoxEco → bấm "Hoạt động"
2. Bấm vào card đơn "Chờ ghép"</t>
  </si>
  <si>
    <t xml:space="preserve">2. Điều hướng đúng sang màn "Theo dõi đơn" của đơn đó</t>
  </si>
  <si>
    <t xml:space="preserve">Technique: EP-posted (baseline ví dụ) | Xem EP-matched/EP-in-transit/EP-completed TC kế tiếp cho các trạng thái còn lại</t>
  </si>
  <si>
    <t xml:space="preserve">Check bấm vào card trạng thái "Đã ghép" mở đúng màn Chi tiết tin</t>
  </si>
  <si>
    <t xml:space="preserve">Có đơn ở trạng thái "Đã ghép" tại màn Hoạt động</t>
  </si>
  <si>
    <t xml:space="preserve">1. Mở app FoxEco → bấm "Hoạt động"
2. Bấm vào card đơn "Đã ghép"</t>
  </si>
  <si>
    <t xml:space="preserve">Check bấm vào card trạng thái "Đang giao" mở đúng màn Chi tiết tin</t>
  </si>
  <si>
    <t xml:space="preserve">Có đơn ở trạng thái "Đang giao" tại màn Hoạt động</t>
  </si>
  <si>
    <t xml:space="preserve">1. Mở app FoxEco → bấm "Hoạt động"
2. Bấm vào card đơn "Đang giao"</t>
  </si>
  <si>
    <t xml:space="preserve">Check bấm vào card trạng thái "Hoàn thành" mở đúng màn Chi tiết tin</t>
  </si>
  <si>
    <t xml:space="preserve">Có đơn ở trạng thái "Hoàn thành" tại màn Hoạt động</t>
  </si>
  <si>
    <t xml:space="preserve">1. Mở app FoxEco → bấm "Hoạt động" → tab "Đã hoàn thành"
2. Bấm vào card đơn "Hoàn thành"</t>
  </si>
  <si>
    <t xml:space="preserve">Technique: EP-completed</t>
  </si>
  <si>
    <t xml:space="preserve">REQ-ORD-011, REQ-CNL-001</t>
  </si>
  <si>
    <t xml:space="preserve">DOC-v1.0-05</t>
  </si>
  <si>
    <t xml:space="preserve">Check bấm vào card trạng thái "Đã huỷ" mở đúng màn Chi tiết tin/Theo dõi đơn</t>
  </si>
  <si>
    <t xml:space="preserve">Có đơn ở trạng thái "Đã huỷ", đang hiển thị dạng card tại tab "Đang diễn ra"</t>
  </si>
  <si>
    <t xml:space="preserve">1. Mở app FoxEco → bấm "Hoạt động" → tab "Đang diễn ra"
2. Bấm vào card có badge "Đã huỷ"</t>
  </si>
  <si>
    <t xml:space="preserve">2. Điều hướng đúng sang màn "Theo dõi đơn" của đơn đó (giống hành vi các trạng thái khác, KHÁC "Hết hạn")</t>
  </si>
  <si>
    <t xml:space="preserve">Technique: EP-actor-cancelled-clickable | Bổ sung 2026-07-30 theo yêu cầu user (QA GiangDC2 xác nhận trực tiếp trên app STG: card "Đã huỷ" CÓ bấm được, khác với card "Hết hạn" — non-clickable). Cùng nhóm SC-ORD-021 (4→5 TC).</t>
  </si>
  <si>
    <t xml:space="preserve">Check bấm vào card "Hết hạn" không cho thao tác</t>
  </si>
  <si>
    <t xml:space="preserve">Có đơn ở trạng thái "Hết hạn" (EXPIRED) tại tab "Đã hoàn thành"</t>
  </si>
  <si>
    <t xml:space="preserve">1. Mở app FoxEco → bấm "Hoạt động" → tab "Đã hoàn thành"
2. Bấm vào card có badge "Hết hạn"</t>
  </si>
  <si>
    <t xml:space="preserve">2. Không có điều hướng/phản hồi nào xảy ra (card non-clickable)</t>
  </si>
  <si>
    <t xml:space="preserve">Technique: EP-invalid-expired (baseline) | Đối chứng cho EP-021 set (partition không hợp lệ/không thao tác được)</t>
  </si>
  <si>
    <t xml:space="preserve">DOC-v1.0-07</t>
  </si>
  <si>
    <t xml:space="preserve">Check empty state hiển thị khi tab "Đang diễn ra" rỗng</t>
  </si>
  <si>
    <t xml:space="preserve">Tài khoản chưa có đơn nào ở trạng thái đang diễn ra (Chờ ghép/Đã ghép/Đang giao)</t>
  </si>
  <si>
    <t xml:space="preserve">1. Mở app FoxEco → bấm "Hoạt động"
2. Mở tab "Đang diễn ra" (không có đơn nào)</t>
  </si>
  <si>
    <t xml:space="preserve">2. Hiển thị icon nhịp tim/pulse + text "Chưa có đơn nào"</t>
  </si>
  <si>
    <t xml:space="preserve">Technique: EP-tab-ongoing-empty | Text đã được xác nhận bằng ảnh chụp thật app STG (2026-07-31), thay thế bản placeholder generic "Hiện tại chưa có dữ liệu" — xem C-ORD-06 (Resolved)</t>
  </si>
  <si>
    <t xml:space="preserve">Check empty state hiển thị khi tab "Đã hoàn thành" rỗng</t>
  </si>
  <si>
    <t xml:space="preserve">Tài khoản chưa có đơn nào ở trạng thái Hoàn thành/Hết hạn</t>
  </si>
  <si>
    <t xml:space="preserve">1. Mở app FoxEco → bấm "Hoạt động"
2. Mở tab "Đã hoàn thành" (không có đơn nào)</t>
  </si>
  <si>
    <t xml:space="preserve">Technique: EP-tab-completed-empty | Text đã được xác nhận bằng ảnh chụp thật app STG (2026-07-31), thay thế bản placeholder generic "Hiện tại chưa có dữ liệu" — xem C-ORD-06 (Resolved)</t>
  </si>
  <si>
    <t xml:space="preserve">Check đơn trạng thái "Đã huỷ" hiển thị đúng dạng card tại tab "Đang diễn ra"</t>
  </si>
  <si>
    <t xml:space="preserve">Có 1 đơn vừa được huỷ (qua popup "Huỷ đơn", bất kỳ vai trò nào huỷ)</t>
  </si>
  <si>
    <t xml:space="preserve">1. Huỷ 1 đơn đang ở POSTED hoặc MATCHED (xem TC huỷ đơn module CNL)
2. Mở app FoxEco → bấm "Hoạt động"
3. Kiểm tra lần lượt cả 2 tab "Đang diễn ra" và "Đã hoàn thành"</t>
  </si>
  <si>
    <t xml:space="preserve">3. Đơn vừa huỷ hiển thị ĐÚNG dạng card (badge "Đã huỷ") tại tab "Đang diễn ra"; KHÔNG xuất hiện ở tab "Đã hoàn thành"</t>
  </si>
  <si>
    <t xml:space="preserve">⚠ SỬA LẠI 2026-07-30 (user chỉnh, xem CHANGELOG): bản trước ghi "Đã huỷ KHÔNG hiển thị ở cả 2 tab" — SAI so với app thật. QA GiangDC2 xác nhận trực tiếp: đơn Đã huỷ VẪN hiển thị dạng card tại tab "Đang diễn ra" (không biến mất khỏi Hoạt động), chỉ không xuất hiện ở tab "Đã hoàn thành". Technique: EP-actor-cancelled-shown (baseline, sửa lại từ EP-actor-cancelled-hidden).</t>
  </si>
  <si>
    <t xml:space="preserve">Block Thông tin định danh</t>
  </si>
  <si>
    <t xml:space="preserve">Check xem hồ sơ cá nhân (view-only), đủ 4 trường, không có nút chỉnh sửa</t>
  </si>
  <si>
    <t xml:space="preserve">Đã đăng nhập, đang ở màn Cá nhân</t>
  </si>
  <si>
    <t xml:space="preserve">1. Mở app FoxEco
2. Bấm "Cá nhân" tại bottom nav
3. Quan sát khu vực hồ sơ (Thông tin định danh)
4. Tìm mọi nút "Chỉnh sửa"/"Cập nhật" trên màn</t>
  </si>
  <si>
    <t xml:space="preserve">3. Hiển thị đúng dữ liệu cho đủ 4 trường: tên, avatar, phòng ban, MNV (mã nhân viên)
4. KHÔNG có bất kỳ nút/form "Chỉnh sửa"/"Cập nhật" nào</t>
  </si>
  <si>
    <t xml:space="preserve">BUG-003</t>
  </si>
  <si>
    <t xml:space="preserve">Check hiển thị đúng phòng ban + MNV trên hồ sơ</t>
  </si>
  <si>
    <t xml:space="preserve">Đã đăng nhập, tài khoản có sẵn phòng ban + mã nhân viên (MNV) trên SSO</t>
  </si>
  <si>
    <t xml:space="preserve">1. Mở app FoxEco
2. Bấm "Cá nhân" tại bottom nav
3. Quan sát trường phòng ban + MNV</t>
  </si>
  <si>
    <t xml:space="preserve">3. Hiển thị đúng phòng ban + MNV của user, đúng định dạng "Phòng [ban] · MNV: [mã NV]" (đúng dữ liệu SSO, vd "Phòng Kỹ thuật · MNV: FTEL2291")</t>
  </si>
  <si>
    <t xml:space="preserve">Block Chỉ số đóng góp</t>
  </si>
  <si>
    <t xml:space="preserve">DOC-v1.0-01, DOC-v1.0-04</t>
  </si>
  <si>
    <t xml:space="preserve">Check đầy đủ + đúng 6 phần tử hiển thị tại header màn Cá nhân</t>
  </si>
  <si>
    <t xml:space="preserve">Đã đăng nhập, mở màn Cá nhân</t>
  </si>
  <si>
    <t xml:space="preserve">1. Mở app FoxEco
2. Bấm "Cá nhân" tại bottom nav
3. Quan sát toàn bộ header cam đầu màn</t>
  </si>
  <si>
    <t xml:space="preserve">3. Header hiển thị đủ 6 phần tử: (1) avatar, (2) tên, (3) "Phòng [ban] · MNV: [mã NV]", (4) badge tier "🏆 Hạng Đồng hành", (5) 2 chỉ số ("N đơn đã giúp"/"N quà đã nhận"), (6) menu "Đơn của tôi"/"Quà đã nhận" — không thiếu phần tử nào</t>
  </si>
  <si>
    <t xml:space="preserve">DOC-v1.0-01, DOC-v1.0-02</t>
  </si>
  <si>
    <t xml:space="preserve">Check hiển thị đúng 2 chỉ số đóng góp, không hiện điểm ECO/tier/CO2</t>
  </si>
  <si>
    <t xml:space="preserve">Đã đăng nhập, có lịch sử đơn đã giúp + quà đã nhận</t>
  </si>
  <si>
    <t xml:space="preserve">1. Mở app FoxEco
2. Bấm "Cá nhân" tại bottom nav
3. Đối chiếu số liệu "N đơn đã giúp"/"N quà đã nhận" với dữ liệu thực tế</t>
  </si>
  <si>
    <t xml:space="preserve">3. Hiển thị đúng "Tổng đơn đã giúp" + "Tổng quà đã nhận"; KHÔNG hiển thị điểm ECO/điểm uy tín dạng số/CO₂ ở bất kỳ đâu trên màn</t>
  </si>
  <si>
    <t xml:space="preserve">Technique: EP-normal (baseline) | Xem BVA-zero/BVA-one/BVA-large TC kế tiếp cho các boundary khác của cùng field</t>
  </si>
  <si>
    <t xml:space="preserve">Check hiển thị đúng khi chỉ số đóng góp = 0 (chưa từng giúp đơn / chưa nhận quà)</t>
  </si>
  <si>
    <t xml:space="preserve">Đã đăng nhập, tài khoản CHƯA từng giúp đơn nào và CHƯA từng nhận quà nào (0 đơn đã giúp, 0 quà đã nhận)</t>
  </si>
  <si>
    <t xml:space="preserve">1. Mở app FoxEco
2. Bấm "Cá nhân" tại bottom nav
3. Quan sát 2 chỉ số tại header</t>
  </si>
  <si>
    <t xml:space="preserve">3. Hiển thị đúng "0 đơn đã giúp" và "0 quà đã nhận" (số 0 hiển thị rõ ràng, KHÔNG để trống/ẩn/thay bằng dấu gạch ngang)</t>
  </si>
  <si>
    <t xml:space="preserve">Technique: BVA-zero</t>
  </si>
  <si>
    <t xml:space="preserve">Check hiển thị đúng khi chỉ số đóng góp = 1 (boundary vừa phát sinh)</t>
  </si>
  <si>
    <t xml:space="preserve">Đã đăng nhập, tài khoản vừa có ĐÚNG 1 đơn đã giúp và 1 quà đã nhận (boundary =1)</t>
  </si>
  <si>
    <t xml:space="preserve">3. Hiển thị đúng "1 đơn đã giúp" và "1 quà đã nhận"</t>
  </si>
  <si>
    <t xml:space="preserve">Technique: BVA-one</t>
  </si>
  <si>
    <t xml:space="preserve">Check hiển thị số liệu lớn tại chỉ số đóng góp không bị cắt/tràn UI</t>
  </si>
  <si>
    <t xml:space="preserve">Đã đăng nhập, tài khoản có số lượng đơn đã giúp/quà đã nhận rất lớn (vd ≥999, dữ liệu test dàn dựng)</t>
  </si>
  <si>
    <t xml:space="preserve">1. Mở app FoxEco
2. Bấm "Cá nhân" tại bottom nav
3. Quan sát 2 chỉ số tại header, đối chiếu với số liệu thực tế</t>
  </si>
  <si>
    <t xml:space="preserve">3. Hiển thị đúng số liệu lớn, KHÔNG bị cắt/tràn UI/xuống dòng sai (vd "999 đơn đã giúp" hiển thị đủ)</t>
  </si>
  <si>
    <t xml:space="preserve">Technique: BVA-large | Cần bổ sung test data trong catalog (catalog chưa có giá trị boundary lớn cụ thể cho chỉ số này)</t>
  </si>
  <si>
    <t xml:space="preserve">Block Menu điều hướng</t>
  </si>
  <si>
    <t xml:space="preserve">DOC-v1.0-02 §3.9</t>
  </si>
  <si>
    <t xml:space="preserve">Check menu "Đơn của tôi" tại Cá nhân điều hướng đúng sang màn Hoạt động</t>
  </si>
  <si>
    <t xml:space="preserve">1. Mở app FoxEco
2. Bấm "Cá nhân" tại bottom nav
3. Bấm menu "Đơn của tôi"</t>
  </si>
  <si>
    <t xml:space="preserve">3. Điều hướng đúng sang màn "Hoạt động" (Đơn của tôi)</t>
  </si>
  <si>
    <t xml:space="preserve">DOC-v1.0-01 (GIFT-01) + ảnh DOC-v1.0-04</t>
  </si>
  <si>
    <t xml:space="preserve">Check menu "Quà đã nhận" tại Cá nhân điều hướng đúng sang màn Quà đã nhận</t>
  </si>
  <si>
    <t xml:space="preserve">Đã đăng nhập với vai trò Carrier (chủ sở hữu quà đã nhận), đang ở màn Cá nhân</t>
  </si>
  <si>
    <t xml:space="preserve">1. Mở app FoxEco
2. Bấm "Cá nhân" tại bottom nav
3. Bấm menu "Quà đã nhận"</t>
  </si>
  <si>
    <t xml:space="preserve">3. Điều hướng đúng sang màn "Quà đã nhận" (màn riêng, không phải section trong Cá nhân)</t>
  </si>
  <si>
    <t xml:space="preserve">Nguồn: merge CA v1.1 `C-GIFT-2` — bug wiring v1.0 (màn "Quà đã nhận" hiện nhầm ở Receiver) đã fix, nay đúng ở Cá nhân của Carrier, khớp Figma</t>
  </si>
  <si>
    <t xml:space="preserve">Block Kênh liên hệ</t>
  </si>
  <si>
    <t xml:space="preserve">Check GAP — xác nhận KHÔNG tồn tại UI cấu hình kênh liên hệ (out of scope v1.0)</t>
  </si>
  <si>
    <t xml:space="preserve">1. Mở app FoxEco
2. Bấm "Cá nhân" tại bottom nav
3. Rà toàn bộ màn Cá nhân (header, menu, hồ sơ) tìm mục/toggle "Cấu hình kênh liên hệ" (bật/tắt hiển thị Workplace/email)</t>
  </si>
  <si>
    <t xml:space="preserve">3. KHÔNG tìm thấy mục/toggle cấu hình kênh liên hệ nào trên UI</t>
  </si>
  <si>
    <t xml:space="preserve">GAP finding — tính năng chưa triển khai ở v1.0 (C-USR-02)</t>
  </si>
  <si>
    <t xml:space="preserve">Block Quà đã nhận (màn riêng)</t>
  </si>
  <si>
    <t xml:space="preserve">Check màn "Quà đã nhận" rỗng khi chưa nhận quà nào</t>
  </si>
  <si>
    <t xml:space="preserve">Carrier chưa từng nhận quà nào</t>
  </si>
  <si>
    <t xml:space="preserve">1. Mở app FoxEco
2. Bấm "Cá nhân" tại bottom nav → menu "Quà đã nhận"
3. Quan sát nội dung màn</t>
  </si>
  <si>
    <t xml:space="preserve">3. Hiển thị icon hộp quà + title "Hiện tại chưa có dữ liệu" + subtitle "Quà bạn nhận được từ đồng nghiệp sẽ hiện ở đây"</t>
  </si>
  <si>
    <t xml:space="preserve">Text đã được xác nhận bằng ảnh chụp thật app STG (2026-07-31), thay thế bản placeholder generic "Hiện tại chưa có dữ liệu" — xem C-ORD-06 (Resolved)</t>
  </si>
  <si>
    <t xml:space="preserve">Ảnh DOC-v1.0-04 (Quà đã nhận)</t>
  </si>
  <si>
    <t xml:space="preserve">Check card "Quà đã nhận" chỉ load đúng loại đã nhận (không hiện loại chưa nhận)</t>
  </si>
  <si>
    <t xml:space="preserve">Carrier đã nhận ≥1 quà nhưng KHÔNG đủ cả 4 loại (vd chỉ nhận bông hoa + ly cà phê, chưa từng nhận gấu bông/vương miện)</t>
  </si>
  <si>
    <t xml:space="preserve">1. Mở app FoxEco
2. Bấm "Cá nhân" tại bottom nav → menu "Quà đã nhận"
3. Quan sát card đếm số + danh sách lịch sử</t>
  </si>
  <si>
    <t xml:space="preserve">3. Card CHỈ hiển thị đúng các loại đã nhận (đúng số lượng từng loại, vd bông hoa + ly cà phê); loại chưa nhận lần nào (gấu bông, vương miện) KHÔNG xuất hiện trên card; bên dưới có danh sách lịch sử nhận quà (thời gian + người tặng)</t>
  </si>
  <si>
    <t xml:space="preserve">Technique: EP-partial (baseline) | Xem EP-all-received/BVA-count-large TC kế tiếp</t>
  </si>
  <si>
    <t xml:space="preserve">DOC-v1.0-01 §D1b (US-D20) + DOC-v1.0-05</t>
  </si>
  <si>
    <t xml:space="preserve">Check card "Quà đã nhận" hiển thị đủ cả 4/4 loại khi đã nhận đủ tất cả</t>
  </si>
  <si>
    <t xml:space="preserve">Carrier đã nhận đủ CẢ 4 loại quà (🌷 Bông hoa, ☕ Ly cà phê, 🧸 Gấu bông, 👑 Vương miện) ít nhất 1 lần mỗi loại</t>
  </si>
  <si>
    <t xml:space="preserve">1. Mở app FoxEco
2. Bấm "Cá nhân" tại bottom nav → menu "Quà đã nhận"
3. Quan sát card đếm số</t>
  </si>
  <si>
    <t xml:space="preserve">3. Card hiển thị ĐỦ cả 4 loại quà với số lượng đúng từng loại (không loại nào bị ẩn khi đã nhận đủ)</t>
  </si>
  <si>
    <t xml:space="preserve">Technique: EP-all-received</t>
  </si>
  <si>
    <t xml:space="preserve">Check số lượng lớn của 1 loại quà hiển thị đúng, không bị cắt/tràn UI</t>
  </si>
  <si>
    <t xml:space="preserve">Carrier đã nhận 1 loại quà với số lượng lớn (vd ≥12 lần, dữ liệu test dàn dựng)</t>
  </si>
  <si>
    <t xml:space="preserve">1. Mở app FoxEco
2. Bấm "Cá nhân" tại bottom nav → menu "Quà đã nhận"
3. Quan sát số lượng hiển thị cho loại quà đó</t>
  </si>
  <si>
    <t xml:space="preserve">3. Hiển thị đúng số lượng lớn, KHÔNG bị cắt/tràn UI</t>
  </si>
  <si>
    <t xml:space="preserve">Technique: BVA-count-large | Cần bổ sung test data trong catalog (catalog chưa có giá trị boundary số lượng quà cụ thể)</t>
  </si>
  <si>
    <t xml:space="preserve">Check icon quay lại tại màn "Quà đã nhận"</t>
  </si>
  <si>
    <t xml:space="preserve">Đang ở màn "Quà đã nhận" (điều hướng từ Cá nhân)</t>
  </si>
  <si>
    <t xml:space="preserve">1. Ở màn "Quà đã nhận", bấm icon quay lại (header)</t>
  </si>
  <si>
    <t xml:space="preserve">1. Quay về đúng màn trước đó (Cá nhân)</t>
  </si>
  <si>
    <t xml:space="preserve">Check đầy đủ + đúng 3 thành phần hiển thị tại màn "Quà đã nhận" (trạng thái có dữ liệu)</t>
  </si>
  <si>
    <t xml:space="preserve">Carrier đã nhận quà từ ít nhất 2 đơn khác nhau, gồm ≥2 loại quà (màn có dữ liệu)</t>
  </si>
  <si>
    <t xml:space="preserve">1. Mở app FoxEco bằng tài khoản Carrier ở Pre-condition
2. Bấm "Cá nhân" tại bottom nav → bấm menu "Quà đã nhận"
3. Quan sát toàn bộ màn "Quà đã nhận"</t>
  </si>
  <si>
    <t xml:space="preserve">3. Màn hiển thị đủ 3 thành phần của trạng thái CÓ dữ liệu: (1) icon quay lại ở header, (2) card đếm số theo từng loại quà (chỉ loại đã nhận), (3) danh sách lịch sử nhận quà — không thiếu thành phần nào. Thành phần thứ 4 của block (empty state) chỉ xuất hiện khi chưa nhận quà nào, verify riêng tại TC_02.11</t>
  </si>
  <si>
    <t xml:space="preserve">Field/column completeness check — auto-derived (xem generate.md Step 3b) | Bổ sung 2026-07-30 sau finding review-tc **M1 (R2-15)** — trước đó màn "Quà đã nhận" không có TC completeness nào | ⚠ Thành phần "danh sách lịch sử" hiện CHỈ có bằng chứng văn bản (US-D20), chưa có ảnh Figma/app STG đối chiếu → cần vibe-test xác nhận trước khi coi Expected là final (Project_rule §10.1)</t>
  </si>
  <si>
    <t xml:space="preserve">Check danh sách lịch sử nhận quà hiển thị đúng các lần đã nhận</t>
  </si>
  <si>
    <t xml:space="preserve">Carrier đã nhận ≥2 quà từ ≥2 đơn khác nhau (dữ liệu dàn dựng, biết trước loại quà + người tặng + thời điểm từng lần) — [TBD] điền giá trị khi setup STG</t>
  </si>
  <si>
    <t xml:space="preserve">1. Mở app FoxEco bằng tài khoản Carrier ở Pre-condition
2. Bấm "Cá nhân" tại bottom nav → bấm menu "Quà đã nhận"
3. Quan sát danh sách lịch sử nhận quà</t>
  </si>
  <si>
    <t xml:space="preserve">3. Danh sách lịch sử liệt kê đủ đúng các lần nhận quà như dữ liệu ở Pre-condition (không thiếu lần nào, không trùng lặp), mỗi dòng đối chiếu được với 1 lần tặng thật. Nếu app KHÔNG có danh sách lịch sử trên UI → TC FAIL, mở clarification với BA vì US-D20 nêu rõ "đếm theo loại + lịch sử"</t>
  </si>
  <si>
    <t xml:space="preserve">Technique: N/A — baseline (derive trực tiếp từ US-D20, không thuộc rubric B1–B8) | Bổ sung 2026-07-30 sau finding review-tc **M1 (R2-15)** — trước đó thành phần "danh sách lịch sử" 0 TC ở mọi fragment | ⚠ Chỉ có bằng chứng văn bản (US-D20), chưa có ảnh Figma/app STG (Project_rule §10.1) | Cần bổ sung test data trong catalog (fixture lịch sử nhận quà chưa có)</t>
  </si>
  <si>
    <t xml:space="preserve">DOC-v1.0-01 (OPR-01) + DOC-v1.0-06</t>
  </si>
  <si>
    <t xml:space="preserve">Check Carrier nhận đủ thông báo khi số tin phù hợp CHƯA đạt trần 5 (cho 1 tin OFFER vừa đăng)</t>
  </si>
  <si>
    <t xml:space="preserve">Carrier vừa đăng 1 tin OFFER 'Tôi nhận giao hàng'; hệ thống quét khớp cho tin này tìm thấy 3 tin NEED phù hợp tuyến (N=3, chưa đạt trần 5)</t>
  </si>
  <si>
    <t xml:space="preserve">1. Đăng tin OFFER (theo Pre-condition)
2. Hệ thống chạy vòng quét khớp cho tin OFFER vừa đăng, tìm thấy 3 tin NEED phù hợp
3. Đăng nhập tài khoản Carrier, mở màn Thông báo</t>
  </si>
  <si>
    <t xml:space="preserve">3. Carrier nhận đủ 3 thông báo (1 thông báo/1 tin NEED phù hợp) — chưa đạt trần 5 nên không bị cắt bớt</t>
  </si>
  <si>
    <t xml:space="preserve">Technique: BVA-min-1 (dưới ngưỡng: 3 tin phù hợp / trần 5) | Trần 5 thông báo cho MỖI tin OFFER — OPR-01 / REQ-ASN-005 / SC-ASN-013, BA xác nhận qua chat 2026-07-29 (KHÔNG có ngưỡng theo ngày; SC-NTF-006 đã DEPRECATED). Test data 3/5/6 tin là giá trị chốt, không còn là mock</t>
  </si>
  <si>
    <t xml:space="preserve">Check Carrier nhận đủ 5 thông báo khi số tin phù hợp ĐÚNG BẰNG trần 5 (cho 1 tin OFFER vừa đăng)</t>
  </si>
  <si>
    <t xml:space="preserve">Carrier vừa đăng 1 tin OFFER 'Tôi nhận giao hàng'; hệ thống quét khớp cho tin này tìm thấy ĐÚNG 5 tin NEED phù hợp tuyến</t>
  </si>
  <si>
    <t xml:space="preserve">1. Đăng tin OFFER (theo Pre-condition)
2. Hệ thống chạy vòng quét khớp cho tin OFFER vừa đăng, tìm thấy 5 tin NEED phù hợp
3. Đăng nhập tài khoản Carrier, mở màn Thông báo</t>
  </si>
  <si>
    <t xml:space="preserve">3. Carrier nhận đủ 5 thông báo (1 thông báo/1 tin NEED phù hợp) — đúng bằng trần, chưa cần cắt bớt</t>
  </si>
  <si>
    <t xml:space="preserve">Technique: BVA-max (đúng tại ngưỡng: 5 tin phù hợp / trần 5) | Trần 5 thông báo cho MỖI tin OFFER — OPR-01 / REQ-ASN-005 / SC-ASN-013, BA xác nhận qua chat 2026-07-29. Test data là giá trị chốt, không còn là mock</t>
  </si>
  <si>
    <t xml:space="preserve">Check Carrier chỉ nhận tối đa 5 thông báo khi số tin phù hợp VƯỢT trần 5 — trần tính RIÊNG theo từng tin, KHÔNG theo ngày</t>
  </si>
  <si>
    <t xml:space="preserve">Carrier vừa đăng 1 tin OFFER 'Tôi nhận giao hàng'; hệ thống quét khớp cho tin này tìm thấy 7 tin NEED phù hợp tuyến (vượt trần 5)</t>
  </si>
  <si>
    <t xml:space="preserve">1. Đăng tin OFFER (theo Pre-condition)
2. Hệ thống chạy vòng quét khớp cho tin OFFER vừa đăng, tìm thấy 7 tin NEED phù hợp
3. Đăng nhập tài khoản Carrier, mở màn Thông báo, đếm số thông báo mới nhận được cho lượt đăng tin này</t>
  </si>
  <si>
    <t xml:space="preserve">3. Carrier CHỈ nhận tối đa 5 thông báo (ưu tiên tin mới &amp; gần tuyến nhất theo OPR-04) — 2 tin phù hợp còn lại KHÔNG có thông báo riêng cho lượt này.</t>
  </si>
  <si>
    <t xml:space="preserve">Technique: BVA-max+1 (vượt ngưỡng: 6 tin phù hợp / trần 5) | Trần 5 thông báo cho MỖI tin OFFER — OPR-01 / REQ-ASN-005 / SC-ASN-013, BA xác nhận qua chat 2026-07-29. Ngưỡng đã CHỐT, không còn Open; test data 6 tin là giá trị chốt, không phải mock</t>
  </si>
  <si>
    <t xml:space="preserve">Block Nội dung theo sự kiện</t>
  </si>
  <si>
    <t xml:space="preserve">Check Sender nhận đúng thông báo khi có người ghép ngay ("Tôi mang giúp được")</t>
  </si>
  <si>
    <t xml:space="preserve">Sender (Đồng Công Chí Linh) đã đăng tin NEED đang ở trạng thái POSTED, chưa có ai nhận</t>
  </si>
  <si>
    <t xml:space="preserve">1. Carrier (Trần Thị Lan) mở tin NEED của Sender, bấm "Tôi mang giúp được"
2. Hệ thống ghép ngay (MATCHED), SĐT 2 bên được lộ
3. Đăng nhập tài khoản Sender, mở màn Thông báo (icon chuông ở Header)</t>
  </si>
  <si>
    <t xml:space="preserve">3. Sender nhận 1 thông báo mới, nội dung "Đã có người nhận mang giúp đơn của bạn — SĐT đã được lộ để liên hệ"</t>
  </si>
  <si>
    <t xml:space="preserve">Technique: EP-Sender (actor-partition trong SC-NTF-001, 1/2 giá trị)</t>
  </si>
  <si>
    <t xml:space="preserve">DOC-v1.0-04</t>
  </si>
  <si>
    <t xml:space="preserve">Check Receiver nhận đúng thông báo khi đơn được ghép (MATCHED)</t>
  </si>
  <si>
    <t xml:space="preserve">Receiver có đơn NEED (Sender gửi tới) đang chờ ghép, chưa có Carrier nhận</t>
  </si>
  <si>
    <t xml:space="preserve">1. Carrier (Trần Thị Lan) bấm "Tôi mang giúp được" cho đơn của Receiver → hệ thống ghép ngay (MATCHED)
2. Đăng nhập tài khoản Receiver, mở màn Thông báo</t>
  </si>
  <si>
    <t xml:space="preserve">2. Receiver nhận 1 thông báo mới, title "Ghép thành công — SĐT đã được lộ", nội dung "Bạn và Trần Thị Lan đã được kết nối. Liên hệ để sắp xếp lấy hàng/giao nhận." (tối thiểu phải khớp phần "Bạn và [tên Carrier] đã được kết nối")</t>
  </si>
  <si>
    <t xml:space="preserve">Technique: EP-Receiver (actor-partition trong SC-NTF-001, 2/2 giá trị) | Text gốc Figma (DOC-v1.0-04) có nghi vấn lỗi chính tả ".ép" ở cuối câu — xem MEMORY.md §4.1 REQ-NTF-001 Source Quote #2, cần verify với design</t>
  </si>
  <si>
    <t xml:space="preserve">Check Carrier nhận đúng thông báo khi hệ thống khớp tuyến OFFER với tin NEED</t>
  </si>
  <si>
    <t xml:space="preserve">Carrier đã đăng tuyến OFFER; có 1 tin NEED trùng địa chỉ giao + khung giờ phù hợp vừa được đăng (C-NTF-02)</t>
  </si>
  <si>
    <t xml:space="preserve">1. Sender đăng tin NEED trùng địa chỉ giao + khung giờ với tuyến OFFER của Carrier
2. Hệ thống tự động quét khớp tuyến
3. Đăng nhập tài khoản Carrier, mở màn Thông báo</t>
  </si>
  <si>
    <t xml:space="preserve">3. Carrier nhận 1 thông báo mới, title "Tìm thấy đơn hàng phù hợp tuyến của bạn", nội dung "Có người cần gửi "[tên hàng] · [tuyến]" trùng tuyến bạn đã đăng. Xem chi tiết để nhận giao."</t>
  </si>
  <si>
    <t xml:space="preserve">Technique: N/A — 0-dim trong phạm vi SC này (chỉ 1 case; case phủ định "không khớp" đã có SC-ASN-009 ở module ASN, không lặp lại ở đây)</t>
  </si>
  <si>
    <t xml:space="preserve">Check Sender và Receiver nhận đúng thông báo khi Carrier xác nhận đã lấy hàng</t>
  </si>
  <si>
    <t xml:space="preserve">Đơn đã ở trạng thái MATCHED (đã ghép Carrier)</t>
  </si>
  <si>
    <t xml:space="preserve">1. Carrier bấm "Tôi đã lấy hàng" → đơn chuyển IN_TRANSIT
2. Đăng nhập tài khoản Sender, mở màn Thông báo
3. Đăng nhập tài khoản Receiver, mở màn Thông báo</t>
  </si>
  <si>
    <t xml:space="preserve">2. Sender nhận thông báo "Người vận chuyển đã lấy hàng và bắt đầu giao"
3. Receiver nhận thông báo "Người vận chuyển đã lấy hàng và bắt đầu giao"</t>
  </si>
  <si>
    <t xml:space="preserve">Technique: ST-MATCHED-IN_TRANSIT (valid transition, 1/3)</t>
  </si>
  <si>
    <t xml:space="preserve">DOC-v1.0-01 §D1b (US-D09) + §D6 (NTF)</t>
  </si>
  <si>
    <t xml:space="preserve">Check KHÔNG phát sinh thông báo "Đơn đã được giao" khi Carrier bỏ qua bước "Đã lấy hàng"</t>
  </si>
  <si>
    <t xml:space="preserve">Đơn đang ở trạng thái MATCHED (đã ghép, Carrier CHƯA bấm "Tôi đã lấy hàng")</t>
  </si>
  <si>
    <t xml:space="preserve">1. Carrier cố thực hiện "Đã giao cho người nhận" khi đơn còn đang MATCHED
2. Mở màn Thông báo của Sender và của Receiver</t>
  </si>
  <si>
    <t xml:space="preserve">2. Cả Sender và Receiver đều KHÔNG nhận được thông báo "Đơn đã được giao" — danh sách thông báo không phát sinh item mới nào cho sự kiện này</t>
  </si>
  <si>
    <t xml:space="preserve">Technique: ST-invalid-MATCHED-DELIVERED (chỉ assert vế THÔNG BÁO) | Dedupe: vế chặn transition + trạng thái nút trên màn Theo dõi đơn đã cover tại TC_07.16 (SC-DLV-006) — không lặp lại ở sheet Thông báo | Viết lại 2026-07-30 theo finding review-tc m8 (R4-08)</t>
  </si>
  <si>
    <t xml:space="preserve">Check Receiver và Sender nhận đúng thông báo khi Carrier xác nhận đã giao hàng</t>
  </si>
  <si>
    <t xml:space="preserve">Đơn đang ở trạng thái IN_TRANSIT</t>
  </si>
  <si>
    <t xml:space="preserve">1. Carrier bấm "Đã giao cho người nhận" → đơn chuyển DELIVERED
2. Đăng nhập tài khoản Receiver, mở màn Thông báo
3. Đăng nhập tài khoản Sender, mở màn Thông báo</t>
  </si>
  <si>
    <t xml:space="preserve">2. Receiver nhận thông báo "Đơn đã được giao — vui lòng xác nhận đã nhận hàng"
3. Sender nhận thông báo "Đơn đã được giao — vui lòng xác nhận đã nhận hàng"</t>
  </si>
  <si>
    <t xml:space="preserve">Technique: ST-IN_TRANSIT-DELIVERED (valid transition, 2/3)</t>
  </si>
  <si>
    <t xml:space="preserve">DOC-v1.0-01 §A5 (BR-CNF-04) + §D6 (NTF)</t>
  </si>
  <si>
    <t xml:space="preserve">Check KHÔNG phát sinh thông báo "Đơn đã hoàn tất" khi Receiver xác nhận lúc đơn chưa "Đã giao"</t>
  </si>
  <si>
    <t xml:space="preserve">Đơn đang ở trạng thái MATCHED hoặc IN_TRANSIT (chưa DELIVERED)</t>
  </si>
  <si>
    <t xml:space="preserve">1. Receiver cố thực hiện "Xác nhận đã nhận hàng" khi đơn chưa DELIVERED
2. Mở màn Thông báo của Sender và của Carrier</t>
  </si>
  <si>
    <t xml:space="preserve">2. Cả Sender và Carrier đều KHÔNG nhận được thông báo "Đơn đã hoàn tất — cảm ơn bạn" — danh sách thông báo không phát sinh item mới nào cho sự kiện này</t>
  </si>
  <si>
    <t xml:space="preserve">Technique: ST-invalid-notDELIVERED-COMPLETED (chỉ assert vế THÔNG BÁO) | Dedupe: vế nút "Xác nhận đã nhận hàng" bị động ở 3 trạng thái đã cover tại TC_07.8/TC_07.9/TC_07.10 (SC-DLV-005) — không lặp lại ở sheet Thông báo | Viết lại 2026-07-30 theo finding review-tc m8 (R4-08)</t>
  </si>
  <si>
    <t xml:space="preserve">Check Sender và Carrier nhận đúng thông báo khi Receiver xác nhận đã nhận hàng (hoàn tất)</t>
  </si>
  <si>
    <t xml:space="preserve">Đơn đang ở trạng thái DELIVERED</t>
  </si>
  <si>
    <t xml:space="preserve">1. Receiver bấm "Xác nhận đã nhận hàng" → đơn chuyển COMPLETED
2. Đăng nhập tài khoản Sender, mở màn Thông báo
3. Đăng nhập tài khoản Carrier, mở màn Thông báo</t>
  </si>
  <si>
    <t xml:space="preserve">2. Sender nhận thông báo "Đơn đã hoàn tất — cảm ơn bạn!"
3. Carrier nhận thông báo "Đơn đã hoàn tất — cảm ơn bạn!"</t>
  </si>
  <si>
    <t xml:space="preserve">Technique: ST-DELIVERED-COMPLETED (valid transition, 3/3) | Biến thể Figma (DOC-v1.0-04) gắn kèm lời mời đánh giá "Hãy đánh giá [Carrier]..." — rating đã Resolved Deferred, out of scope v1.0 (C-GIFT-01); KHÔNG assert phần đánh giá, chỉ verify nội dung hoàn tất theo baseline BA (D6)</t>
  </si>
  <si>
    <t xml:space="preserve">REQ-NTF-001, REQ-GIFT-001</t>
  </si>
  <si>
    <t xml:space="preserve">Check Carrier nhận đúng thông báo khi Sender gửi quà cảm ơn</t>
  </si>
  <si>
    <t xml:space="preserve">Đơn đã ở trạng thái COMPLETED</t>
  </si>
  <si>
    <t xml:space="preserve">1. Sender chọn 1 trong 4 loại quà (bông hoa/ly cà phê/gấu bông/vương miện) và gửi tặng Carrier
2. Đăng nhập tài khoản Carrier, mở màn Thông báo</t>
  </si>
  <si>
    <t xml:space="preserve">2. Carrier nhận 1 thông báo mới, title "Bạn nhận được một món quà cảm ơn 🎁", nội dung "Đồng Công Chí Linh đã gửi tặng bạn một món quà vì đã giúp giao hàng. Mở trang cá nhân để xem."</t>
  </si>
  <si>
    <t xml:space="preserve">Technique: N/A — 0-dim trong phạm vi SC này (1 case duy nhất; biến thể 4 loại quà không ảnh hưởng nội dung thông báo — thuộc scope REQ-GIFT-001)</t>
  </si>
  <si>
    <t xml:space="preserve">Check các bên còn lại nhận đúng thông báo khi Carrier huỷ đơn (kèm lý do)</t>
  </si>
  <si>
    <t xml:space="preserve">Đơn đang ở trạng thái có thể huỷ (vd MATCHED/IN_TRANSIT), có ≥2 bên liên quan ngoài người huỷ</t>
  </si>
  <si>
    <t xml:space="preserve">1. Carrier thực hiện huỷ đơn, nhập lý do "bận họp gấp"
2. Đăng nhập tài khoản Sender (1 trong các bên còn lại), mở màn Thông báo</t>
  </si>
  <si>
    <t xml:space="preserve">2. Sender nhận 1 thông báo mới nêu rõ vai trò người huỷ + lý do, tương đương "Đơn của bạn đã bị người vận chuyển huỷ" — "Lý do: "bận họp gấp". Đơn đang chờ người vận chuyển mới nhận giúp."</t>
  </si>
  <si>
    <t xml:space="preserve">Technique: EP-huỷ-bởi-Carrier (actor-partition, 1/3) | Nội dung verbatim theo DOC-v1.0-04 (cụ thể hơn baseline BA D6)</t>
  </si>
  <si>
    <t xml:space="preserve">DOC-v1.0-01 §D6 + DOC-v1.0-04 · Chờ BA — C-NTF-01 (Open)</t>
  </si>
  <si>
    <t xml:space="preserve">Check các bên còn lại nhận đúng thông báo khi Sender huỷ đơn (kèm lý do)</t>
  </si>
  <si>
    <t xml:space="preserve">Đơn đang ở trạng thái có thể huỷ (vd MATCHED/IN_TRANSIT)</t>
  </si>
  <si>
    <t xml:space="preserve">1. Sender thực hiện huỷ đơn, nhập lý do "đổi ý không gửi nữa"
2. Đăng nhập tài khoản Carrier (1 trong các bên còn lại), mở màn Thông báo</t>
  </si>
  <si>
    <t xml:space="preserve">2. Carrier nhận 1 thông báo mới nêu rõ vai trò người huỷ là "người gửi" + lý do "đổi ý không gửi nữa"</t>
  </si>
  <si>
    <t xml:space="preserve">Technique: EP-huỷ-bởi-Sender (actor-partition, 2/3) | Chưa có ảnh Figma xác nhận câu chữ khi Sender huỷ (chỉ có ảnh cho case Carrier huỷ) — dùng khung baseline BA D6 "Đơn đã bị huỷ bởi [vai trò]", thay [vai trò]="người gửi"</t>
  </si>
  <si>
    <t xml:space="preserve">Check các bên còn lại nhận đúng thông báo khi Receiver huỷ đơn (kèm lý do)</t>
  </si>
  <si>
    <t xml:space="preserve">Đơn đang ở trạng thái có thể huỷ, có luồng cho phép Receiver huỷ (theo rule module CNL)</t>
  </si>
  <si>
    <t xml:space="preserve">1. Receiver thực hiện huỷ đơn, nhập lý do "đổi địa chỉ nhận"
2. Đăng nhập tài khoản Sender (1 trong các bên còn lại), mở màn Thông báo</t>
  </si>
  <si>
    <t xml:space="preserve">2. Sender nhận 1 thông báo mới nêu rõ vai trò người huỷ là "người nhận" + lý do "đổi địa chỉ nhận"</t>
  </si>
  <si>
    <t xml:space="preserve">Technique: EP-huỷ-bởi-Receiver (actor-partition, 3/3) | Chưa có ảnh Figma xác nhận câu chữ khi Receiver huỷ; đối chiếu quyền huỷ của Receiver theo rule module CNL trước khi thực thi TC này</t>
  </si>
  <si>
    <t xml:space="preserve">Check Sender nhận đúng thông báo khi tin đăng quá hạn chưa ghép</t>
  </si>
  <si>
    <t xml:space="preserve">Sender có tin NEED ở trạng thái POSTED, đã quá "Đến ngày" mà chưa có Carrier nhận</t>
  </si>
  <si>
    <t xml:space="preserve">1. Để tin NEED quá "Đến ngày" đã chọn mà không có Carrier nhận → hệ thống tự chuyển EXPIRED
2. Đăng nhập tài khoản Sender, mở màn Thông báo</t>
  </si>
  <si>
    <t xml:space="preserve">2. Sender nhận 1 thông báo mới, nội dung "Tin của bạn đã quá hạn — gỡ hoặc đăng lại nếu vẫn cần"</t>
  </si>
  <si>
    <t xml:space="preserve">Technique: EP-quá-hạn (actor-partition thứ 2 trong SC-NTF-005, cặp với nhóm EP-huỷ)</t>
  </si>
  <si>
    <t xml:space="preserve">Block Nội dung thực tế trên UI</t>
  </si>
  <si>
    <t xml:space="preserve">DOC-v1.0-04, DOC-v1.0-02</t>
  </si>
  <si>
    <t xml:space="preserve">Check đầy đủ + đúng cấu trúc hiển thị màn Thông báo (header, nhóm thời gian, card, nút Đánh dấu đã đọc)</t>
  </si>
  <si>
    <t xml:space="preserve">Có ≥2 thông báo thuộc ít nhất 2 mốc thời gian khác nhau (vd 1 thông báo "Hôm nay", 1 thông báo "Hôm qua"), trong đó có ≥1 thông báo chưa đọc</t>
  </si>
  <si>
    <t xml:space="preserve">1. Mở app FoxEco → bấm icon chuông ở Header → vào màn Thông báo
2. Quan sát tổng thể màn hình
3. Quan sát 1 card thông báo bất kỳ (đã có dữ liệu)</t>
  </si>
  <si>
    <t xml:space="preserve">2. Hiển thị đủ: (1) Header text "Thông báo", (2) nút "Đánh dấu đã đọc" ở góc phải, (3) danh sách nhóm theo mốc thời gian "HÔM NAY"/"HÔM QUA"
3. Mỗi card thông báo hiển thị đủ 4 phần tử: icon, title, nội dung, thời gian tương đối (vd "5 phút trước"); thông báo chưa đọc có chấm đỏ, thông báo đã đọc không có chấm đỏ</t>
  </si>
  <si>
    <t xml:space="preserve">Field/column completeness check — auto-derived (xem generate.md Step 3b) | Technique: N/A — derived từ Step 3b, không thuộc rubric per-scenario</t>
  </si>
  <si>
    <t xml:space="preserve">Check icon quay lại tại màn Thông báo</t>
  </si>
  <si>
    <t xml:space="preserve">Đã đăng nhập app FoxEco, đang ở Trang chủ</t>
  </si>
  <si>
    <t xml:space="preserve">1. Mở app FoxEco
2. Bấm icon chuông tại Header (ở Trang chủ) để mở màn Thông báo
3. Bấm icon quay lại (←) ở Header</t>
  </si>
  <si>
    <t xml:space="preserve">3. Điều hướng đúng về màn đã mở Thông báo từ đó (Trang chủ)</t>
  </si>
  <si>
    <t xml:space="preserve">Technique: EP-back-icon. Bổ sung 2026-07-30 theo yêu cầu user (QA GiangDC2 xác nhận trực tiếp trên app STG: icon quay lại tồn tại và hoạt động đúng ở màn này) — phát hiện khi quét lại toàn bộ TC-MASTER, kiểm tra completeness icon Back cho từng màn hình.</t>
  </si>
  <si>
    <t xml:space="preserve">Block Empty state (không có thông báo nào)</t>
  </si>
  <si>
    <t xml:space="preserve">Check hiển thị đúng khi màn Thông báo chưa có thông báo nào</t>
  </si>
  <si>
    <t xml:space="preserve">Tài khoản chưa từng phát sinh sự kiện thông báo nào (danh sách Thông báo rỗng)</t>
  </si>
  <si>
    <t xml:space="preserve">1. Đăng nhập tài khoản chưa có thông báo nào
2. Mở màn Thông báo (icon chuông ở Header)</t>
  </si>
  <si>
    <t xml:space="preserve">2. Hiển thị icon chuông + text "Chưa có thông báo nào"</t>
  </si>
  <si>
    <t xml:space="preserve">Text đã được xác nhận bằng ảnh chụp thật app STG (2026-07-31), thay thế bản placeholder generic "Hiện tại chưa có dữ liệu" — mở rộng phạm vi C-ORD-06 sang màn Thông báo — Resolved | Technique: N/A — 0-dim (pure display state, không input/range/condition/param trong phạm vi SC này)</t>
  </si>
  <si>
    <t xml:space="preserve">Block Đánh dấu đã đọc</t>
  </si>
  <si>
    <t xml:space="preserve">DOC-v1.0-04 + DOC-v1.0-08 · C-NTF-03 (Open)</t>
  </si>
  <si>
    <t xml:space="preserve">Check bấm vào 1 thông báo cụ thể chuyển đúng trạng thái đã đọc (không ảnh hưởng thông báo khác)</t>
  </si>
  <si>
    <t xml:space="preserve">Có ≥2 thông báo chưa đọc (chấm đỏ): thông báo A và thông báo B</t>
  </si>
  <si>
    <t xml:space="preserve">1. Mở màn Thông báo, xác nhận thông báo A và B đều đang chưa đọc (có chấm đỏ)
2. Bấm vào thông báo A</t>
  </si>
  <si>
    <t xml:space="preserve">2. Thông báo A chuyển đã đọc (chấm đỏ biến mất); thông báo B vẫn giữ nguyên trạng thái chưa đọc (chấm đỏ còn)</t>
  </si>
  <si>
    <t xml:space="preserve">Technique: ST-unread-read (valid, tap-single) | Hành vi suy luận theo UX chuẩn — C-NTF-03 (Open), cần BA/Dev confirm cơ chế thật</t>
  </si>
  <si>
    <t xml:space="preserve">Check bấm nút "Đánh dấu đã đọc" chuyển TẤT CẢ thông báo sang đã đọc</t>
  </si>
  <si>
    <t xml:space="preserve">Có ≥2 thông báo chưa đọc (chấm đỏ)</t>
  </si>
  <si>
    <t xml:space="preserve">1. Mở màn Thông báo, xác nhận có ≥2 thông báo chưa đọc
2. Bấm nút "Đánh dấu đã đọc" ở góc phải header</t>
  </si>
  <si>
    <t xml:space="preserve">2. TẤT CẢ thông báo trong danh sách chuyển đã đọc, không còn chấm đỏ nào</t>
  </si>
  <si>
    <t xml:space="preserve">Technique: ST-unread-read (valid, mark-all) | Hành vi suy luận theo UX chuẩn — C-NTF-03 (Open), cần BA/Dev confirm cơ chế thật</t>
  </si>
  <si>
    <t xml:space="preserve">DOC-v1.0-08 · C-NTF-03 (Open)</t>
  </si>
  <si>
    <t xml:space="preserve">Check bấm vào 1 thông báo ĐÃ đọc không gây lỗi và không đổi trạng thái thông báo khác</t>
  </si>
  <si>
    <t xml:space="preserve">Có ≥1 thông báo đã ở trạng thái đã đọc (không chấm đỏ)</t>
  </si>
  <si>
    <t xml:space="preserve">1. Mở màn Thông báo, xác định 1 thông báo đã đọc
2. Bấm vào thông báo đã đọc đó</t>
  </si>
  <si>
    <t xml:space="preserve">2. Không có lỗi/crash; thông báo vẫn ở trạng thái đã đọc; các thông báo khác không đổi trạng thái</t>
  </si>
  <si>
    <t xml:space="preserve">Technique: ST-invalid(idempotent)-read-read (tap case) | C-NTF-03 (Open)</t>
  </si>
  <si>
    <t xml:space="preserve">Check bấm nút "Đánh dấu đã đọc" khi TOÀN BỘ thông báo đã đọc không gây lỗi</t>
  </si>
  <si>
    <t xml:space="preserve">Toàn bộ thông báo trong danh sách đã ở trạng thái đã đọc (không còn chấm đỏ nào)</t>
  </si>
  <si>
    <t xml:space="preserve">1. Mở màn Thông báo, xác nhận không còn chấm đỏ nào
2. Bấm nút "Đánh dấu đã đọc"</t>
  </si>
  <si>
    <t xml:space="preserve">2. Không có lỗi/crash; danh sách giữ nguyên trạng thái đã đọc</t>
  </si>
  <si>
    <t xml:space="preserve">Technique: ST-invalid(idempotent)-read-read (mark-all case) | C-NTF-03 (Open)</t>
  </si>
  <si>
    <t xml:space="preserve">Block Load thêm dữ liệu (Scroll / Pagination)</t>
  </si>
  <si>
    <t xml:space="preserve">DOC-v1.0-05 · C-NTF-03 Resolved (cơ chế phân trang)</t>
  </si>
  <si>
    <t xml:space="preserve">Check load đúng batch dữ liệu đầu tiên khi mới mở màn Thông báo</t>
  </si>
  <si>
    <t xml:space="preserve">Có nhiều hơn 1 "trang" dữ liệu thông báo (vd &gt; 20 thông báo tổng)</t>
  </si>
  <si>
    <t xml:space="preserve">1. Mở màn Thông báo lần đầu (chưa scroll)</t>
  </si>
  <si>
    <t xml:space="preserve">1. Hiển thị đúng batch thông báo đầu tiên (mới nhất trước), sắp xếp đúng nhóm Hôm nay/Hôm qua, chưa load các thông báo cũ hơn thuộc trang sau</t>
  </si>
  <si>
    <t xml:space="preserve">Technique: BVA-page1 (initial load) | Cơ chế phân trang — C-NTF-03 (Resolved, QA xác nhận đúng UI thật 2026-07-28)</t>
  </si>
  <si>
    <t xml:space="preserve">UI nền tảng (scroll-load) · DOC-v1.0-08 · C-NTF-03 (Open)</t>
  </si>
  <si>
    <t xml:space="preserve">Check scroll xuống cuối danh sách hiện tại tự động load thêm batch tiếp theo</t>
  </si>
  <si>
    <t xml:space="preserve">Đã ở màn Thông báo với batch đầu tiên hiển thị, còn dữ liệu cũ hơn chưa load</t>
  </si>
  <si>
    <t xml:space="preserve">1. Scroll xuống tới cuối danh sách đang hiển thị</t>
  </si>
  <si>
    <t xml:space="preserve">1. Hệ thống tự động load thêm batch thông báo cũ hơn tiếp theo, nối liền danh sách hiện tại, không trùng lặp thông báo đã hiển thị trước đó</t>
  </si>
  <si>
    <t xml:space="preserve">Technique: BVA-page2 (load-more) | C-NTF-03 (Open)</t>
  </si>
  <si>
    <t xml:space="preserve">Check khi đã load hết toàn bộ dữ liệu, hiển thị rõ ràng không còn gì để load thêm</t>
  </si>
  <si>
    <t xml:space="preserve">Đã scroll load hết toàn bộ thông báo (không còn dữ liệu cũ hơn)</t>
  </si>
  <si>
    <t xml:space="preserve">1. Scroll tới cuối danh sách khi đã ở batch cuối cùng</t>
  </si>
  <si>
    <t xml:space="preserve">1. Không xuất hiện loading spinner treo mãi; hệ thống nhận biết đã hết dữ liệu (không gọi thêm request load)</t>
  </si>
  <si>
    <t xml:space="preserve">Technique: BVA-last-page | C-NTF-03 (Open)</t>
  </si>
  <si>
    <t xml:space="preserve">Check tiếp tục scroll sau khi đã hết dữ liệu không gây lỗi/trùng lặp</t>
  </si>
  <si>
    <t xml:space="preserve">Đã load hết toàn bộ dữ liệu thông báo (như TC load hết dữ liệu)</t>
  </si>
  <si>
    <t xml:space="preserve">1. Tiếp tục kéo/scroll thêm nhiều lần sau khi đã hết dữ liệu</t>
  </si>
  <si>
    <t xml:space="preserve">1. Không có thông báo bị lặp lại trong danh sách; không phát sinh lỗi/crash/treo app</t>
  </si>
  <si>
    <t xml:space="preserve">Technique: BVA-max+1 (over-scroll) | C-NTF-03 (Open)</t>
  </si>
  <si>
    <t xml:space="preserve">Check mất kết nối mạng đúng lúc đang load thêm dữ liệu không làm mất dữ liệu đã hiển thị</t>
  </si>
  <si>
    <t xml:space="preserve">Đang trong quá trình scroll load thêm batch tiếp theo</t>
  </si>
  <si>
    <t xml:space="preserve">1. Ngắt kết nối mạng đúng lúc hệ thống đang load thêm dữ liệu (giữa lúc scroll)
2. Quan sát màn Thông báo</t>
  </si>
  <si>
    <t xml:space="preserve">2. Hiển thị thông báo lỗi/cho phép thử lại (không crash); danh sách thông báo đã load trước đó KHÔNG bị mất/xoá</t>
  </si>
  <si>
    <t xml:space="preserve">Technique: EP-network-error (edge case khi load thêm) | C-NTF-03 (Open)</t>
  </si>
  <si>
    <t xml:space="preserve">Block Kiểm soát nội dung push (OPR-07)</t>
  </si>
  <si>
    <t xml:space="preserve">DOC-v1.0-01 §D7 (OPR-07)</t>
  </si>
  <si>
    <t xml:space="preserve">Check nội dung push "SĐT đã lộ" (NTF-01) KHÔNG hiển thị số điện thoại</t>
  </si>
  <si>
    <t xml:space="preserve">Đơn vừa chuyển MATCHED (Carrier bấm "Tôi mang giúp được"), SĐT 2 bên đã lộ TRONG APP (theo REQ-ASN-002/003)</t>
  </si>
  <si>
    <t xml:space="preserve">1. Trigger sự kiện ghép đơn (Carrier bấm "Tôi mang giúp được")
2. Quan sát nội dung push notification "SĐT đã lộ" hiển thị trên thiết bị (title + body), KHÔNG mở app
3. Đối chiếu text với SĐT thật của bên còn lại</t>
  </si>
  <si>
    <t xml:space="preserve">3. Title và body của push notification KHÔNG chứa chuỗi số điện thoại (dạng số hoặc định dạng SĐT) của bên còn lại — SĐT chỉ xem được sau khi bấm vào thông báo để mở app</t>
  </si>
  <si>
    <t xml:space="preserve">Technique: EP-push-content-hidden (baseline) | ⚠ Chưa có ảnh/bằng chứng UI cho nội dung push thật (không có trong DOC-v1.0-04) — TC assert theo đúng RULE (OPR-07), cần vibe-test xác nhận nội dung push thật trên thiết bị trước khi coi Expected là final. Test riêng biệt với SC-ASN-003 (SĐT không lộ TRONG APP trước khi ghép) — TC này test tầng NỘI DUNG PUSH, khác bề mặt.</t>
  </si>
  <si>
    <t xml:space="preserve">Check nội dung push ở mốc sau (NTF-04 "Đã lấy hàng") vẫn KHÔNG hiển thị SĐT</t>
  </si>
  <si>
    <t xml:space="preserve">Đơn đã MATCHED từ trước, Carrier vừa bấm "Tôi đã lấy hàng"</t>
  </si>
  <si>
    <t xml:space="preserve">1. Carrier bấm "Tôi đã lấy hàng" trên đơn đã MATCHED
2. Quan sát nội dung push notification tương ứng (NTF-04) trên thiết bị, KHÔNG mở app
3. Đối chiếu text với SĐT thật của 2 bên</t>
  </si>
  <si>
    <t xml:space="preserve">3. Title và body của push notification KHÔNG chứa SĐT của bất kỳ bên nào</t>
  </si>
  <si>
    <t xml:space="preserve">Technique: EP-push-content-hidden-later-lifecycle | Đối chứng cho TC trước (mốc vừa ghép) — xác nhận rule không chỉ áp dụng tại thời điểm MATCHED mà xuyên suốt các mốc thông báo khác. Cùng cảnh báo cần vibe-test như TC trước.</t>
  </si>
  <si>
    <t xml:space="preserve">Block Click thông báo → điều hướng (NEW 2026-07-31)</t>
  </si>
  <si>
    <t xml:space="preserve">Check bấm thông báo "Đã có người nhận mang giúp" điều hướng đúng sang Theo dõi đơn</t>
  </si>
  <si>
    <t xml:space="preserve">Sender đang có 1 thông báo "Đã có người nhận mang giúp" trong danh sách Thông báo</t>
  </si>
  <si>
    <t xml:space="preserve">1. Đăng nhập vai trò Sender
2. Mở màn Thông báo (icon chuông ở Header)
3. Bấm vào thông báo "Đã có người nhận mang giúp"</t>
  </si>
  <si>
    <t xml:space="preserve">3. Điều hướng đúng sang màn "Theo dõi đơn"</t>
  </si>
  <si>
    <t xml:space="preserve">Technique: N/A — display/navigation-only (giống pattern TC icon Back, xem TC_03.18). Bổ sung 2026-07-31 theo yêu cầu user — mở rộng SC-NTF-00X với hành vi tap → điều hướng, trước đây scenario chỉ test nội dung thông báo, chưa test hành vi tap. (đích: Theo dõi đơn, SC-NTF-001) | DOC Source = DOC-v1.0-06 nhưng LƯU Ý: đây là baseline làm việc qua chat, C-NTF-01 (danh sách chính thức 9 loại thông báo) vẫn Open — chưa phải câu trả lời chốt cuối cùng của BA.</t>
  </si>
  <si>
    <t xml:space="preserve">Check bấm thông báo "Ghép thành công" điều hướng đúng sang Theo dõi đơn</t>
  </si>
  <si>
    <t xml:space="preserve">Đang có 1 thông báo "Ghép thành công" (hoặc "Đã có người nhận mang giúp") trong danh sách Thông báo</t>
  </si>
  <si>
    <t xml:space="preserve">1. Đăng nhập vai trò Sender/Receiver
2. Mở màn Thông báo (icon chuông ở Header)
3. Bấm vào thông báo "Ghép thành công"</t>
  </si>
  <si>
    <t xml:space="preserve">Check bấm thông báo "Đơn gửi tới bạn đã có người vận chuyển" điều hướng đúng sang Theo dõi đơn</t>
  </si>
  <si>
    <t xml:space="preserve">Receiver đang có 1 thông báo "Đơn gửi tới bạn đã có người vận chuyển" trong danh sách Thông báo</t>
  </si>
  <si>
    <t xml:space="preserve">1. Đăng nhập vai trò Receiver
2. Mở màn Thông báo (icon chuông ở Header)
3. Bấm vào thông báo "Đơn gửi tới bạn đã có người vận chuyển"</t>
  </si>
  <si>
    <t xml:space="preserve">Check bấm thông báo "Tìm thấy đơn hàng phù hợp tuyến đường" điều hướng đúng sang Chi tiết tin</t>
  </si>
  <si>
    <t xml:space="preserve">Carrier đang có 1 thông báo "Tìm thấy đơn hàng phù hợp tuyến đường" trong danh sách Thông báo</t>
  </si>
  <si>
    <t xml:space="preserve">1. Đăng nhập vai trò Carrier
2. Mở màn Thông báo (icon chuông ở Header)
3. Bấm vào thông báo "Tìm thấy đơn hàng phù hợp tuyến đường"</t>
  </si>
  <si>
    <t xml:space="preserve">3. Điều hướng đúng sang màn "Chi tiết tin"</t>
  </si>
  <si>
    <t xml:space="preserve">Technique: N/A — display/navigation-only (giống pattern TC icon Back, xem TC_03.18). Bổ sung 2026-07-31 theo yêu cầu user — mở rộng SC-NTF-00X với hành vi tap → điều hướng, trước đây scenario chỉ test nội dung thông báo, chưa test hành vi tap. (đích: Chi tiết tin, SC-NTF-002) | DOC Source = DOC-v1.0-06 nhưng LƯU Ý: đây là baseline làm việc qua chat, C-NTF-01 (danh sách chính thức 9 loại thông báo) vẫn Open — chưa phải câu trả lời chốt cuối cùng của BA.</t>
  </si>
  <si>
    <t xml:space="preserve">Check bấm thông báo "Người vận chuyển đã lấy hàng" điều hướng đúng sang Theo dõi đơn</t>
  </si>
  <si>
    <t xml:space="preserve">Sender/Receiver đang có 1 thông báo "Người vận chuyển đã lấy hàng" trong danh sách Thông báo</t>
  </si>
  <si>
    <t xml:space="preserve">1. Đăng nhập vai trò Sender/Receiver
2. Mở màn Thông báo (icon chuông ở Header)
3. Bấm vào thông báo "Người vận chuyển đã lấy hàng"</t>
  </si>
  <si>
    <t xml:space="preserve">Technique: N/A — display/navigation-only (giống pattern TC icon Back, xem TC_03.18). Bổ sung 2026-07-31 theo yêu cầu user — mở rộng SC-NTF-00X với hành vi tap → điều hướng, trước đây scenario chỉ test nội dung thông báo, chưa test hành vi tap. (đích: Theo dõi đơn, SC-NTF-003) | DOC Source = DOC-v1.0-06 nhưng LƯU Ý: đây là baseline làm việc qua chat, C-NTF-01 (danh sách chính thức 9 loại thông báo) vẫn Open — chưa phải câu trả lời chốt cuối cùng của BA.</t>
  </si>
  <si>
    <t xml:space="preserve">Check bấm thông báo "Đơn đã được giao - vui lòng xác nhận đã nhận hàng" điều hướng đúng sang Theo dõi đơn</t>
  </si>
  <si>
    <t xml:space="preserve">Receiver đang có 1 thông báo "Đơn đã được giao - vui lòng xác nhận đã nhận hàng" trong danh sách Thông báo</t>
  </si>
  <si>
    <t xml:space="preserve">1. Đăng nhập vai trò Receiver
2. Mở màn Thông báo (icon chuông ở Header)
3. Bấm vào thông báo "Đơn đã được giao - vui lòng xác nhận đã nhận hàng"</t>
  </si>
  <si>
    <t xml:space="preserve">Check bấm thông báo "Đơn đã hoàn tất - cảm ơn bạn" điều hướng đúng sang Theo dõi đơn</t>
  </si>
  <si>
    <t xml:space="preserve">Sender/Carrier đang có 1 thông báo "Đơn đã hoàn tất - cảm ơn bạn" trong danh sách Thông báo</t>
  </si>
  <si>
    <t xml:space="preserve">1. Đăng nhập vai trò Sender/Carrier
2. Mở màn Thông báo (icon chuông ở Header)
3. Bấm vào thông báo "Đơn đã hoàn tất - cảm ơn bạn"</t>
  </si>
  <si>
    <t xml:space="preserve">Check bấm thông báo "Bạn nhận được 1 món quà cảm ơn" điều hướng đúng sang màn "Quà đã nhận"</t>
  </si>
  <si>
    <t xml:space="preserve">Carrier đang có 1 thông báo "Bạn nhận được 1 món quà cảm ơn" trong danh sách Thông báo</t>
  </si>
  <si>
    <t xml:space="preserve">1. Đăng nhập vai trò Carrier
2. Mở màn Thông báo (icon chuông ở Header)
3. Bấm vào thông báo "Bạn nhận được 1 món quà cảm ơn"</t>
  </si>
  <si>
    <t xml:space="preserve">3. Điều hướng đúng sang màn "Quà đã nhận"</t>
  </si>
  <si>
    <t xml:space="preserve">Technique: N/A — display/navigation-only (giống pattern TC icon Back, xem TC_03.18). Bổ sung 2026-07-31 theo yêu cầu user — mở rộng SC-NTF-00X với hành vi tap → điều hướng, trước đây scenario chỉ test nội dung thông báo, chưa test hành vi tap. (đích: Quà đã nhận, SC-NTF-004) | DOC Source = DOC-v1.0-06 nhưng LƯU Ý: đây là baseline làm việc qua chat, C-NTF-01 (danh sách chính thức 9 loại thông báo) vẫn Open — chưa phải câu trả lời chốt cuối cùng của BA.</t>
  </si>
  <si>
    <t xml:space="preserve">Check bấm thông báo "Đơn đã bị huỷ" điều hướng đúng sang Theo dõi đơn</t>
  </si>
  <si>
    <t xml:space="preserve">Các bên còn lại đang có 1 thông báo "Đơn đã bị huỷ" trong danh sách Thông báo</t>
  </si>
  <si>
    <t xml:space="preserve">1. Đăng nhập vai trò Sender/Receiver/Carrier còn lại
2. Mở màn Thông báo (icon chuông ở Header)
3. Bấm vào thông báo "Đơn đã bị huỷ"</t>
  </si>
  <si>
    <t xml:space="preserve">Technique: N/A — display/navigation-only (giống pattern TC icon Back, xem TC_03.18). Bổ sung 2026-07-31 theo yêu cầu user — mở rộng SC-NTF-00X với hành vi tap → điều hướng, trước đây scenario chỉ test nội dung thông báo, chưa test hành vi tap. (đích: Theo dõi đơn, SC-NTF-005) | DOC Source = DOC-v1.0-06 nhưng LƯU Ý: đây là baseline làm việc qua chat, C-NTF-01 (danh sách chính thức 9 loại thông báo) vẫn Open — chưa phải câu trả lời chốt cuối cùng của BA.</t>
  </si>
  <si>
    <t xml:space="preserve">Đăng tin mới (chọn vai trò)</t>
  </si>
  <si>
    <t xml:space="preserve">Block 2 lựa chọn</t>
  </si>
  <si>
    <t xml:space="preserve">REQ-ORD-001, REQ-ORD-002</t>
  </si>
  <si>
    <t xml:space="preserve">DOC-v1.0-02, DOC-v1.0-04</t>
  </si>
  <si>
    <t xml:space="preserve">Check đầy đủ 5 thành phần hiển thị tại màn 'Đăng tin mới'</t>
  </si>
  <si>
    <t xml:space="preserve">Đã đăng nhập, đang ở màn 'Đăng tin mới', MỚI/SẠCH</t>
  </si>
  <si>
    <t xml:space="preserve">1. Quan sát toàn bộ màn 'Đăng tin mới'</t>
  </si>
  <si>
    <t xml:space="preserve">1. Hiển thị đủ 5 thành phần theo đúng thứ tự:
(1) subtitle 'Bạn muốn làm gì?'
(2) card 'Tôi cần gửi hàng' (icon hộp cam, mô tả 'Bạn có hàng cần gửi, tìm đồng nghiệp đi thuận đường mang hộ.')
(3) card 'Tôi nhận giao hàng' (icon route tím, mô tả 'Bạn đang có nhu cầu di chuyển và có thể nhận giao hàng giúp cho đồng nghiệp')
(4) banner cam kết (nền vàng nhạt, icon ⓘ) 'App không thu phí, không chat, không thanh toán. Sau khi ghép, SĐT hai bên sẽ được lộ để liên hệ ngoài app.'
(5) 2 card bấm được (chạm vào vùng card, không chỉ riêng nút)</t>
  </si>
  <si>
    <t xml:space="preserve">Field/column completeness check — auto-derived (xem generate.md Step 3b) — nguồn ảnh Figma DOC-v1.0-04 hash f821ba3087b8cc6e8065fbde6e327274d34482b2</t>
  </si>
  <si>
    <t xml:space="preserve">Check chọn 'Tôi cần gửi hàng' chuyển sang Wizard đăng tin Bước 1/3</t>
  </si>
  <si>
    <t xml:space="preserve">Đã đăng nhập, đang ở màn 'Đăng tin mới'</t>
  </si>
  <si>
    <t xml:space="preserve">1. Bấm 'Tôi cần gửi hàng'</t>
  </si>
  <si>
    <t xml:space="preserve">1. Chuyển sang màn Wizard đăng tin Bước 1/3 (Thông tin hàng)</t>
  </si>
  <si>
    <t xml:space="preserve">Check chọn 'Tôi nhận giao hàng' chuyển sang Form đăng ký tuyến (OFFER)</t>
  </si>
  <si>
    <t xml:space="preserve">1. Bấm 'Tôi nhận giao hàng'</t>
  </si>
  <si>
    <t xml:space="preserve">1. Chuyển sang màn Form đăng ký tuyến 1 bước (OFFER), KHÔNG qua wizard nhiều bước</t>
  </si>
  <si>
    <t xml:space="preserve">Check icon quay lại/đóng tại màn "Đăng tin mới"</t>
  </si>
  <si>
    <t xml:space="preserve">Đã đăng nhập, đang ở Trang chủ</t>
  </si>
  <si>
    <t xml:space="preserve">1. Mở app FoxEco, đang ở Trang chủ
2. Bấm nút [+] (Đăng tin) tại bottom nav để mở màn "Đăng tin mới"
3. Bấm icon quay lại/đóng (←) ở Header</t>
  </si>
  <si>
    <t xml:space="preserve">3. Điều hướng đúng về Trang chủ</t>
  </si>
  <si>
    <t xml:space="preserve">Wizard đăng tin — Bước 1/3 (Thông tin hàng)</t>
  </si>
  <si>
    <t xml:space="preserve">Block Form thông tin hàng</t>
  </si>
  <si>
    <t xml:space="preserve">Check icon quay lại/đóng tại màn "Wizard đăng tin — Bước 1/3"</t>
  </si>
  <si>
    <t xml:space="preserve">Đang ở Bước 1/3 của Wizard đăng tin (vừa chọn "Tôi cần gửi hàng" từ màn "Đăng tin mới")</t>
  </si>
  <si>
    <t xml:space="preserve">1. Mở app FoxEco, đang ở Trang chủ
2. Bấm nút [+] (Đăng tin) → chọn "Tôi cần gửi hàng" để vào Bước 1/3
3. Bấm icon quay lại/đóng (←) ở Header</t>
  </si>
  <si>
    <t xml:space="preserve">3. Điều hướng đúng về màn "Đăng tin mới" (không thoát thẳng ra Trang chủ)</t>
  </si>
  <si>
    <t xml:space="preserve">Technique: EP-back-icon. Bổ sung 2026-07-30 theo yêu cầu user (QA GiangDC2 xác nhận trực tiếp trên app STG) — khác với `TC_04.75`/`TC_04.76` (nút "Quay lại" GIỮA các bước trong wizard), đây là thoát HẲN ra khỏi wizard từ Bước 1/3.</t>
  </si>
  <si>
    <t xml:space="preserve">Check đầy đủ 4 field hiển thị tại Bước 1/3</t>
  </si>
  <si>
    <t xml:space="preserve">Đang ở màn Wizard đăng tin Bước 1/3, form MỚI/SẠCH chưa thao tác</t>
  </si>
  <si>
    <t xml:space="preserve">1. Quan sát toàn bộ form Bước 1/3</t>
  </si>
  <si>
    <t xml:space="preserve">1. Hiển thị đủ 4 field theo đúng thứ tự:
- Loại hàng (chip)
- Ghi chú (textarea)
- Giá trị hàng (chip thấp/vừa/cao)
- Ảnh hàng (chụp/chọn thư viện)</t>
  </si>
  <si>
    <t xml:space="preserve">REQ-ORD-002, REQ-ORD-012</t>
  </si>
  <si>
    <t xml:space="preserve">DOC-v1.0-01 (BRD v3.2 §D8.1/D8.2)</t>
  </si>
  <si>
    <t xml:space="preserve">Check Loại hàng mặc định = 'Tài liệu' khi mở Bước 1/3 lần đầu</t>
  </si>
  <si>
    <t xml:space="preserve">Vừa chọn 'Tôi cần gửi hàng', mở Bước 1/3 MỚI/SẠCH, CHƯA chọn gì</t>
  </si>
  <si>
    <t xml:space="preserve">1. Mở Bước 1/3
2. Quan sát chip Loại hàng đang được chọn</t>
  </si>
  <si>
    <t xml:space="preserve">1. Form hiển thị, chưa có lỗi nào
2. Chip 'Tài liệu' đang ở trạng thái selected mặc định, chưa cần thao tác</t>
  </si>
  <si>
    <t xml:space="preserve">Check bỏ trống Loại hàng vẫn bấm 'Tiếp theo' bị chặn</t>
  </si>
  <si>
    <t xml:space="preserve">Đang ở Bước 1/3, KHÔNG chọn chip Loại hàng nào</t>
  </si>
  <si>
    <t xml:space="preserve">1. Không chọn Loại hàng
2. Nhập Giá trị hàng hợp lệ (vd 'Vừa')
3. Bấm 'Tiếp theo'</t>
  </si>
  <si>
    <t xml:space="preserve">1. Không có chip nào ở trạng thái selected
2. Chip 'Vừa' được chọn
3. Bị chặn/báo lỗi tại field Loại hàng, KHÔNG cho qua Bước 2/3</t>
  </si>
  <si>
    <t xml:space="preserve">Technique: EP-invalid-empty-LoaiHang (C-ORD-01 Resolved)</t>
  </si>
  <si>
    <t xml:space="preserve">Check bỏ trống Giá trị hàng vẫn bấm 'Tiếp theo' bị chặn</t>
  </si>
  <si>
    <t xml:space="preserve">Đang ở Bước 1/3, đã chọn Loại hàng nhưng KHÔNG chọn chip Giá trị hàng nào</t>
  </si>
  <si>
    <t xml:space="preserve">1. Chọn Loại hàng = 'Tài liệu'
2. Không chọn Giá trị hàng
3. Bấm 'Tiếp theo'</t>
  </si>
  <si>
    <t xml:space="preserve">1. Chip 'Tài liệu' được chọn
2. Không có chip Giá trị hàng nào ở trạng thái selected
3. Bị chặn/báo lỗi tại field Giá trị hàng, KHÔNG cho qua Bước 2/3</t>
  </si>
  <si>
    <t xml:space="preserve">Technique: EP-invalid-empty-GiaTriHang (C-ORD-01 Resolved)</t>
  </si>
  <si>
    <t xml:space="preserve">REQ-ORD-002, REQ-ORD-009</t>
  </si>
  <si>
    <t xml:space="preserve">Check chọn Giá trị hàng = 'Thấp' KHÔNG hiện cảnh báo</t>
  </si>
  <si>
    <t xml:space="preserve">Đang ở Bước 1/3, đã chọn Loại hàng hợp lệ</t>
  </si>
  <si>
    <t xml:space="preserve">1. Chọn chip Giá trị hàng = 'Thấp'</t>
  </si>
  <si>
    <t xml:space="preserve">1. Không hiển thị banner/cảnh báo trách nhiệm tự thoả thuận</t>
  </si>
  <si>
    <t xml:space="preserve">Technique: EP-GiaTriHang-Thap</t>
  </si>
  <si>
    <t xml:space="preserve">Check chọn Giá trị hàng = 'Vừa' KHÔNG hiện cảnh báo</t>
  </si>
  <si>
    <t xml:space="preserve">1. Chọn chip Giá trị hàng = 'Vừa'</t>
  </si>
  <si>
    <t xml:space="preserve">Technique: EP-GiaTriHang-Vua</t>
  </si>
  <si>
    <t xml:space="preserve">REQ-ORD-009, REQ-ORD-012</t>
  </si>
  <si>
    <t xml:space="preserve">DOC-v1.0-01 (BRD v3.2 §D8.1)</t>
  </si>
  <si>
    <t xml:space="preserve">Check chọn Giá trị hàng = 'Cao' hiện cảnh báo trách nhiệm tự thoả thuận</t>
  </si>
  <si>
    <t xml:space="preserve">1. Chọn chip Giá trị hàng = 'Cao'</t>
  </si>
  <si>
    <t xml:space="preserve">1. Hiển thị banner/cảnh báo liên quan trách nhiệm tự thoả thuận</t>
  </si>
  <si>
    <t xml:space="preserve">Technique: EP-GiaTriHang-Cao (SC-ORD-013, un-deferred 2026-07-28)</t>
  </si>
  <si>
    <t xml:space="preserve">Check chọn Loại hàng 'Thuốc/Y tế' vẫn đăng tin thành công</t>
  </si>
  <si>
    <t xml:space="preserve">Đang ở Bước 1/3</t>
  </si>
  <si>
    <t xml:space="preserve">1. Chọn chip Loại hàng = 'Thuốc/Y tế'
2. Điền tiếp Giá trị hàng hợp lệ, hoàn tất B2 → B3
3. Bấm 'Đăng tin ngay'</t>
  </si>
  <si>
    <t xml:space="preserve">1. Chip 'Thuốc/Y tế' chọn được bình thường, không bị chặn
2. Qua các bước tiếp theo không lỗi
3. Đăng tin thành công, KHÔNG bị chặn — chỉ banner cảnh báo tĩnh tại Bước 3/3, không phải validate chặn</t>
  </si>
  <si>
    <t xml:space="preserve">Technique: EP-LoaiHang-ThuocYte</t>
  </si>
  <si>
    <t xml:space="preserve">Check chọn Loại hàng 'Khác' vẫn đăng tin thành công</t>
  </si>
  <si>
    <t xml:space="preserve">1. Chọn chip Loại hàng = 'Khác'
2. Hoàn tất B2 → B3 hợp lệ
3. Bấm 'Đăng tin ngay'</t>
  </si>
  <si>
    <t xml:space="preserve">1. Chip 'Khác' chọn được bình thường
2. Qua các bước tiếp theo không lỗi
3. Đăng tin thành công, không bị chặn — đại diện xác nhận MỌI loại hàng đều được chấp nhận ở v1.0</t>
  </si>
  <si>
    <t xml:space="preserve">Technique: EP-LoaiHang-Khac (representative, dedupe 6 loại còn lại — cùng partition 'accept')</t>
  </si>
  <si>
    <t xml:space="preserve">Check đủ 8 chip Loại hàng hiển thị đúng nhãn</t>
  </si>
  <si>
    <t xml:space="preserve">Đang ở Bước 1/3, form MỚI/SẠCH</t>
  </si>
  <si>
    <t xml:space="preserve">1. Quan sát danh sách chip Loại hàng</t>
  </si>
  <si>
    <t xml:space="preserve">1. Hiển thị đủ đúng 8 chip theo đúng thứ tự: 'Tài liệu', 'Đồ điện tử', 'Thực phẩm', 'Hàng nhỏ', 'Đồ dễ vỡ', 'Quần áo', 'Thuốc/Y tế', 'Khác'</t>
  </si>
  <si>
    <t xml:space="preserve">Check Ghi chú 299 ký tự hợp lệ</t>
  </si>
  <si>
    <t xml:space="preserve">1. Nhập vào Ghi chú chuỗi 299 ký tự hợp lệ
2. Bấm 'Tiếp theo'</t>
  </si>
  <si>
    <t xml:space="preserve">1. Ô nhập nhận đúng giá trị vừa nhập, chưa hiển thị lỗi (chưa submit/blur)
2. Được chấp nhận, qua Bước 2/3 bình thường</t>
  </si>
  <si>
    <t xml:space="preserve">Technique: BVA-max-1 (GhiChu)</t>
  </si>
  <si>
    <t xml:space="preserve">Check Ghi chú đúng biên 300 ký tự hợp lệ</t>
  </si>
  <si>
    <t xml:space="preserve">1. Nhập vào Ghi chú chuỗi đúng 300 ký tự
2. Bấm 'Tiếp theo'</t>
  </si>
  <si>
    <t xml:space="preserve">1. Ô nhập nhận đúng giá trị vừa nhập, chưa hiển thị lỗi (chưa submit/blur)
2. Được chấp nhận (đúng maxlength), qua Bước 2/3 bình thường</t>
  </si>
  <si>
    <t xml:space="preserve">Technique: BVA-max (GhiChu)</t>
  </si>
  <si>
    <t xml:space="preserve">Check Ghi chú vượt 301 ký tự bị chặn</t>
  </si>
  <si>
    <t xml:space="preserve">1. Nhập vào Ghi chú chuỗi 301 ký tự
2. Bấm 'Tiếp theo'</t>
  </si>
  <si>
    <t xml:space="preserve">1. Ô nhập nhận giá trị vừa nhập
2. Bị chặn/báo lỗi vượt quá giới hạn 300 ký tự, không cho qua Bước 2/3</t>
  </si>
  <si>
    <t xml:space="preserve">Technique: BVA-max+1 (GhiChu)</t>
  </si>
  <si>
    <t xml:space="preserve">Check tải ảnh sản phẩm đúng biên 5MB hợp lệ</t>
  </si>
  <si>
    <t xml:space="preserve">1. Chọn ảnh JPG dung lượng đúng 5MB
2. Bấm 'Tiếp theo'</t>
  </si>
  <si>
    <t xml:space="preserve">1. Ảnh hiển thị preview trong form
2. Ảnh được tải lên thành công, qua Bước 2/3 bình thường</t>
  </si>
  <si>
    <t xml:space="preserve">Technique: BVA-max (AnhSanPham)</t>
  </si>
  <si>
    <t xml:space="preserve">Check tải ảnh sản phẩm vượt 5MB bị chặn</t>
  </si>
  <si>
    <t xml:space="preserve">1. Chọn ảnh JPG dung lượng 6MB
2. Bấm 'Tiếp theo'</t>
  </si>
  <si>
    <t xml:space="preserve">1. Ô chọn ảnh nhận file vừa chọn
2. Bị chặn/báo lỗi vượt quá giới hạn dung lượng, không cho tải lên</t>
  </si>
  <si>
    <t xml:space="preserve">Technique: BVA-max+1 (AnhSanPham)</t>
  </si>
  <si>
    <t xml:space="preserve">Check tải ảnh sản phẩm sai định dạng bị chặn</t>
  </si>
  <si>
    <t xml:space="preserve">1. Chọn 1 file định dạng .pdf (hoặc .gif) làm ảnh sản phẩm</t>
  </si>
  <si>
    <t xml:space="preserve">1. Bị chặn/báo lỗi sai định dạng, chỉ chấp nhận JPG/PNG</t>
  </si>
  <si>
    <t xml:space="preserve">Technique: EP-invalid-format (AnhSanPham)</t>
  </si>
  <si>
    <t xml:space="preserve">Check chọn 2 ảnh sản phẩm cùng lúc bị chặn</t>
  </si>
  <si>
    <t xml:space="preserve">1. Mở thư viện ảnh, chọn cùng lúc 2 ảnh JPG hợp lệ</t>
  </si>
  <si>
    <t xml:space="preserve">1. Bị chặn/báo lỗi, hệ thống chỉ cho phép chọn duy nhất 1 ảnh</t>
  </si>
  <si>
    <t xml:space="preserve">Technique: EP-invalid-multi-image (AnhSanPham)</t>
  </si>
  <si>
    <t xml:space="preserve">Wizard đăng tin — Bước 2/3 (Địa điểm &amp; Thời gian)</t>
  </si>
  <si>
    <t xml:space="preserve">Block Người gửi</t>
  </si>
  <si>
    <t xml:space="preserve">Check đầy đủ 3 field Người gửi tự động điền từ tài khoản</t>
  </si>
  <si>
    <t xml:space="preserve">Vừa qua Bước 2/3 lần đầu, form MỚI/SẠCH chưa sửa gì</t>
  </si>
  <si>
    <t xml:space="preserve">1. Quan sát khối 'Người gửi'</t>
  </si>
  <si>
    <t xml:space="preserve">1. Hiển thị đủ 3 field đã điền sẵn theo đúng thứ tự:
- Tên (load từ tài khoản đăng nhập, CHỈ ĐỌC — không cho sửa)
- SĐT (load từ tài khoản đăng nhập, CHO PHÉP sửa)
- Địa chỉ lấy hàng (mặc định load nơi làm việc tài khoản đăng nhập — 'Tòa nhà Lô B3, KCX Tân Thuận, Q.7', CHO PHÉP sửa qua cơ chế gõ tìm rồi CHỌN từ danh sách gợi ý — KHÔNG tự do nhập rồi lưu thẳng text)</t>
  </si>
  <si>
    <t xml:space="preserve">Check field Tên (Người gửi) không cho chỉnh sửa (read-only)</t>
  </si>
  <si>
    <t xml:space="preserve">Đang ở Bước 2/3, khối 'Người gửi', field Tên đã điền sẵn tên tài khoản đăng nhập</t>
  </si>
  <si>
    <t xml:space="preserve">1. Chạm vào field Tên
2. Thử nhập/sửa nội dung</t>
  </si>
  <si>
    <t xml:space="preserve">1. Field Tên không nhận focus nhập liệu (hiển thị dạng disabled/readonly)
2. Giá trị Tên giữ nguyên đúng tên tài khoản đăng nhập, không đổi</t>
  </si>
  <si>
    <t xml:space="preserve">DOC-v1.0-01 (BRD v3.2 §D8.1, áp dụng cho SĐT Người gửi)</t>
  </si>
  <si>
    <t xml:space="preserve">Check bỏ trống SĐT (Người gửi) bị chặn</t>
  </si>
  <si>
    <t xml:space="preserve">Đang ở Bước 2/3, khối 'Người gửi', đã xoá hết nội dung field SĐT</t>
  </si>
  <si>
    <t xml:space="preserve">1. Xoá trống SĐT (Người gửi)
2. Bấm 'Tiếp theo'</t>
  </si>
  <si>
    <t xml:space="preserve">1. Field hiển thị rỗng
2. Bị chặn/báo lỗi, không cho qua Bước 3/3</t>
  </si>
  <si>
    <t xml:space="preserve">Check SĐT (Người gửi) đúng định dạng chuẩn VN hợp lệ</t>
  </si>
  <si>
    <t xml:space="preserve">Đang ở Bước 2/3, khối 'Người gửi'</t>
  </si>
  <si>
    <t xml:space="preserve">1. Sửa SĐT thành số hợp lệ đúng chuẩn VN (10 số, đầu 0, vd '0912345678')
2. Bấm 'Tiếp theo'</t>
  </si>
  <si>
    <t xml:space="preserve">1. Không báo lỗi
2. Cho qua Bước 3/3 bình thường</t>
  </si>
  <si>
    <t xml:space="preserve">Check SĐT (Người gửi) sai định dạng bị chặn</t>
  </si>
  <si>
    <t xml:space="preserve">1. Sửa SĐT thành giá trị sai định dạng (vd thiếu số 0 đầu '912345678', không đủ 10 số, hoặc chứa ký tự chữ)
2. Bấm 'Tiếp theo'</t>
  </si>
  <si>
    <t xml:space="preserve">1. Bị chặn/báo lỗi đúng field SĐT
2. Không cho qua Bước 3/3</t>
  </si>
  <si>
    <t xml:space="preserve">Check chọn nhanh 1 preset văn phòng FPT tự điền địa chỉ lấy hàng</t>
  </si>
  <si>
    <t xml:space="preserve">Đang ở Bước 2/3, khối Người gửi</t>
  </si>
  <si>
    <t xml:space="preserve">1. Mở quick-select văn phòng
2. Chọn 1 preset (vd 'F-Town 3, Q.7')</t>
  </si>
  <si>
    <t xml:space="preserve">1. Danh sách preset văn phòng hiển thị
2. Địa chỉ lấy hàng tự động điền đúng theo preset đã chọn</t>
  </si>
  <si>
    <t xml:space="preserve">⚠ Analyst Note: chưa có bằng chứng UI trong demo, cần vibe-test xác nhận UI thật có quick-select</t>
  </si>
  <si>
    <t xml:space="preserve">Check đủ 6 preset văn phòng FPT hiển thị đúng tên</t>
  </si>
  <si>
    <t xml:space="preserve">Đang ở Bước 2/3, mở quick-select văn phòng</t>
  </si>
  <si>
    <t xml:space="preserve">1. Quan sát danh sách preset văn phòng</t>
  </si>
  <si>
    <t xml:space="preserve">1. Hiển thị đủ 6 preset văn phòng FPT (có thể mở rộng theo tỉnh)</t>
  </si>
  <si>
    <t xml:space="preserve">Check xoá trống Địa chỉ lấy hàng bị chặn</t>
  </si>
  <si>
    <t xml:space="preserve">Đang ở Bước 2/3, đã xoá hết nội dung field Địa chỉ lấy hàng (mặc định có sẵn)</t>
  </si>
  <si>
    <t xml:space="preserve">1. Xoá trống Địa chỉ lấy hàng
2. Bấm 'Tiếp theo'</t>
  </si>
  <si>
    <t xml:space="preserve">1. Field hiển thị rỗng
2. Bị chặn/báo lỗi, không cho qua Bước 3/3 — dùng chung rule maxlength/required với Địa chỉ giao hàng (xem BVA đầy đủ tại khối Người nhận)</t>
  </si>
  <si>
    <t xml:space="preserve">Technique: EP-invalid-empty (DiaChiLayHang, spot-check — dedupe BVA đầy đủ với Địa chỉ giao hàng)</t>
  </si>
  <si>
    <t xml:space="preserve">Check nhập text vào Địa chỉ lấy hàng hiển thị danh sách gợi ý để CHỌN (không tự do nhập lưu thẳng)</t>
  </si>
  <si>
    <t xml:space="preserve">Đang ở Bước 2/3, khối 'Người gửi', field Địa chỉ lấy hàng</t>
  </si>
  <si>
    <t xml:space="preserve">1. Xoá địa chỉ mặc định
2. Nhập 1 chuỗi text bất kỳ khớp 1 phần tên văn phòng (vd 'tân thuận')
3. Chọn 1 kết quả trong danh sách gợi ý hiện ra</t>
  </si>
  <si>
    <t xml:space="preserve">1. Field cho gõ text để tìm kiếm
2. Hệ thống hiển thị danh sách gợi ý văn phòng khớp với text đã nhập, load từ dữ liệu hệ thống (DB)
3. Field Địa chỉ lấy hàng cập nhật đúng theo đúng item đã CHỌN trong danh sách (không phải giữ nguyên text gõ tự do)</t>
  </si>
  <si>
    <t xml:space="preserve">Check tìm kiếm Địa chỉ lấy hàng không phân biệt hoa/thường</t>
  </si>
  <si>
    <t xml:space="preserve">1. Nhập từ khoá viết HOA (vd 'TÂN THUẬN'), ghi nhận danh sách gợi ý
2. Xoá, nhập lại đúng từ khoá viết thường (vd 'tân thuận')</t>
  </si>
  <si>
    <t xml:space="preserve">1. Danh sách gợi ý hiện ra khớp text
2. Danh sách gợi ý ở bước 2 giống hệt bước 1 (không phân biệt hoa/thường)</t>
  </si>
  <si>
    <t xml:space="preserve">Check gõ text ở Địa chỉ lấy hàng nhưng KHÔNG chọn gợi ý → không được lưu làm địa chỉ</t>
  </si>
  <si>
    <t xml:space="preserve">1. Xoá địa chỉ mặc định, gõ 1 chuỗi text bất kỳ (vd 'tân thuận')
2. KHÔNG chọn gợi ý nào, bấm 'Tiếp theo' ngay</t>
  </si>
  <si>
    <t xml:space="preserve">1. Danh sách gợi ý hiện ra nhưng chưa có item nào được chọn
2. Bị chặn/báo lỗi (field coi như chưa hợp lệ) — hệ thống KHÔNG tự lưu nguyên text đã gõ làm địa chỉ</t>
  </si>
  <si>
    <t xml:space="preserve">Block Người nhận</t>
  </si>
  <si>
    <t xml:space="preserve">REQ-ORD-008, REQ-ORD-012</t>
  </si>
  <si>
    <t xml:space="preserve">Check đầy đủ 4 field Người nhận</t>
  </si>
  <si>
    <t xml:space="preserve">Đang ở Bước 2/3, form MỚI/SẠCH</t>
  </si>
  <si>
    <t xml:space="preserve">1. Quan sát khối 'Người nhận'</t>
  </si>
  <si>
    <t xml:space="preserve">1. Hiển thị đủ 4 field theo đúng thứ tự:
- Email công ty người nhận
- Tên người nhận
- Số điện thoại
- Địa chỉ giao hàng</t>
  </si>
  <si>
    <t xml:space="preserve">Check email công ty người nhận có trong hệ thống tự điền thông tin</t>
  </si>
  <si>
    <t xml:space="preserve">Đang ở Bước 2/3, khối Người nhận</t>
  </si>
  <si>
    <t xml:space="preserve">1. Nhập email 'nguyen.van.a@fpt.com.vn' (có trong danh bạ nội bộ)</t>
  </si>
  <si>
    <t xml:space="preserve">1. Tự điền Tên/SĐT/Địa chỉ tương ứng + hiển thị thông báo 'Đã tìm thấy trong hệ thống nội bộ'</t>
  </si>
  <si>
    <t xml:space="preserve">Check email công ty người nhận hợp lệ nhưng không có trong danh bạ</t>
  </si>
  <si>
    <t xml:space="preserve">1. Nhập email 'khong.ton.tai@fpt.com.vn' (đúng định dạng, không có trong danh bạ)</t>
  </si>
  <si>
    <t xml:space="preserve">1. Hiển thị thông báo 'Không tìm thấy · nhập thủ công', cho phép tự nhập Tên/SĐT/Địa chỉ</t>
  </si>
  <si>
    <t xml:space="preserve">Check nhập Email công ty người nhận dạng null</t>
  </si>
  <si>
    <t xml:space="preserve">1. Nhập vào Email công ty người nhận: (để trống, không nhập gì)
2. Rời khỏi ô nhập (blur) hoặc bấm 'Tiếp theo'</t>
  </si>
  <si>
    <t xml:space="preserve">1. Ô nhập nhận đúng giá trị vừa nhập
2. Bị chặn/báo lỗi field bắt buộc, không cho qua Bước 3/3</t>
  </si>
  <si>
    <t xml:space="preserve">Technique: EG-null</t>
  </si>
  <si>
    <t xml:space="preserve">Check nhập Email công ty người nhận dạng empty</t>
  </si>
  <si>
    <t xml:space="preserve">1. Nhập vào Email công ty người nhận: ""
2. Rời khỏi ô nhập (blur) hoặc bấm 'Tiếp theo'</t>
  </si>
  <si>
    <t xml:space="preserve">1. Ô nhập nhận đúng giá trị vừa nhập
2. Bị chặn/báo lỗi field bắt buộc</t>
  </si>
  <si>
    <t xml:space="preserve">Technique: EG-empty</t>
  </si>
  <si>
    <t xml:space="preserve">Check nhập Email công ty người nhận dạng whitespace</t>
  </si>
  <si>
    <t xml:space="preserve">1. Nhập vào Email công ty người nhận: "   " (chỉ khoảng trắng)
2. Rời khỏi ô nhập (blur) hoặc bấm 'Tiếp theo'</t>
  </si>
  <si>
    <t xml:space="preserve">1. Ô nhập nhận đúng giá trị vừa nhập
2. Bị chặn/báo lỗi định dạng email không hợp lệ</t>
  </si>
  <si>
    <t xml:space="preserve">Technique: EG-whitespace</t>
  </si>
  <si>
    <t xml:space="preserve">Check nhập Email công ty người nhận dạng trim</t>
  </si>
  <si>
    <t xml:space="preserve">1. Nhập vào Email công ty người nhận: " nguyen.van.a@fpt.com.vn " (có khoảng trắng đầu/cuối)
2. Rời khỏi ô nhập (blur) hoặc bấm 'Tiếp theo'</t>
  </si>
  <si>
    <t xml:space="preserve">1. Ô nhập nhận đúng giá trị vừa nhập
2. Tự động trim khoảng trắng, xử lý như email hợp lệ (VAL-03)</t>
  </si>
  <si>
    <t xml:space="preserve">Technique: EG-trim</t>
  </si>
  <si>
    <t xml:space="preserve">Check nhập Email công ty người nhận dạng unicode</t>
  </si>
  <si>
    <t xml:space="preserve">1. Nhập vào Email công ty người nhận: "nguyễn.a@fpt.com.vn" (ký tự có dấu)
2. Rời khỏi ô nhập (blur) hoặc bấm 'Tiếp theo'</t>
  </si>
  <si>
    <t xml:space="preserve">1. Ô nhập nhận đúng giá trị vừa nhập
2. Bị chặn/báo lỗi định dạng email không hợp lệ (email chuẩn không chấp nhận ký tự có dấu)</t>
  </si>
  <si>
    <t xml:space="preserve">Technique: EG-unicode</t>
  </si>
  <si>
    <t xml:space="preserve">Check nhập Email công ty người nhận dạng long</t>
  </si>
  <si>
    <t xml:space="preserve">1. Nhập vào Email công ty người nhận: chuỗi email giả lập 10.000 ký tự
2. Rời khỏi ô nhập (blur) hoặc bấm 'Tiếp theo'</t>
  </si>
  <si>
    <t xml:space="preserve">1. Ô nhập nhận đúng giá trị vừa nhập
2. Bị chặn/báo lỗi vượt quá độ dài cho phép</t>
  </si>
  <si>
    <t xml:space="preserve">Technique: EG-long</t>
  </si>
  <si>
    <t xml:space="preserve">Check nhập Email công ty người nhận dạng sql</t>
  </si>
  <si>
    <t xml:space="preserve">1. Nhập vào Email công ty người nhận: "a@fpt.com.vn' OR 1=1 --"
2. Rời khỏi ô nhập (blur) hoặc bấm 'Tiếp theo'</t>
  </si>
  <si>
    <t xml:space="preserve">1. Ô nhập nhận đúng giá trị vừa nhập
2. Bị chặn/báo lỗi định dạng email không hợp lệ, không có injection xảy ra</t>
  </si>
  <si>
    <t xml:space="preserve">Technique: EG-sql</t>
  </si>
  <si>
    <t xml:space="preserve">Check nhập Email công ty người nhận dạng xss</t>
  </si>
  <si>
    <t xml:space="preserve">1. Nhập vào Email công ty người nhận: "&lt;script&gt;alert(1)&lt;/script&gt;@fpt.com.vn"
2. Rời khỏi ô nhập (blur) hoặc bấm 'Tiếp theo'</t>
  </si>
  <si>
    <t xml:space="preserve">1. Ô nhập nhận đúng giá trị vừa nhập
2. Bị chặn/báo lỗi định dạng email không hợp lệ, không thực thi script</t>
  </si>
  <si>
    <t xml:space="preserve">Technique: EG-xss</t>
  </si>
  <si>
    <t xml:space="preserve">Check nhập Email công ty người nhận dạng control</t>
  </si>
  <si>
    <t xml:space="preserve">1. Nhập vào Email công ty người nhận: "a@fpt.com.vn\n" (kèm ký tự xuống dòng)
2. Rời khỏi ô nhập (blur) hoặc bấm 'Tiếp theo'</t>
  </si>
  <si>
    <t xml:space="preserve">Technique: EG-control</t>
  </si>
  <si>
    <t xml:space="preserve">Check nhập Email công ty người nhận dạng binary</t>
  </si>
  <si>
    <t xml:space="preserve">1. Nhập vào Email công ty người nhận: dán nội dung file nhị phân vào ô nhập
2. Rời khỏi ô nhập (blur) hoặc bấm 'Tiếp theo'</t>
  </si>
  <si>
    <t xml:space="preserve">1. Ô nhập nhận đúng giá trị vừa nhập
2. Bị chặn/báo lỗi định dạng email không hợp lệ, không gây lỗi hệ thống</t>
  </si>
  <si>
    <t xml:space="preserve">Technique: EG-binary</t>
  </si>
  <si>
    <t xml:space="preserve">Check bỏ trống toàn bộ Người nhận vẫn bấm 'Tiếp theo' bị chặn</t>
  </si>
  <si>
    <t xml:space="preserve">Đang ở Bước 2/3, khối Người nhận để trống hoàn toàn (Email/Tên/SĐT/Địa chỉ)</t>
  </si>
  <si>
    <t xml:space="preserve">1. Không nhập gì vào khối Người nhận
2. Bấm 'Tiếp theo'</t>
  </si>
  <si>
    <t xml:space="preserve">1. Toàn bộ field khối Người nhận vẫn trống
2. Bị chặn/báo lỗi, không cho qua Bước 3/3</t>
  </si>
  <si>
    <t xml:space="preserve">Technique: EP-invalid-empty-NguoiNhan (C-ORD-01 Resolved)</t>
  </si>
  <si>
    <t xml:space="preserve">Check Tên người nhận tại biên min-1 (1 ký tự (vd "A"))</t>
  </si>
  <si>
    <t xml:space="preserve">1. Nhập vào Tên người nhận: 1 ký tự (vd "A")
2. Rời ô nhập (blur)</t>
  </si>
  <si>
    <t xml:space="preserve">1. Ô nhập nhận đúng giá trị vừa nhập
2. Bị chặn/báo lỗi độ dài tên không hợp lệ</t>
  </si>
  <si>
    <t xml:space="preserve">Technique: BVA-min-1 (TenNguoiNhan)</t>
  </si>
  <si>
    <t xml:space="preserve">Check Tên người nhận tại biên min (2 ký tự (vd "An"))</t>
  </si>
  <si>
    <t xml:space="preserve">1. Nhập vào Tên người nhận: 2 ký tự (vd "An")
2. Rời ô nhập (blur)</t>
  </si>
  <si>
    <t xml:space="preserve">1. Ô nhập nhận đúng giá trị vừa nhập
2. Được chấp nhận, hợp lệ</t>
  </si>
  <si>
    <t xml:space="preserve">Technique: BVA-min (TenNguoiNhan)</t>
  </si>
  <si>
    <t xml:space="preserve">Check Tên người nhận tại biên min+1 (3 ký tự (vd "Anh"))</t>
  </si>
  <si>
    <t xml:space="preserve">1. Nhập vào Tên người nhận: 3 ký tự (vd "Anh")
2. Rời ô nhập (blur)</t>
  </si>
  <si>
    <t xml:space="preserve">Technique: BVA-min+1 (TenNguoiNhan)</t>
  </si>
  <si>
    <t xml:space="preserve">Check Tên người nhận tại biên max-1 (59 ký tự hợp lệ)</t>
  </si>
  <si>
    <t xml:space="preserve">1. Nhập vào Tên người nhận: 59 ký tự hợp lệ
2. Rời ô nhập (blur)</t>
  </si>
  <si>
    <t xml:space="preserve">Technique: BVA-max-1 (TenNguoiNhan)</t>
  </si>
  <si>
    <t xml:space="preserve">Check Tên người nhận tại biên max (đúng 60 ký tự hợp lệ)</t>
  </si>
  <si>
    <t xml:space="preserve">1. Nhập vào Tên người nhận: đúng 60 ký tự hợp lệ
2. Rời ô nhập (blur)</t>
  </si>
  <si>
    <t xml:space="preserve">Technique: BVA-max (TenNguoiNhan)</t>
  </si>
  <si>
    <t xml:space="preserve">Check Tên người nhận tại biên max+1 (61 ký tự)</t>
  </si>
  <si>
    <t xml:space="preserve">1. Nhập vào Tên người nhận: 61 ký tự
2. Rời ô nhập (blur)</t>
  </si>
  <si>
    <t xml:space="preserve">Technique: BVA-max+1 (TenNguoiNhan)</t>
  </si>
  <si>
    <t xml:space="preserve">Check bỏ trống Số điện thoại (Người nhận) bị chặn</t>
  </si>
  <si>
    <t xml:space="preserve">Đang ở Bước 2/3, khối 'Người nhận', đã xoá hết nội dung field Số điện thoại</t>
  </si>
  <si>
    <t xml:space="preserve">1. Xoá trống Số điện thoại (Người nhận)
2. Bấm 'Tiếp theo'</t>
  </si>
  <si>
    <t xml:space="preserve">Check Số điện thoại (Người nhận) đúng định dạng chuẩn VN hợp lệ</t>
  </si>
  <si>
    <t xml:space="preserve">Đang ở Bước 2/3, khối 'Người nhận'</t>
  </si>
  <si>
    <t xml:space="preserve">1. Nhập Số điện thoại đúng chuẩn VN (10 số, đầu 0, vd '0987654321')
2. Bấm 'Tiếp theo'</t>
  </si>
  <si>
    <t xml:space="preserve">Check Số điện thoại (Người nhận) sai định dạng bị chặn</t>
  </si>
  <si>
    <t xml:space="preserve">1. Nhập Số điện thoại sai định dạng (vd thiếu số 0 đầu, không đủ 10 số, hoặc chứa ký tự chữ)
2. Bấm 'Tiếp theo'</t>
  </si>
  <si>
    <t xml:space="preserve">1. Bị chặn/báo lỗi đúng field Số điện thoại
2. Không cho qua Bước 3/3</t>
  </si>
  <si>
    <t xml:space="preserve">Check Địa chỉ giao hàng tại biên empty ((để trống))</t>
  </si>
  <si>
    <t xml:space="preserve">1. Nhập vào Địa chỉ giao hàng: (để trống)
2. Rời ô nhập (blur) hoặc bấm 'Tiếp theo'</t>
  </si>
  <si>
    <t xml:space="preserve">1. Ô nhập nhận đúng giá trị vừa nhập
2. Bị chặn/báo lỗi (trống hoặc vượt quá 200 ký tự)</t>
  </si>
  <si>
    <t xml:space="preserve">Technique: BVA-empty (DiaChiGiaoHang)</t>
  </si>
  <si>
    <t xml:space="preserve">Check Địa chỉ giao hàng tại biên max-1 (199 ký tự hợp lệ)</t>
  </si>
  <si>
    <t xml:space="preserve">1. Nhập vào Địa chỉ giao hàng: 199 ký tự hợp lệ
2. Rời ô nhập (blur) hoặc bấm 'Tiếp theo'</t>
  </si>
  <si>
    <t xml:space="preserve">Technique: BVA-max-1 (DiaChiGiaoHang)</t>
  </si>
  <si>
    <t xml:space="preserve">Check Địa chỉ giao hàng tại biên max (đúng 200 ký tự hợp lệ)</t>
  </si>
  <si>
    <t xml:space="preserve">1. Nhập vào Địa chỉ giao hàng: đúng 200 ký tự hợp lệ
2. Rời ô nhập (blur) hoặc bấm 'Tiếp theo'</t>
  </si>
  <si>
    <t xml:space="preserve">Technique: BVA-max (DiaChiGiaoHang)</t>
  </si>
  <si>
    <t xml:space="preserve">Check Địa chỉ giao hàng tại biên max+1 (201 ký tự)</t>
  </si>
  <si>
    <t xml:space="preserve">1. Nhập vào Địa chỉ giao hàng: 201 ký tự
2. Rời ô nhập (blur) hoặc bấm 'Tiếp theo'</t>
  </si>
  <si>
    <t xml:space="preserve">Technique: BVA-max+1 (DiaChiGiaoHang)</t>
  </si>
  <si>
    <t xml:space="preserve">Check Địa chỉ giao hàng trùng Địa chỉ lấy hàng bị chặn</t>
  </si>
  <si>
    <t xml:space="preserve">Đang ở Bước 2/3, Địa chỉ lấy hàng đang là 'Tòa nhà Lô B3, KCX Tân Thuận, Q.7'</t>
  </si>
  <si>
    <t xml:space="preserve">1. Nhập Địa chỉ giao hàng = 'Tòa nhà Lô B3, KCX Tân Thuận, Q.7' (giống hệt Địa chỉ lấy hàng)
2. Bấm 'Tiếp theo'</t>
  </si>
  <si>
    <t xml:space="preserve">1. Ô nhập nhận đúng giá trị vừa nhập
2. Bị chặn/báo lỗi 'Địa chỉ giao hàng phải khác địa chỉ lấy hàng', không cho qua Bước 3/3</t>
  </si>
  <si>
    <t xml:space="preserve">Technique: EP-invalid-duplicate-address (rule mới BRD v3.2 §D8.1)</t>
  </si>
  <si>
    <t xml:space="preserve">Check nhập text vào Địa chỉ giao hàng hiển thị danh sách gợi ý để CHỌN (không tự do nhập lưu thẳng)</t>
  </si>
  <si>
    <t xml:space="preserve">Đang ở Bước 2/3, khối 'Người nhận', field Địa chỉ giao hàng</t>
  </si>
  <si>
    <t xml:space="preserve">1. Nhập 1 chuỗi text bất kỳ khớp 1 phần tên văn phòng (vd 'f-town')
2. Chọn 1 kết quả trong danh sách gợi ý hiện ra</t>
  </si>
  <si>
    <t xml:space="preserve">1. Hệ thống hiển thị danh sách gợi ý văn phòng khớp với text đã nhập, load từ dữ liệu hệ thống (DB) — tương tự cơ chế ở Địa chỉ lấy hàng
2. Field Địa chỉ giao hàng cập nhật đúng theo đúng item đã CHỌN trong danh sách (không phải giữ nguyên text gõ tự do)</t>
  </si>
  <si>
    <t xml:space="preserve">Check tìm kiếm Địa chỉ giao hàng không phân biệt hoa/thường</t>
  </si>
  <si>
    <t xml:space="preserve">1. Nhập từ khoá viết HOA (vd 'F-TOWN'), ghi nhận danh sách gợi ý
2. Xoá, nhập lại đúng từ khoá viết thường (vd 'f-town')</t>
  </si>
  <si>
    <t xml:space="preserve">Check gõ text ở Địa chỉ giao hàng nhưng KHÔNG chọn gợi ý → không được lưu làm địa chỉ</t>
  </si>
  <si>
    <t xml:space="preserve">1. Gõ 1 chuỗi text bất kỳ (vd 'f-town')
2. KHÔNG chọn gợi ý nào, bấm 'Tiếp theo' ngay</t>
  </si>
  <si>
    <t xml:space="preserve">Block Thời gian</t>
  </si>
  <si>
    <t xml:space="preserve">Check đầy đủ 2 nhóm field Thời gian với giá trị mặc định</t>
  </si>
  <si>
    <t xml:space="preserve">Vừa vào Bước 2/3 lần đầu, form MỚI/SẠCH chưa sửa gì</t>
  </si>
  <si>
    <t xml:space="preserve">1. Quan sát khối 'Thời gian'</t>
  </si>
  <si>
    <t xml:space="preserve">1. Hiển thị đủ:
- Từ ngày/Đến ngày (mặc định = hôm nay)
- Khung giờ mong muốn Từ/Đến (mặc định 17:00–18:30)</t>
  </si>
  <si>
    <t xml:space="preserve">Check chọn Đến ngày trước Từ ngày bị chặn</t>
  </si>
  <si>
    <t xml:space="preserve">Đang ở Bước 2/3, khối Thời gian</t>
  </si>
  <si>
    <t xml:space="preserve">1. Giữ Từ ngày = hôm nay
2. Chọn Đến ngày = hôm qua (trước Từ ngày)
3. Bấm 'Tiếp theo'</t>
  </si>
  <si>
    <t xml:space="preserve">1. Từ ngày hiển thị đúng ngày hiện tại
2. Đến ngày nhận giá trị vừa chọn
3. Bị chặn/báo lỗi 'Đến ngày phải ≥ Từ ngày', không cho qua Bước 3/3</t>
  </si>
  <si>
    <t xml:space="preserve">Technique: EP-invalid-DenNgay-truoc-TuNgay</t>
  </si>
  <si>
    <t xml:space="preserve">Check khung giờ mong muốn cách nhau 29 phút</t>
  </si>
  <si>
    <t xml:space="preserve">1. Nhập khung giờ mong muốn: 17:00 – 17:29
2. Bấm 'Tiếp theo'</t>
  </si>
  <si>
    <t xml:space="preserve">1. Khung giờ hiển thị đúng giá trị vừa nhập
2. Bị chặn/báo lỗi khung giờ phải cách nhau tối thiểu 30 phút</t>
  </si>
  <si>
    <t xml:space="preserve">Technique: BVA-min-1 (KhungGioNEED)</t>
  </si>
  <si>
    <t xml:space="preserve">Check khung giờ mong muốn cách nhau 30 phút (biên)</t>
  </si>
  <si>
    <t xml:space="preserve">1. Nhập khung giờ mong muốn: 17:00 – 17:30
2. Bấm 'Tiếp theo'</t>
  </si>
  <si>
    <t xml:space="preserve">1. Khung giờ hiển thị đúng giá trị vừa nhập
2. Được chấp nhận, hợp lệ</t>
  </si>
  <si>
    <t xml:space="preserve">Technique: BVA-min (KhungGioNEED)</t>
  </si>
  <si>
    <t xml:space="preserve">Check khung giờ mong muốn cách nhau 31 phút</t>
  </si>
  <si>
    <t xml:space="preserve">1. Nhập khung giờ mong muốn: 17:00 – 17:31
2. Bấm 'Tiếp theo'</t>
  </si>
  <si>
    <t xml:space="preserve">Technique: BVA-min+1 (KhungGioNEED)</t>
  </si>
  <si>
    <t xml:space="preserve">Check khung giờ mong muốn Đến = Từ bị chặn</t>
  </si>
  <si>
    <t xml:space="preserve">1. Nhập khung giờ mong muốn: 17:00 – 17:00 (Đến = Từ)
2. Bấm 'Tiếp theo'</t>
  </si>
  <si>
    <t xml:space="preserve">1. Khung giờ hiển thị đúng giá trị vừa nhập
2. Bị chặn/báo lỗi 'đến phải &gt; từ'</t>
  </si>
  <si>
    <t xml:space="preserve">Technique: EP-invalid-Den-bang-Tu</t>
  </si>
  <si>
    <t xml:space="preserve">Check khung giờ mong muốn Đến trước Từ bị chặn</t>
  </si>
  <si>
    <t xml:space="preserve">1. Nhập khung giờ mong muốn: 17:30 – 17:00 (Đến &lt; Từ)
2. Bấm 'Tiếp theo'</t>
  </si>
  <si>
    <t xml:space="preserve">Technique: EP-invalid-Den-truoc-Tu</t>
  </si>
  <si>
    <t xml:space="preserve">Wizard đăng tin — Bước 3/3 (Xác nhận &amp; Đăng tin)</t>
  </si>
  <si>
    <t xml:space="preserve">Block Tóm tắt &amp; điều khoản</t>
  </si>
  <si>
    <t xml:space="preserve">REQ-ORD-001, REQ-ORD-005</t>
  </si>
  <si>
    <t xml:space="preserve">Check đầy đủ 4 thành phần tại Bước 3/3</t>
  </si>
  <si>
    <t xml:space="preserve">Vừa qua Bước 3/3 lần đầu từ Bước 2/3 hợp lệ</t>
  </si>
  <si>
    <t xml:space="preserve">1. Quan sát toàn bộ màn Bước 3/3</t>
  </si>
  <si>
    <t xml:space="preserve">1. Hiển thị đủ:
- Tóm tắt đơn (loại hàng+giá trị, khung giờ, người gửi/nhận, ghi chú)
- Banner cảnh báo hàng cấm
- Checkbox điều khoản
- Nút 'Đăng tin ngay'</t>
  </si>
  <si>
    <t xml:space="preserve">Check Checkbox điều khoản mặc định đã tick sẵn</t>
  </si>
  <si>
    <t xml:space="preserve">Vừa vào Bước 3/3 lần đầu, MỚI/SẠCH chưa thao tác</t>
  </si>
  <si>
    <t xml:space="preserve">1. Quan sát trạng thái Checkbox điều khoản</t>
  </si>
  <si>
    <t xml:space="preserve">1. Checkbox đang ở trạng thái đã tick sẵn (checked), chưa cần thao tác</t>
  </si>
  <si>
    <t xml:space="preserve">Check bỏ tick điều khoản chặn đăng tin</t>
  </si>
  <si>
    <t xml:space="preserve">Đang ở Bước 3/3, đã điền đủ B1+B2 hợp lệ</t>
  </si>
  <si>
    <t xml:space="preserve">1. Bấm bỏ tick Checkbox điều khoản
2. Bấm 'Đăng tin ngay'</t>
  </si>
  <si>
    <t xml:space="preserve">1. Checkbox chuyển sang trạng thái chưa tick
2. Bị chặn, KHÔNG tạo tin, không chuyển màn</t>
  </si>
  <si>
    <t xml:space="preserve">Check hoàn tất đăng tin NEED qua đủ 3 bước với dữ liệu hợp lệ</t>
  </si>
  <si>
    <t xml:space="preserve">Đã chọn 'Tôi cần gửi hàng', đang ở Bước 1/3</t>
  </si>
  <si>
    <t xml:space="preserve">1. Bước 1/3: chọn Loại hàng 'Tài liệu', Giá trị hàng 'Vừa'
2. Bấm 'Tiếp theo'
3. Bước 2/3: nhập đủ Người nhận hợp lệ (email, tên 'Trần Thị B', SĐT '0901234567', địa chỉ giao hàng '89 Nguyễn Thị Minh Khai, Q.3'), giữ nguyên Thời gian mặc định
4. Bấm 'Tiếp theo'
5. Bước 3/3: giữ Checkbox điều khoản đã tick, bấm 'Đăng tin ngay'</t>
  </si>
  <si>
    <t xml:space="preserve">1. 2 chip được chọn đúng
2. Chuyển sang Bước 2/3 không lỗi
3. Toàn bộ field nhận đúng giá trị vừa nhập, không có lỗi hiển thị
4. Chuyển sang Bước 3/3 không lỗi
5. Tin được tạo thành công, trạng thái 'Chờ ghép' (POSTED)</t>
  </si>
  <si>
    <t xml:space="preserve">Check bấm 'Quay lại' từ Bước 2/3 về Bước 1/3 giữ nguyên dữ liệu</t>
  </si>
  <si>
    <t xml:space="preserve">Đang ở Bước 2/3, đã điền Bước 1/3 (vd Loại hàng 'Đồ điện tử')</t>
  </si>
  <si>
    <t xml:space="preserve">1. Bấm nút 'Quay lại' tại Bước 2/3</t>
  </si>
  <si>
    <t xml:space="preserve">1. Chuyển về Bước 1/3, dữ liệu Loại hàng vẫn giữ nguyên 'Đồ điện tử' đã chọn trước đó</t>
  </si>
  <si>
    <t xml:space="preserve">Technique: ST-2-1</t>
  </si>
  <si>
    <t xml:space="preserve">Check bấm 'Quay lại' từ Bước 3/3 về Bước 2/3 giữ nguyên dữ liệu</t>
  </si>
  <si>
    <t xml:space="preserve">Đang ở Bước 3/3, đã điền Bước 2/3 (vd Tên người nhận 'Trần Thị B')</t>
  </si>
  <si>
    <t xml:space="preserve">1. Bấm nút 'Quay lại' tại Bước 3/3</t>
  </si>
  <si>
    <t xml:space="preserve">1. Chuyển về Bước 2/3, dữ liệu Tên người nhận vẫn giữ nguyên 'Trần Thị B'</t>
  </si>
  <si>
    <t xml:space="preserve">Technique: ST-3-2</t>
  </si>
  <si>
    <t xml:space="preserve">Check chuyển đúng Bước 1/3 sang Bước 2/3 khi dữ liệu hợp lệ</t>
  </si>
  <si>
    <t xml:space="preserve">Đang ở Bước 1/3, đã điền đủ Loại hàng + Giá trị hàng hợp lệ</t>
  </si>
  <si>
    <t xml:space="preserve">1. Bấm 'Tiếp theo'</t>
  </si>
  <si>
    <t xml:space="preserve">1. Chuyển đúng sang Bước 2/3 (Địa điểm &amp; Thời gian)</t>
  </si>
  <si>
    <t xml:space="preserve">Technique: ST-1-2</t>
  </si>
  <si>
    <t xml:space="preserve">Check chuyển đúng Bước 2/3 sang Bước 3/3 khi dữ liệu hợp lệ</t>
  </si>
  <si>
    <t xml:space="preserve">Đang ở Bước 2/3, đã điền đủ Người nhận + Thời gian hợp lệ</t>
  </si>
  <si>
    <t xml:space="preserve">1. Chuyển đúng sang Bước 3/3 (Xác nhận &amp; Đăng tin)</t>
  </si>
  <si>
    <t xml:space="preserve">Technique: ST-2-3</t>
  </si>
  <si>
    <t xml:space="preserve">DOC-v1.0-01 (BRD v3.2 §D8.3)</t>
  </si>
  <si>
    <t xml:space="preserve">Check nút 'Đăng tin ngay' bật khi mọi field hợp lệ VÀ đã tick điều khoản</t>
  </si>
  <si>
    <t xml:space="preserve">Đang ở Bước 3/3, đã điền đủ B1+B2 hợp lệ, Checkbox điều khoản đã tick</t>
  </si>
  <si>
    <t xml:space="preserve">1. Quan sát trạng thái nút 'Đăng tin ngay'</t>
  </si>
  <si>
    <t xml:space="preserve">1. Nút ở trạng thái enabled (bấm được)</t>
  </si>
  <si>
    <t xml:space="preserve">Technique: DT-rule1 (VAL-01: all-valid AND ticked)</t>
  </si>
  <si>
    <t xml:space="preserve">Check nút 'Đăng tin ngay' vẫn disabled khi field hợp lệ nhưng CHƯA tick điều khoản</t>
  </si>
  <si>
    <t xml:space="preserve">Đang ở Bước 3/3, đã điền đủ B1+B2 hợp lệ, Checkbox điều khoản CHƯA tick (bỏ tick mặc định)</t>
  </si>
  <si>
    <t xml:space="preserve">1. Bỏ tick Checkbox điều khoản
2. Quan sát trạng thái nút 'Đăng tin ngay'</t>
  </si>
  <si>
    <t xml:space="preserve">1. Checkbox chuyển sang chưa tick
2. Nút ở trạng thái disabled (không bấm được)</t>
  </si>
  <si>
    <t xml:space="preserve">Technique: DT-rule2 (VAL-01: all-valid AND NOT ticked)</t>
  </si>
  <si>
    <t xml:space="preserve">Check nút 'Đăng tin ngay' disabled khi còn field bắt buộc chưa hợp lệ (bất kể điều khoản)</t>
  </si>
  <si>
    <t xml:space="preserve">Đang ở Bước 3/3, quay lại Bước 2/3 xoá trống Tên người nhận rồi quay lại Bước 3/3</t>
  </si>
  <si>
    <t xml:space="preserve">1. Để Tên người nhận trống (chưa hợp lệ)
2. Quan sát trạng thái nút 'Đăng tin ngay' dù Checkbox điều khoản đã tick</t>
  </si>
  <si>
    <t xml:space="preserve">1. Field Tên người nhận hiển thị rỗng
2. Nút vẫn ở trạng thái disabled — collapse rule: bất kể trạng thái điều khoản, còn field lỗi thì luôn disabled</t>
  </si>
  <si>
    <t xml:space="preserve">Technique: DT-rule3 (VAL-01: NOT all-valid, collapsed — 2 sub-case ticked/unticked cùng action)</t>
  </si>
  <si>
    <t xml:space="preserve">Check lỗi hiện inline ngay dưới ô khi rời ô nhập (on blur)</t>
  </si>
  <si>
    <t xml:space="preserve">1. Bấm vào field Tên người nhận rồi để trống
2. Rời khỏi ô (blur) sang field khác</t>
  </si>
  <si>
    <t xml:space="preserve">1. Field hiển thị rỗng
2. Lỗi hiển thị dạng text ngay dưới ô nhập Tên người nhận, KHÔNG dùng popup</t>
  </si>
  <si>
    <t xml:space="preserve">Technique: N/A — baseline (derive trực tiếp từ rule VAL-02, BRD v3.2 §D8.3; không thuộc rubric B1–B8) | Sửa 2026-07-30 theo finding review-tc m5 (R1-17): trước đây tag sai thành "VAL-02-…" trong khi VAL-02 là rule ID của BRD v3.2 §D8.3, không phải test design technique</t>
  </si>
  <si>
    <t xml:space="preserve">Check bấm submit khi còn lỗi tự cuộn tới ô lỗi đầu tiên</t>
  </si>
  <si>
    <t xml:space="preserve">Đang ở Bước 3/3 (hoặc bước tương ứng), có ≥2 field lỗi chưa sửa</t>
  </si>
  <si>
    <t xml:space="preserve">1. Bấm nút submit ('Đăng tin ngay' hoặc 'Tiếp theo') khi còn nhiều field lỗi</t>
  </si>
  <si>
    <t xml:space="preserve">1. Màn tự động cuộn tới vị trí ô lỗi ĐẦU TIÊN (theo thứ tự hiển thị trên form)</t>
  </si>
  <si>
    <t xml:space="preserve">Technique: N/A — baseline (derive trực tiếp từ rule VAL-02, BRD v3.2 §D8.3; không thuộc rubric B1–B8) | Sửa 2026-07-30 theo finding review-tc m5 (R1-17)</t>
  </si>
  <si>
    <t xml:space="preserve">Check tự động trim khoảng trắng đầu/cuối trước khi lưu</t>
  </si>
  <si>
    <t xml:space="preserve">1. Nhập Tên người nhận = ' Nguyễn Văn A ' (có khoảng trắng đầu và cuối)
2. Hoàn tất đăng tin</t>
  </si>
  <si>
    <t xml:space="preserve">1. Ô nhập hiển thị đúng giá trị vừa gõ (kèm khoảng trắng)
2. Dữ liệu lưu lại là 'Nguyễn Văn A' (đã tự động trim khoảng trắng thừa)</t>
  </si>
  <si>
    <t xml:space="preserve">Technique: EG-trim (VAL-03, representative — áp dụng chung wizard NEED lẫn OFFER)</t>
  </si>
  <si>
    <t xml:space="preserve">Check tự động chuẩn hoá SĐT trước khi lưu</t>
  </si>
  <si>
    <t xml:space="preserve">1. Nhập SĐT người nhận = '090.123 4567' (có khoảng trắng và dấu chấm)
2. Hoàn tất đăng tin</t>
  </si>
  <si>
    <t xml:space="preserve">1. Ô nhập hiển thị đúng giá trị vừa gõ
2. Dữ liệu lưu lại là '0901234567' (đã chuẩn hoá, bỏ khoảng trắng/dấu chấm)</t>
  </si>
  <si>
    <t xml:space="preserve">Technique: EG-normalize (VAL-03, representative — áp dụng chung wizard NEED lẫn OFFER)</t>
  </si>
  <si>
    <t xml:space="preserve">Đăng tin thành công</t>
  </si>
  <si>
    <t xml:space="preserve">Block Popup kết quả (title + nội dung + 2 nút)</t>
  </si>
  <si>
    <t xml:space="preserve">Check đầy đủ thành phần popup 'Đăng tin thành công'</t>
  </si>
  <si>
    <t xml:space="preserve">Vừa bấm 'Đăng tin ngay' thành công</t>
  </si>
  <si>
    <t xml:space="preserve">1. Quan sát popup kết quả</t>
  </si>
  <si>
    <t xml:space="preserve">1. Hiển thị đủ:
- icon check tròn xanh lá
- title 'Đăng tin thành công!'
- nội dung 'Tin của bạn đã được đăng lên bảng tin. Chúng tôi sẽ thông báo ngay khi có người quan tâm.'
- nút 'Theo dõi đơn' (cam, primary)
- nút 'Về trang chủ' (viền, secondary)</t>
  </si>
  <si>
    <t xml:space="preserve">Check tin xuất hiện ngay tại 'Đơn của tôi' sau khi đăng thành công</t>
  </si>
  <si>
    <t xml:space="preserve">Vừa đăng tin NEED thành công</t>
  </si>
  <si>
    <t xml:space="preserve">1. Từ popup kết quả bấm 'Về trang chủ'
2. Quan sát block 'Đơn của tôi'</t>
  </si>
  <si>
    <t xml:space="preserve">1. Chuyển về Trang chủ
2. Tin vừa đăng xuất hiện ngay tại 'Đơn của tôi' trên Trang chủ, trạng thái 'Chờ ghép'</t>
  </si>
  <si>
    <t xml:space="preserve">Check bấm nút 'Theo dõi đơn' điều hướng đúng màn Theo dõi đơn</t>
  </si>
  <si>
    <t xml:space="preserve">Đang ở popup 'Đăng tin thành công'</t>
  </si>
  <si>
    <t xml:space="preserve">1. Bấm nút 'Theo dõi đơn'</t>
  </si>
  <si>
    <t xml:space="preserve">1. Chuyển sang màn Theo dõi đơn của tin vừa tạo</t>
  </si>
  <si>
    <t xml:space="preserve">Technique: EP-btn-TheoDoiDon</t>
  </si>
  <si>
    <t xml:space="preserve">Check bấm nút 'Về trang chủ' điều hướng đúng Trang chủ</t>
  </si>
  <si>
    <t xml:space="preserve">1. Bấm nút 'Về trang chủ'</t>
  </si>
  <si>
    <t xml:space="preserve">1. Chuyển về màn Trang chủ</t>
  </si>
  <si>
    <t xml:space="preserve">Technique: EP-btn-VeTrangChu</t>
  </si>
  <si>
    <t xml:space="preserve">Theo dõi đơn (Sender) — Timeline trạng thái</t>
  </si>
  <si>
    <t xml:space="preserve">Block Trạng thái &amp; lộ trình — Lịch sử</t>
  </si>
  <si>
    <t xml:space="preserve">Check timeline hiển thị đầy đủ mốc kèm timestamp khi tin đã qua ≥2 trạng thái</t>
  </si>
  <si>
    <t xml:space="preserve">Tin đã qua ≥2 trạng thái (vd 'Chờ ghép' (POSTED) → 'Đã ghép' (MATCHED))</t>
  </si>
  <si>
    <t xml:space="preserve">1. Mở màn Theo dõi đơn của tin
2. Xem mục 'Lịch sử'</t>
  </si>
  <si>
    <t xml:space="preserve">1. Màn Theo dõi đơn hiển thị, có mục 'Lịch sử'
2. Hiển thị đủ 2 mốc đã qua ('Chờ ghép', 'Đã ghép'), mỗi mốc kèm timestamp (ngày/giờ) đúng với thời điểm chuyển trạng thái thật</t>
  </si>
  <si>
    <t xml:space="preserve">Check mỗi mốc trong Lịch sử hiển thị đủ 2 thành phần: tên trạng thái + timestamp</t>
  </si>
  <si>
    <t xml:space="preserve">Tin đã qua ≥2 trạng thái, đang xem mục 'Lịch sử' tại Theo dõi đơn</t>
  </si>
  <si>
    <t xml:space="preserve">1. Quan sát từng dòng mốc trong Lịch sử</t>
  </si>
  <si>
    <t xml:space="preserve">1. Mỗi dòng mốc hiển thị đủ 2 thành phần: tên trạng thái (vd 'Chờ ghép', 'Đã ghép') và timestamp (ngày + giờ:phút) — không có dòng nào thiếu 1 trong 2 thành phần</t>
  </si>
  <si>
    <t xml:space="preserve">Check các mốc trong Lịch sử hiển thị đúng thứ tự thời gian</t>
  </si>
  <si>
    <t xml:space="preserve">Tin đã qua ≥3 trạng thái (vd 'Chờ ghép' → 'Đã ghép' → 'Đang giao')</t>
  </si>
  <si>
    <t xml:space="preserve">1. Mở mục 'Lịch sử' tại Theo dõi đơn</t>
  </si>
  <si>
    <t xml:space="preserve">1. Các mốc hiển thị đúng thứ tự thời gian xảy ra (mốc cũ nhất → mốc mới nhất theo đúng chiều quy định của màn), KHÔNG đảo lộn thứ tự</t>
  </si>
  <si>
    <t xml:space="preserve">Đăng tin OFFER (Tôi nhận giao hàng)</t>
  </si>
  <si>
    <t xml:space="preserve">Block Form đăng ký tuyến</t>
  </si>
  <si>
    <t xml:space="preserve">Check đầy đủ 7 field trên Form OFFER</t>
  </si>
  <si>
    <t xml:space="preserve">Đã chọn 'Tôi nhận giao hàng', form MỚI/SẠCH</t>
  </si>
  <si>
    <t xml:space="preserve">1. Quan sát toàn bộ Form đăng ký tuyến</t>
  </si>
  <si>
    <t xml:space="preserve">1. Hiển thị đủ 7 field:
- Tên người giao (đọc, auto-fill)
- SĐT người giao (đọc, auto-fill)
- Điểm xuất phát (auto-fill, sửa được)
- Điểm đến
- Từ ngày/Đến ngày (mặc định hôm nay)
- Thời gian di chuyển (mặc định 17:30–18:30)
- Checkbox điều khoản</t>
  </si>
  <si>
    <t xml:space="preserve">BUG-001</t>
  </si>
  <si>
    <t xml:space="preserve">Check hoàn tất đăng ký tuyến OFFER với dữ liệu hợp lệ</t>
  </si>
  <si>
    <t xml:space="preserve">Đã chọn 'Tôi nhận giao hàng', đang ở Form OFFER</t>
  </si>
  <si>
    <t xml:space="preserve">1. Điểm xuất phát: giữ mặc định 'Tòa nhà Lô B3, KCX Tân Thuận, Q.7'
2. Điểm đến: nhập '89 Nguyễn Thị Minh Khai, Q.3'
3. Giữ Thời gian di chuyển mặc định 17:30–18:30
4. Tick Checkbox điều khoản
5. Bấm gửi</t>
  </si>
  <si>
    <t xml:space="preserve">1. Field Điểm xuất phát hiển thị đúng giá trị mặc định 'Tòa nhà Lô B3, KCX Tân Thuận, Q.7'
2. Field Điểm đến nhận đúng giá trị vừa nhập '89 Nguyễn Thị Minh Khai, Q.3'
3. Field Thời gian di chuyển hiển thị đúng giá trị mặc định 17:30–18:30 (BRD v3.2 §D8.2)
4. Checkbox điều khoản chuyển sang trạng thái đã tick
5. Tuyến được ghi nhận thành công, KHÔNG công khai lên bảng tin, chờ hệ thống tự động khớp với tin NEED phù hợp</t>
  </si>
  <si>
    <t xml:space="preserve">Sửa 2026-07-30 theo finding review-tc m6 (R3-12): Expected bước 1 và 3 trước đây ghi "Field hiển thị đúng giá trị mặc định" mà không nêu giá trị → nay ghi thẳng giá trị, khớp BRD v3.2 §D8.2 + test_data_catalog.md</t>
  </si>
  <si>
    <t xml:space="preserve">Check Điểm xuất phát (OFFER) tại biên max-1 (199 ký tự hợp lệ)</t>
  </si>
  <si>
    <t xml:space="preserve">Đang ở Form OFFER</t>
  </si>
  <si>
    <t xml:space="preserve">1. Nhập vào Điểm xuất phát: 199 ký tự hợp lệ
2. Bấm gửi</t>
  </si>
  <si>
    <t xml:space="preserve">Technique: BVA-max-1 (DiemXuatPhat-OFFER)</t>
  </si>
  <si>
    <t xml:space="preserve">Check Điểm xuất phát (OFFER) tại biên max (đúng 200 ký tự hợp lệ)</t>
  </si>
  <si>
    <t xml:space="preserve">1. Nhập vào Điểm xuất phát: đúng 200 ký tự hợp lệ
2. Bấm gửi</t>
  </si>
  <si>
    <t xml:space="preserve">Technique: BVA-max (DiemXuatPhat-OFFER)</t>
  </si>
  <si>
    <t xml:space="preserve">Check Điểm xuất phát (OFFER) tại biên max+1 (201 ký tự)</t>
  </si>
  <si>
    <t xml:space="preserve">1. Nhập vào Điểm xuất phát: 201 ký tự
2. Bấm gửi</t>
  </si>
  <si>
    <t xml:space="preserve">1. Ô nhập nhận đúng giá trị vừa nhập
2. Bị chặn/báo lỗi vượt quá 200 ký tự</t>
  </si>
  <si>
    <t xml:space="preserve">Technique: BVA-max+1 (DiemXuatPhat-OFFER)</t>
  </si>
  <si>
    <t xml:space="preserve">Check Điểm đến trùng Điểm xuất phát bị chặn</t>
  </si>
  <si>
    <t xml:space="preserve">Đang ở Form OFFER, Điểm xuất phát = 'Tòa nhà Lô B3, KCX Tân Thuận, Q.7'</t>
  </si>
  <si>
    <t xml:space="preserve">1. Nhập Điểm đến = 'Tòa nhà Lô B3, KCX Tân Thuận, Q.7' (giống hệt Điểm xuất phát)
2. Bấm gửi</t>
  </si>
  <si>
    <t xml:space="preserve">1. Ô nhập nhận đúng giá trị vừa nhập
2. Bị chặn/báo lỗi 'Điểm đến phải khác điểm xuất phát'</t>
  </si>
  <si>
    <t xml:space="preserve">BUG-002</t>
  </si>
  <si>
    <t xml:space="preserve">Technique: EP-invalid-duplicate-point (rule mới BRD v3.2 §D8.2)</t>
  </si>
  <si>
    <t xml:space="preserve">Check để trống Điểm xuất phát khi submit bị chặn</t>
  </si>
  <si>
    <t xml:space="preserve">Đang ở Form OFFER, đã xoá trống Điểm xuất phát (mặc định có sẵn)</t>
  </si>
  <si>
    <t xml:space="preserve">1. Xoá trống Điểm xuất phát
2. Bấm gửi</t>
  </si>
  <si>
    <t xml:space="preserve">1. Field hiển thị rỗng
2. Bị chặn/báo lỗi, không cho submit</t>
  </si>
  <si>
    <t xml:space="preserve">Technique: EP-invalid-empty (DiemXuatPhat-OFFER)</t>
  </si>
  <si>
    <t xml:space="preserve">Check Thời gian di chuyển cách nhau 29 phút bị chặn</t>
  </si>
  <si>
    <t xml:space="preserve">1. Nhập Thời gian di chuyển: 17:30 – 17:59
2. Bấm gửi</t>
  </si>
  <si>
    <t xml:space="preserve">1. Field hiển thị đúng giá trị vừa nhập
2. Bị chặn/báo lỗi khoảng cách phải tối thiểu 30 phút</t>
  </si>
  <si>
    <t xml:space="preserve">Technique: BVA-min-1 (ThoiGianDiChuyen-OFFER)</t>
  </si>
  <si>
    <t xml:space="preserve">Check Thời gian di chuyển đúng biên 30 phút hợp lệ</t>
  </si>
  <si>
    <t xml:space="preserve">1. Nhập Thời gian di chuyển: 17:30 – 18:00
2. Bấm gửi</t>
  </si>
  <si>
    <t xml:space="preserve">1. Field hiển thị đúng giá trị vừa nhập
2. Được chấp nhận, hợp lệ</t>
  </si>
  <si>
    <t xml:space="preserve">Technique: BVA-min (ThoiGianDiChuyen-OFFER)</t>
  </si>
  <si>
    <t xml:space="preserve">Check nút gửi (OFFER) disabled tới khi hợp lệ + tick điều khoản</t>
  </si>
  <si>
    <t xml:space="preserve">Đang ở Form OFFER, còn field lỗi hoặc chưa tick điều khoản</t>
  </si>
  <si>
    <t xml:space="preserve">1. Để Điểm đến trống, Checkbox điều khoản đã tick
2. Điền đủ + hợp lệ toàn bộ field, giữ tick điều khoản</t>
  </si>
  <si>
    <t xml:space="preserve">1. Nút gửi disabled (do còn field lỗi)
2. Nút gửi chuyển sang enabled</t>
  </si>
  <si>
    <t xml:space="preserve">Technique: DT-rule1/rule3 (spot-check OFFER, dùng chung cơ chế VAL-01 đã test đầy đủ ở wizard NEED)</t>
  </si>
  <si>
    <t xml:space="preserve">Chỉnh sửa tin</t>
  </si>
  <si>
    <t xml:space="preserve">Block Form điền sẵn</t>
  </si>
  <si>
    <t xml:space="preserve">Check form Chỉnh sửa nạp sẵn đầy đủ dữ liệu tin cũ</t>
  </si>
  <si>
    <t xml:space="preserve">Có tin trạng thái 'Chờ ghép', bấm nút 'Chỉnh sửa'</t>
  </si>
  <si>
    <t xml:space="preserve">1. Bấm 'Chỉnh sửa' trên tin đang 'Chờ ghép'
2. Quan sát toàn bộ form</t>
  </si>
  <si>
    <t xml:space="preserve">1. Form Chỉnh sửa mở ra
2. Form hiển thị ĐẦY ĐỦ dữ liệu đã điền sẵn đúng với tin gốc:
- Loại hàng
- Ghi chú
- Giá trị hàng
- Ảnh
- Thông tin Người gửi
- Thông tin Người nhận
- Thời gian</t>
  </si>
  <si>
    <t xml:space="preserve">Check đủ 2 nút 'Cập nhật'/'Huỷ chỉnh sửa' hiển thị tại form Chỉnh sửa tin</t>
  </si>
  <si>
    <t xml:space="preserve">Có tin trạng thái 'Chờ ghép', đang ở form Chỉnh sửa (đã điền sẵn)</t>
  </si>
  <si>
    <t xml:space="preserve">1. Quan sát khu vực nút hành động của form Chỉnh sửa</t>
  </si>
  <si>
    <t xml:space="preserve">1. Hiển thị đủ 2 nút theo đúng nhãn: 'Cập nhật' và 'Huỷ chỉnh sửa'</t>
  </si>
  <si>
    <t xml:space="preserve">Check sửa tin khi đang 'Chờ ghép' lưu thành công</t>
  </si>
  <si>
    <t xml:space="preserve">1. Sửa Ghi chú sang nội dung mới
2. Bấm 'Cập nhật'</t>
  </si>
  <si>
    <t xml:space="preserve">1. Field Ghi chú nhận đúng giá trị mới
2. Lưu thành công, tin hiển thị đúng Ghi chú mới</t>
  </si>
  <si>
    <t xml:space="preserve">Check bấm 'Huỷ chỉnh sửa' bỏ thay đổi, giữ nguyên dữ liệu cũ</t>
  </si>
  <si>
    <t xml:space="preserve">Đang ở form Chỉnh sửa, vừa sửa 1 vài field (chưa bấm Cập nhật)</t>
  </si>
  <si>
    <t xml:space="preserve">1. Sửa Ghi chú sang nội dung khác
2. Bấm 'Huỷ chỉnh sửa'</t>
  </si>
  <si>
    <t xml:space="preserve">1. Field Ghi chú nhận đúng giá trị mới tạm thời
2. Thay đổi bị bỏ, tin vẫn giữ nguyên dữ liệu cũ trước khi sửa</t>
  </si>
  <si>
    <t xml:space="preserve">Technique: EP-btn-HuyChinhSua</t>
  </si>
  <si>
    <t xml:space="preserve">Check khoá chỉnh sửa khi tin đã 'Đã ghép' (MATCHED)</t>
  </si>
  <si>
    <t xml:space="preserve">Có tin trạng thái 'Đã ghép'</t>
  </si>
  <si>
    <t xml:space="preserve">1. Mở màn Theo dõi đơn / Chi tiết tin của tin đã 'Đã ghép'
2. Tìm nút 'Chỉnh sửa'</t>
  </si>
  <si>
    <t xml:space="preserve">1. Màn hiển thị đúng tin đang mở: tên tin + badge trạng thái 'Đã ghép'
2. KHÔNG còn nút 'Chỉnh sửa' hiển thị (khoá hoàn toàn)</t>
  </si>
  <si>
    <t xml:space="preserve">Technique: ST-invalid-edit-MATCHED | Sửa 2026-07-30 theo finding review-tc m7 (R3-12): Expected bước 1 trước đây là "Màn hiển thị đúng thông tin tin" (mơ hồ) → nay nêu rõ tên tin + badge 'Đã ghép'</t>
  </si>
  <si>
    <t xml:space="preserve">Check khoá chỉnh sửa khi tin đang 'Đang giao' (IN_TRANSIT)</t>
  </si>
  <si>
    <t xml:space="preserve">Có tin trạng thái 'Đang giao'</t>
  </si>
  <si>
    <t xml:space="preserve">1. Mở màn Theo dõi đơn của tin đang 'Đang giao'
2. Tìm nút 'Chỉnh sửa'</t>
  </si>
  <si>
    <t xml:space="preserve">1. Màn hiển thị đúng thông tin tin
2. KHÔNG còn nút 'Chỉnh sửa' hiển thị</t>
  </si>
  <si>
    <t xml:space="preserve">Technique: ST-invalid-edit-IN_TRANSIT</t>
  </si>
  <si>
    <t xml:space="preserve">Check khoá chỉnh sửa khi tin đã 'Hoàn thành' (COMPLETED)</t>
  </si>
  <si>
    <t xml:space="preserve">Có tin trạng thái 'Hoàn thành'</t>
  </si>
  <si>
    <t xml:space="preserve">1. Mở màn liên quan tới tin đã 'Hoàn thành'
2. Tìm nút 'Chỉnh sửa'</t>
  </si>
  <si>
    <t xml:space="preserve">Technique: ST-invalid-edit-COMPLETED</t>
  </si>
  <si>
    <t xml:space="preserve">Check khoá chỉnh sửa khi tin đã 'Hết hạn' (EXPIRED)</t>
  </si>
  <si>
    <t xml:space="preserve">Có tin trạng thái 'Hết hạn'</t>
  </si>
  <si>
    <t xml:space="preserve">1. Mở màn liên quan tới tin đã 'Hết hạn'
2. Tìm nút 'Chỉnh sửa'</t>
  </si>
  <si>
    <t xml:space="preserve">Technique: ST-invalid-edit-EXPIRED</t>
  </si>
  <si>
    <t xml:space="preserve">REQ-ORD-006, REQ-CNL-001</t>
  </si>
  <si>
    <t xml:space="preserve">Check khoá chỉnh sửa khi tin đã 'Đã huỷ' (CANCELLED)</t>
  </si>
  <si>
    <t xml:space="preserve">Có tin trạng thái 'Đã huỷ' (huỷ qua popup 'Huỷ đơn', bất kỳ vai trò nào)</t>
  </si>
  <si>
    <t xml:space="preserve">1. Mở màn liên quan tới tin đã 'Đã huỷ' (vd Theo dõi đơn từ Hoạt động)
2. Tìm nút 'Chỉnh sửa'</t>
  </si>
  <si>
    <t xml:space="preserve">1. Màn hiển thị đúng thông tin tin (đã huỷ)
2. KHÔNG còn nút 'Chỉnh sửa' hiển thị</t>
  </si>
  <si>
    <t xml:space="preserve">Technique: ST-invalid-edit-CANCELLED | Bổ sung 2026-07-30 theo yêu cầu user — đóng gap enumeration khoá chỉnh sửa (trước đó chỉ có MATCHED/IN_TRANSIT/COMPLETED/EXPIRED, thiếu CANCELLED). Giả định hợp lý: tin đã huỷ không thể chỉnh sửa — cần vibe-test xác nhận vì chưa có bằng chứng UI trực tiếp.</t>
  </si>
  <si>
    <t xml:space="preserve">Block Khung màn &amp; Header</t>
  </si>
  <si>
    <t xml:space="preserve">DOC-v1.0-02 §2 + §3.1</t>
  </si>
  <si>
    <t xml:space="preserve">Check đầy đủ 5 khối hiển thị tại màn Trang chủ</t>
  </si>
  <si>
    <t xml:space="preserve">Đã đăng nhập app FoxPro (FoxEco SDK), tài khoản có ít nhất 1 đơn đang hoạt động</t>
  </si>
  <si>
    <t xml:space="preserve">1. Mở app FoxEco
2. Bấm tab "Trang chủ" tại bottom nav
3. Quan sát toàn bộ màn Trang chủ theo thứ tự từ trên xuống dưới</t>
  </si>
  <si>
    <t xml:space="preserve">3. Màn Trang chủ hiển thị đủ 5 khối theo đúng thứ tự từ trên xuống: (1) Header (icon vai trò + "Xin chào, [Tên]" + icon chuông thông báo), (2) Banner quảng bá "Tiện đường — Giúp đồng nghiệp" + logo "FOX ECO", (3) Card "Đóng góp của bạn", (4) nút "Xem bảng tin gửi hàng", (5) bottom nav 5 tab — không thiếu khối nào, không khối nào rỗng bất thường</t>
  </si>
  <si>
    <t xml:space="preserve">Field/column completeness check — auto-derived (xem generate.md Step 3b) | ⚠ Chưa cross-check ảnh Figma (DOC-v1.0-04)/app STG cho khối Header/Banner/Card — cần vibe-test xác nhận trước khi coi Expected là final (Project_rule.md §10.1)</t>
  </si>
  <si>
    <t xml:space="preserve">Check đầy đủ 3 thành phần hiển thị tại Header màn Trang chủ</t>
  </si>
  <si>
    <t xml:space="preserve">Đã đăng nhập app FoxPro (FoxEco SDK) bằng tài khoản có tên hiển thị "Đồng Công Chí Linh"</t>
  </si>
  <si>
    <t xml:space="preserve">1. Mở app FoxEco
2. Bấm tab "Trang chủ" tại bottom nav
3. Quan sát vùng Header trên cùng của màn Trang chủ</t>
  </si>
  <si>
    <t xml:space="preserve">3. Header hiển thị đủ 3 thành phần: (1) icon vai trò, (2) dòng chào "Xin chào, Đồng Công Chí Linh" đúng tên tài khoản đang đăng nhập, (3) icon chuông thông báo ở góc phải</t>
  </si>
  <si>
    <t xml:space="preserve">Field/column completeness check — auto-derived (xem generate.md Step 3b) | ⚠ Chưa có bằng chứng UI mapping icon ↔ từng vai trò (Sender/Carrier/Receiver) → KHÔNG viết EP theo vai trò cho icon này (Project_rule.md §10.1)</t>
  </si>
  <si>
    <t xml:space="preserve">Check icon chuông tại Header hiện chấm đỏ khi có thông báo chưa đọc</t>
  </si>
  <si>
    <t xml:space="preserve">Tài khoản đang có ít nhất 1 thông báo chưa đọc tại màn Thông báo</t>
  </si>
  <si>
    <t xml:space="preserve">1. Mở app FoxEco
2. Bấm tab "Trang chủ" tại bottom nav
3. Quan sát icon chuông tại Header</t>
  </si>
  <si>
    <t xml:space="preserve">3. Icon chuông hiển thị chấm đỏ (red-dot) ở góc icon</t>
  </si>
  <si>
    <t xml:space="preserve">Technique: EP-unread-exists</t>
  </si>
  <si>
    <t xml:space="preserve">Check icon chuông tại Header KHÔNG hiện chấm đỏ khi không còn thông báo chưa đọc</t>
  </si>
  <si>
    <t xml:space="preserve">Tài khoản đã đọc hết toàn bộ thông báo (không còn thông báo chưa đọc)</t>
  </si>
  <si>
    <t xml:space="preserve">1. Mở app FoxEco
2. Vào màn Thông báo, đánh dấu đã đọc toàn bộ thông báo
3. Quay lại tab "Trang chủ", quan sát icon chuông tại Header</t>
  </si>
  <si>
    <t xml:space="preserve">3. Icon chuông KHÔNG hiển thị chấm đỏ (red-dot)</t>
  </si>
  <si>
    <t xml:space="preserve">Technique: EP-unread-none</t>
  </si>
  <si>
    <t xml:space="preserve">Check bấm icon chuông tại Header điều hướng sang màn Thông báo</t>
  </si>
  <si>
    <t xml:space="preserve">Đang ở màn Trang chủ</t>
  </si>
  <si>
    <t xml:space="preserve">1. Mở app FoxEco
2. Bấm tab "Trang chủ" tại bottom nav
3. Bấm icon chuông tại Header</t>
  </si>
  <si>
    <t xml:space="preserve">3. Điều hướng sang đúng màn "Thông báo"</t>
  </si>
  <si>
    <t xml:space="preserve">Block Banner quảng bá &amp; Card "Đóng góp của bạn"</t>
  </si>
  <si>
    <t xml:space="preserve">Check Banner quảng bá hiển thị đúng nội dung và logo</t>
  </si>
  <si>
    <t xml:space="preserve">1. Mở app FoxEco
2. Bấm tab "Trang chủ" tại bottom nav
3. Quan sát banner quảng bá ngay bên dưới Header</t>
  </si>
  <si>
    <t xml:space="preserve">3. Banner hiển thị đúng nguyên văn "Tiện đường — Giúp đồng nghiệp" kèm logo "FOX ECO"</t>
  </si>
  <si>
    <t xml:space="preserve">Check Banner quảng bá là thành phần tĩnh, bấm vào không phát sinh điều hướng</t>
  </si>
  <si>
    <t xml:space="preserve">1. Mở app FoxEco
2. Bấm tab "Trang chủ" tại bottom nav
3. Bấm vào vùng banner "Tiện đường — Giúp đồng nghiệp"</t>
  </si>
  <si>
    <t xml:space="preserve">3. Không phát sinh điều hướng/popup nào, màn hình vẫn ở Trang chủ</t>
  </si>
  <si>
    <t xml:space="preserve">Check đầy đủ 2 thành phần số liệu tại Card "Đóng góp của bạn"</t>
  </si>
  <si>
    <t xml:space="preserve">Tài khoản đã hoàn thành ít nhất 1 đơn với vai trò Carrier</t>
  </si>
  <si>
    <t xml:space="preserve">1. Mở app FoxEco
2. Bấm tab "Trang chủ" tại bottom nav
3. Quan sát Card "Đóng góp của bạn"</t>
  </si>
  <si>
    <t xml:space="preserve">3. Card hiển thị đủ 2 thành phần: (1) số đơn đã giúp (cỡ chữ lớn), (2) dòng thống kê cộng đồng "Cộng đồng FoxEco: [x] đơn · [y] người" — cả 2 đều có giá trị, không rỗng</t>
  </si>
  <si>
    <t xml:space="preserve">Check Card "Đóng góp của bạn" hiển thị số đơn đã giúp = 0 khi user chưa giúp đơn nào</t>
  </si>
  <si>
    <t xml:space="preserve">Tài khoản mới, chưa hoàn thành đơn nào với vai trò Carrier</t>
  </si>
  <si>
    <t xml:space="preserve">1. Mở app FoxEco
2. Bấm tab "Trang chủ" tại bottom nav
3. Quan sát số đơn đã giúp tại Card "Đóng góp của bạn"</t>
  </si>
  <si>
    <t xml:space="preserve">3. Số đơn đã giúp hiển thị "0"; Card vẫn hiển thị (không bị ẩn) và dòng thống kê cộng đồng vẫn có số liệu</t>
  </si>
  <si>
    <t xml:space="preserve">Technique: BVA-min (0 đơn) | Cần bổ sung test data trong catalog (chưa có tài khoản mẫu 0 đơn đã giúp)</t>
  </si>
  <si>
    <t xml:space="preserve">Check Card "Đóng góp của bạn" hiển thị số đơn đã giúp = 1 sau khi hoàn thành đúng 1 đơn</t>
  </si>
  <si>
    <t xml:space="preserve">Tài khoản vừa hoàn thành đúng 1 đơn với vai trò Carrier (trước đó là 0 đơn)</t>
  </si>
  <si>
    <t xml:space="preserve">3. Số đơn đã giúp hiển thị "1", tăng đúng 1 so với trước khi hoàn thành đơn</t>
  </si>
  <si>
    <t xml:space="preserve">Technique: BVA-min+1 (1 đơn) | Cần bổ sung test data trong catalog</t>
  </si>
  <si>
    <t xml:space="preserve">Check Card "Đóng góp của bạn" hiển thị đúng khi số đơn đã giúp lớn (≥100 đơn)</t>
  </si>
  <si>
    <t xml:space="preserve">Tài khoản có ≥100 đơn đã giúp (vd 128 đơn)</t>
  </si>
  <si>
    <t xml:space="preserve">3. Số đơn đã giúp hiển thị đúng giá trị thật (vd "128"), không bị cắt chữ hay tràn khỏi khung Card</t>
  </si>
  <si>
    <t xml:space="preserve">Technique: BVA-large | Cần bổ sung test data trong catalog</t>
  </si>
  <si>
    <t xml:space="preserve">Check bấm nút "Xem bảng tin gửi hàng" điều hướng sang tab Bảng tin</t>
  </si>
  <si>
    <t xml:space="preserve">1. Mở app FoxEco
2. Bấm tab "Trang chủ" tại bottom nav
3. Bấm nút "Xem bảng tin gửi hàng"</t>
  </si>
  <si>
    <t xml:space="preserve">3. Điều hướng sang đúng tab "Bảng tin"; tab "Bảng tin" tại bottom nav được highlight</t>
  </si>
  <si>
    <t xml:space="preserve">Block Bottom nav</t>
  </si>
  <si>
    <t xml:space="preserve">Check bottom nav đủ 5 tab và tab "Trang chủ" highlight đúng khi đang ở màn này</t>
  </si>
  <si>
    <t xml:space="preserve">1. Mở app FoxEco
2. Từ bất kỳ tab nào, bấm "Trang chủ" tại bottom nav
3. Quan sát bottom nav</t>
  </si>
  <si>
    <t xml:space="preserve">3. Bottom nav hiển thị đủ 5 tab theo đúng thứ tự: "Trang chủ", "Bảng tin", nút [+] (Đăng tin) nổi bật ở giữa, "Hoạt động", "Cá nhân"; tab "Trang chủ" đang được highlight</t>
  </si>
  <si>
    <t xml:space="preserve">Field/column completeness check — auto-derived (xem generate.md Step 3b) | Chỉ verify bề mặt màn Trang chủ — nav của các màn khác đã có TC riêng theo từng màn (vd SC-ORD-025 tại TC-HOATDONG)</t>
  </si>
  <si>
    <t xml:space="preserve">Block "Đơn của tôi"</t>
  </si>
  <si>
    <t xml:space="preserve">DOC-v1.0-02 §3.1 Table 3</t>
  </si>
  <si>
    <t xml:space="preserve">Check đầy đủ + đúng 6 trường hiển thị trên card "Đơn của tôi" tại Trang chủ</t>
  </si>
  <si>
    <t xml:space="preserve">Tài khoản có ít nhất 1 đơn đang hoạt động với vai trò Sender</t>
  </si>
  <si>
    <t xml:space="preserve">1. Mở app FoxEco
2. Bấm tab "Trang chủ" tại bottom nav
3. Quan sát card trong section "Đơn của tôi"</t>
  </si>
  <si>
    <t xml:space="preserve">3. Card hiển thị đủ 6 trường: (1) nhãn hướng "Gửi:", (2) loại hàng | giá trị hàng, (3) badge trạng thái, (4) "Từ:" / "Đến:" (điểm lấy → điểm giao rút gọn), (5) thanh progress 5 bước, (6) dòng "Chạm để theo dõi đơn của bạn" — không thiếu trường nào, không trường nào rỗng bất thường</t>
  </si>
  <si>
    <t xml:space="preserve">Check section "Đơn của tôi" vẫn hiển thị + hiện text "Chưa có đơn nào" khi không có đơn hoạt động</t>
  </si>
  <si>
    <t xml:space="preserve">Tài khoản không có đơn nào ở trạng thái đang hoạt động (Chờ ghép/Đã ghép/Đang giao/Đã giao/Đã huỷ)</t>
  </si>
  <si>
    <t xml:space="preserve">1. Mở app FoxEco
2. Bấm tab "Trang chủ" tại bottom nav
3. Quan sát section "Đơn của tôi"</t>
  </si>
  <si>
    <t xml:space="preserve">3. Section "Đơn của tôi" VẪN hiển thị (header + link "Xem tất cả") — KHÔNG ẩn cả section; hiện text "Chưa có đơn nào" thay cho card</t>
  </si>
  <si>
    <t xml:space="preserve">Technique: EP-empty-order (CORRECTED 2026-07-31). Rule cũ trích DOC-v1.0-02 "chỉ hiện khi có đơn hoạt động" SAI so với UI thật — ảnh chụp thật app STG xác nhận section luôn hiện, chỉ đổi nội dung khi rỗng. Xem SC-ORD-037.</t>
  </si>
  <si>
    <t xml:space="preserve">Check card "Đơn của tôi" hiển thị badge "Chờ ghép" khi đơn đang ở trạng thái Chờ ghép</t>
  </si>
  <si>
    <t xml:space="preserve">Tài khoản có 1 đơn vai trò Sender ở trạng thái "Chờ ghép"</t>
  </si>
  <si>
    <t xml:space="preserve">1. Mở app FoxEco
2. Bấm tab "Trang chủ" tại bottom nav
3. Quan sát badge trạng thái trên card trong section "Đơn của tôi"</t>
  </si>
  <si>
    <t xml:space="preserve">3. Badge trạng thái trên card hiển thị đúng nhãn "Chờ ghép"</t>
  </si>
  <si>
    <t xml:space="preserve">Technique: EP-posted</t>
  </si>
  <si>
    <t xml:space="preserve">Check card "Đơn của tôi" hiển thị badge "Đã ghép" khi đơn đang ở trạng thái Đã ghép</t>
  </si>
  <si>
    <t xml:space="preserve">Tài khoản có 1 đơn vai trò Sender ở trạng thái "Đã ghép"</t>
  </si>
  <si>
    <t xml:space="preserve">3. Badge trạng thái trên card hiển thị đúng nhãn "Đã ghép"</t>
  </si>
  <si>
    <t xml:space="preserve">Check card "Đơn của tôi" hiển thị badge "Đang giao" khi đơn đang ở trạng thái Đang giao</t>
  </si>
  <si>
    <t xml:space="preserve">Tài khoản có 1 đơn vai trò Sender ở trạng thái "Đang giao"</t>
  </si>
  <si>
    <t xml:space="preserve">3. Badge trạng thái trên card hiển thị đúng nhãn "Đang giao"</t>
  </si>
  <si>
    <t xml:space="preserve">Check card "Đơn của tôi" hiển thị badge "Đã giao" khi đơn đang ở trạng thái Đã giao</t>
  </si>
  <si>
    <t xml:space="preserve">Tài khoản có 1 đơn vai trò Sender ở trạng thái "Đã giao"</t>
  </si>
  <si>
    <t xml:space="preserve">3. Badge trạng thái trên card hiển thị đúng nhãn "Đã giao"</t>
  </si>
  <si>
    <t xml:space="preserve">Technique: EP-delivered</t>
  </si>
  <si>
    <t xml:space="preserve">Check card "Đơn của tôi" hiển thị badge "Hoàn thành" khi đơn đã hoàn thành</t>
  </si>
  <si>
    <t xml:space="preserve">Tài khoản có 1 đơn vai trò Sender ở trạng thái "Hoàn thành"</t>
  </si>
  <si>
    <t xml:space="preserve">3. Badge trạng thái trên card hiển thị đúng nhãn "Hoàn thành"</t>
  </si>
  <si>
    <t xml:space="preserve">REQ-ORD-001, REQ-CNL-001</t>
  </si>
  <si>
    <t xml:space="preserve">Check card "Đơn của tôi" hiển thị badge "Đã huỷ" khi đơn vừa bị huỷ</t>
  </si>
  <si>
    <t xml:space="preserve">Tài khoản có 1 đơn vừa chuyển trạng thái "Đã huỷ" (qua popup "Huỷ đơn")</t>
  </si>
  <si>
    <t xml:space="preserve">3. Badge trạng thái trên card hiển thị đúng nhãn "Đã huỷ"</t>
  </si>
  <si>
    <t xml:space="preserve">Technique: EP-actor-cancelled-shown | Bổ sung 2026-07-30 theo yêu cầu user, đóng gap phát sinh từ finding tại module Hoạt động: đơn "Đã huỷ" KHÔNG biến mất khỏi các bề mặt hiển thị "đơn hiện tại", card "Đơn của tôi" tại Trang chủ cũng theo đúng rule này.</t>
  </si>
  <si>
    <t xml:space="preserve">Check thanh progress 5 bước trên card "Đơn của tôi" khớp đúng mốc trạng thái hiện tại</t>
  </si>
  <si>
    <t xml:space="preserve">Tài khoản có 1 đơn vai trò Sender ở trạng thái "Đang giao" (mốc thứ 3 trong 5 mốc)</t>
  </si>
  <si>
    <t xml:space="preserve">1. Mở app FoxEco
2. Bấm tab "Trang chủ" tại bottom nav
3. Quan sát thanh progress 5 bước trên card trong section "Đơn của tôi"</t>
  </si>
  <si>
    <t xml:space="preserve">3. Thanh progress hiển thị đủ 5 bước và đã đánh dấu đúng tới bước thứ 3 ("Đang giao"); 2 bước còn lại ("Đã giao", "Hoàn thành") chưa được đánh dấu</t>
  </si>
  <si>
    <t xml:space="preserve">Technique: EP-in-transit (progress) | Vòng đời chuyển trạng thái test tại module DLV — TC này chỉ verify hiển thị progress theo đúng mốc hiện tại</t>
  </si>
  <si>
    <t xml:space="preserve">Check card "Đơn của tôi" hiển thị nhãn hướng "Gửi:" khi user là người gửi của đơn</t>
  </si>
  <si>
    <t xml:space="preserve">Tài khoản là người gửi (Sender) của 1 đơn đang hoạt động</t>
  </si>
  <si>
    <t xml:space="preserve">1. Mở app FoxEco
2. Bấm tab "Trang chủ" tại bottom nav
3. Quan sát nhãn hướng ở đầu card trong section "Đơn của tôi"</t>
  </si>
  <si>
    <t xml:space="preserve">3. Card hiển thị nhãn hướng "Gửi:" kèm loại hàng | giá trị hàng</t>
  </si>
  <si>
    <t xml:space="preserve">Technique: EP-role-sender</t>
  </si>
  <si>
    <t xml:space="preserve">Check card "Đơn của tôi" hiển thị nhãn hướng "Nhận:" khi user là người nhận của đơn</t>
  </si>
  <si>
    <t xml:space="preserve">Tài khoản là người nhận (Receiver) của 1 đơn đang hoạt động</t>
  </si>
  <si>
    <t xml:space="preserve">3. Card hiển thị nhãn hướng "Nhận:" kèm loại hàng | giá trị hàng</t>
  </si>
  <si>
    <t xml:space="preserve">Technique: EP-role-receiver</t>
  </si>
  <si>
    <t xml:space="preserve">Check bấm card "Đơn của tôi" điều hướng sang màn Theo dõi đơn đúng đơn đó</t>
  </si>
  <si>
    <t xml:space="preserve">Tài khoản có ít nhất 1 đơn đang hoạt động hiển thị tại section "Đơn của tôi"</t>
  </si>
  <si>
    <t xml:space="preserve">1. Mở app FoxEco
2. Bấm tab "Trang chủ" tại bottom nav
3. Bấm vào card trong section "Đơn của tôi" (vùng "Chạm để theo dõi đơn của bạn")</t>
  </si>
  <si>
    <t xml:space="preserve">3. Điều hướng sang màn "Theo dõi đơn" của đúng đơn vừa bấm — loại hàng, tuyến "Từ:"/"Đến:" và trạng thái khớp với nội dung trên card</t>
  </si>
  <si>
    <t xml:space="preserve">Block "Tin mới"</t>
  </si>
  <si>
    <t xml:space="preserve">DOC-v1.0-01 §D7 (OPR-01) + DOC-v1.0-02 §3.1</t>
  </si>
  <si>
    <t xml:space="preserve">Check đầy đủ 2 thành phần tại section "Tin mới" trên Trang chủ</t>
  </si>
  <si>
    <t xml:space="preserve">Bảng tin của cộng đồng có ít nhất 1 tin ở trạng thái "Chờ ghép" do người khác đăng</t>
  </si>
  <si>
    <t xml:space="preserve">1. Mở app FoxEco
2. Bấm tab "Trang chủ" tại bottom nav
3. Quan sát section "Tin mới"</t>
  </si>
  <si>
    <t xml:space="preserve">3. Section "Tin mới" hiển thị đủ 2 thành phần: (1) nội dung tin rút gọn của tin mới nhất thuộc CẢ CỘNG ĐỒNG (không giới hạn tin của chính user), (2) vùng bấm để mở màn Chi tiết tin</t>
  </si>
  <si>
    <t xml:space="preserve">Field/column completeness check — auto-derived (xem generate.md Step 3b) | ⚠ Mâu thuẫn nguồn về SỐ LƯỢNG tin hiển thị: DOC-v1.0-02 §3.1 ghi "rút gọn 1 tin mới nhất" vs DOC-v1.0-01 OPR-01/US-D06 ghi "tối đa 5 tin" — TC này cố ý KHÔNG assert số lượng; cần BA xác nhận (xem 3 TC trần 5 phía dưới)</t>
  </si>
  <si>
    <t xml:space="preserve">Check bấm 1 tin trong section "Tin mới" điều hướng sang màn Chi tiết tin đúng tin đó</t>
  </si>
  <si>
    <t xml:space="preserve">Section "Tin mới" đang hiển thị ít nhất 1 tin</t>
  </si>
  <si>
    <t xml:space="preserve">1. Mở app FoxEco
2. Bấm tab "Trang chủ" tại bottom nav
3. Bấm vào 1 tin trong section "Tin mới"</t>
  </si>
  <si>
    <t xml:space="preserve">3. Điều hướng sang màn "Chi tiết tin" của đúng tin vừa bấm — loại hàng, tuyến và khung giờ khớp với nội dung rút gọn hiển thị ở Trang chủ</t>
  </si>
  <si>
    <t xml:space="preserve">Check "Tin mới" hiển thị đủ số tin khi số tin phù hợp CHƯA đạt trần 5 (4 tin)</t>
  </si>
  <si>
    <t xml:space="preserve">Carrier đã đăng tuyến OFFER; hệ thống có đúng 4 tin NEED phù hợp tuyến của Carrier</t>
  </si>
  <si>
    <t xml:space="preserve">1. Mở app FoxEco
2. Bấm tab "Trang chủ" tại bottom nav
3. Đếm số tin hiển thị trong section "Tin mới"</t>
  </si>
  <si>
    <t xml:space="preserve">3. Section "Tin mới" hiển thị đủ 4 tin, không cắt bớt tin nào</t>
  </si>
  <si>
    <t xml:space="preserve">Technique: BVA-below-cap (4 tin) | Cần bổ sung test data trong catalog (chưa có bộ tin mẫu theo số lượng khớp tuyến)</t>
  </si>
  <si>
    <t xml:space="preserve">Check "Tin mới" hiển thị đúng 5 tin khi số tin phù hợp ĐÚNG BẰNG trần 5</t>
  </si>
  <si>
    <t xml:space="preserve">Carrier đã đăng tuyến OFFER; hệ thống có đúng 5 tin NEED phù hợp tuyến của Carrier</t>
  </si>
  <si>
    <t xml:space="preserve">3. Section "Tin mới" hiển thị đúng 5 tin</t>
  </si>
  <si>
    <t xml:space="preserve">Technique: BVA-at-cap (5 tin) | Cần bổ sung test data trong catalog</t>
  </si>
  <si>
    <t xml:space="preserve">Check "Tin mới" chỉ hiển thị tối đa 5 tin khi có 6 tin phù hợp</t>
  </si>
  <si>
    <t xml:space="preserve">Carrier đã đăng tuyến OFFER; hệ thống có 6 tin NEED phù hợp tuyến của Carrier</t>
  </si>
  <si>
    <t xml:space="preserve">3. Section "Tin mới" chỉ hiển thị tối đa 5 tin (5 tin mới nhất &amp; gần tuyến nhất); tin thứ 6 KHÔNG hiển thị tại Trang chủ</t>
  </si>
  <si>
    <t xml:space="preserve">Technique: BVA-over-cap (6 tin) | Cần bổ sung test data trong catalog</t>
  </si>
  <si>
    <t xml:space="preserve">DOC-v1.0-01 §D7 (OPR-04)</t>
  </si>
  <si>
    <t xml:space="preserve">Check thứ tự tin trong "Tin mới": tin gần tuyến nhất hiển thị trước</t>
  </si>
  <si>
    <t xml:space="preserve">Carrier đã đăng tuyến OFFER; có 3 tin NEED phù hợp với độ gần tuyến KHÁC nhau và cùng thời điểm đăng</t>
  </si>
  <si>
    <t xml:space="preserve">1. Mở app FoxEco
2. Bấm tab "Trang chủ" tại bottom nav
3. Quan sát thứ tự các tin trong section "Tin mới"</t>
  </si>
  <si>
    <t xml:space="preserve">3. Danh sách sắp xếp theo độ gần tuyến: tin gần tuyến nhất ở vị trí đầu tiên, tin xa tuyến nhất ở cuối</t>
  </si>
  <si>
    <t xml:space="preserve">Technique: DT-rule1 (độ gần tuyến khác nhau → sắp theo độ gần) | Cần bổ sung test data trong catalog</t>
  </si>
  <si>
    <t xml:space="preserve">Check thứ tự tin trong "Tin mới" khi độ gần tuyến bằng nhau: tin đăng mới hơn hiển thị trước</t>
  </si>
  <si>
    <t xml:space="preserve">Carrier đã đăng tuyến OFFER; có 2 tin NEED CÙNG độ gần tuyến nhưng thời điểm đăng khác nhau</t>
  </si>
  <si>
    <t xml:space="preserve">1. Mở app FoxEco
2. Bấm tab "Trang chủ" tại bottom nav
3. Quan sát thứ tự 2 tin trong section "Tin mới"</t>
  </si>
  <si>
    <t xml:space="preserve">3. Tin có thời điểm đăng mới hơn hiển thị trước tin đăng cũ hơn</t>
  </si>
  <si>
    <t xml:space="preserve">Technique: DT-rule2 (độ gần tuyến bằng nhau → sắp theo thời gian đăng mới nhất) | Cần bổ sung test data trong catalog</t>
  </si>
  <si>
    <t xml:space="preserve">Check Người gửi cũng thấy section "Tin mới" trên Trang chủ</t>
  </si>
  <si>
    <t xml:space="preserve">User đăng nhập với vai trò Sender (CHƯA đăng tuyến OFFER nào); bảng tin cộng đồng có ít nhất 1 tin "Chờ ghép"</t>
  </si>
  <si>
    <t xml:space="preserve">1. Mở app FoxEco bằng tài khoản Sender
2. Bấm tab "Trang chủ" tại bottom nav
3. Cuộn tới vị trí section "Tin mới" và quan sát</t>
  </si>
  <si>
    <t xml:space="preserve">3. Section "Tin mới" VẪN hiển thị với vai trò Sender (không phải tính năng riêng của Carrier), nội dung là tin rút gọn của cả cộng đồng</t>
  </si>
  <si>
    <t xml:space="preserve">Technique: EP-role-sender | Nguồn: merge CA v1.1 `C-GENERAL-4` — BRD mô tả "Tin mới" cap-5 là tính năng riêng Carrier nhưng UI cho thấy Trang chủ của Sender cũng có; user chốt "viết theo UI luôn nha" → áp dụng cho CẢ Sender lẫn Carrier. Các TC trần-5/thứ-tự (TC_05.27..31) giữ Given Carrier vì cần tuyến OFFER để xác định độ gần tuyến</t>
  </si>
  <si>
    <t xml:space="preserve">Check section "Tin mới" hiển thị đúng empty state khi chưa có tin phù hợp</t>
  </si>
  <si>
    <t xml:space="preserve">Chưa có tin đăng nào phù hợp để gợi ý cho user</t>
  </si>
  <si>
    <t xml:space="preserve">3. Hiển thị icon hộp + title "Chưa có tin mới" + subtitle "Hiện chưa có tin nào gần bạn, quay lại sau nhé"</t>
  </si>
  <si>
    <t xml:space="preserve">Technique: N/A — 0-dim (pure display state, không input/range/condition/param trong phạm vi SC này). Bổ sung 2026-07-31 theo ảnh chụp thật app STG — block Tin mới trước đây chưa từng có TC cho trạng thái rỗng. Xem SC-ASN-015.</t>
  </si>
  <si>
    <t xml:space="preserve">Block Bảng tin — Danh sách tin đăng</t>
  </si>
  <si>
    <t xml:space="preserve">DOC-v1.0-02 §3.3</t>
  </si>
  <si>
    <t xml:space="preserve">Check đầy đủ + đúng 5 trường hiển thị trên 1 card tại màn Bảng tin</t>
  </si>
  <si>
    <t xml:space="preserve">Đã đăng nhập app FoxPro (FoxEco SDK), Bảng tin có ít nhất 1 tin ở trạng thái "Chờ ghép"</t>
  </si>
  <si>
    <t xml:space="preserve">1. Mở app FoxEco
2. Bấm tab "Bảng tin" tại bottom nav
3. Quan sát 1 card tin bất kỳ trong danh sách</t>
  </si>
  <si>
    <t xml:space="preserve">3. Card hiển thị đủ 5 trường: (1) icon/ảnh hàng, (2) loại hàng | giá trị hàng, (3) thời gian đăng (dạng rút gọn), (4) "Nhận:" / "Giao:" (lộ trình rút gọn), (5) khung giờ mong muốn — không thiếu trường nào, không trường nào rỗng bất thường</t>
  </si>
  <si>
    <t xml:space="preserve">Field/column completeness check — auto-derived (xem generate.md Step 3b) | Badge "Tin của bạn" là trường hiển thị CÓ ĐIỀU KIỆN → tách riêng 2 TC EP kế tiếp, không gộp vào TC completeness này</t>
  </si>
  <si>
    <t xml:space="preserve">Check badge "Tin của bạn" hiển thị trên card của tin do chính user đăng</t>
  </si>
  <si>
    <t xml:space="preserve">User đã đăng ít nhất 1 tin đang ở trạng thái "Chờ ghép", tin đó có mặt trong Bảng tin</t>
  </si>
  <si>
    <t xml:space="preserve">1. Mở app FoxEco
2. Bấm tab "Bảng tin" tại bottom nav
3. Tìm card của tin do chính user vừa đăng và quan sát badge trên card</t>
  </si>
  <si>
    <t xml:space="preserve">3. Card của tin do chính user đăng CÓ hiển thị badge "Tin của bạn"</t>
  </si>
  <si>
    <t xml:space="preserve">Technique: EP-own-post</t>
  </si>
  <si>
    <t xml:space="preserve">Check badge "Tin của bạn" KHÔNG hiển thị trên card của tin do người khác đăng</t>
  </si>
  <si>
    <t xml:space="preserve">Bảng tin có ít nhất 1 tin do tài khoản KHÁC đăng, đang ở trạng thái "Chờ ghép"</t>
  </si>
  <si>
    <t xml:space="preserve">1. Mở app FoxEco
2. Bấm tab "Bảng tin" tại bottom nav
3. Tìm card của tin do người khác đăng và quan sát badge trên card</t>
  </si>
  <si>
    <t xml:space="preserve">3. Card của tin do người khác đăng KHÔNG hiển thị badge "Tin của bạn"</t>
  </si>
  <si>
    <t xml:space="preserve">Technique: EP-other-post</t>
  </si>
  <si>
    <t xml:space="preserve">Check bấm 1 card trong Bảng tin mở đúng màn Chi tiết tin của tin đó</t>
  </si>
  <si>
    <t xml:space="preserve">Bảng tin có ít nhất 1 tin ở trạng thái "Chờ ghép"</t>
  </si>
  <si>
    <t xml:space="preserve">1. Mở app FoxEco
2. Bấm tab "Bảng tin" tại bottom nav
3. Bấm vào 1 card tin bất kỳ trong danh sách</t>
  </si>
  <si>
    <t xml:space="preserve">3. Điều hướng sang màn "Chi tiết tin" của đúng tin vừa bấm — loại hàng, giá trị, lộ trình "Nhận:"/"Giao:" và khung giờ khớp với nội dung hiển thị trên card</t>
  </si>
  <si>
    <t xml:space="preserve">REQ-ASN-003, REQ-ASN-009</t>
  </si>
  <si>
    <t xml:space="preserve">DOC-v1.0-01 §D3/§D7 (ASN-03, OPR-03/OPR-08)</t>
  </si>
  <si>
    <t xml:space="preserve">Check tin ở trạng thái "Chờ ghép" hiển thị trong danh sách Bảng tin</t>
  </si>
  <si>
    <t xml:space="preserve">Vừa có 1 tin NEED được đăng thành công, đang ở trạng thái "Chờ ghép", chưa ai nhận</t>
  </si>
  <si>
    <t xml:space="preserve">1. Mở app FoxEco
2. Bấm tab "Bảng tin" tại bottom nav
3. Tìm tin vừa đăng trong danh sách</t>
  </si>
  <si>
    <t xml:space="preserve">3. Tin vừa đăng xuất hiện trong danh sách Bảng tin và mở được màn Chi tiết tin</t>
  </si>
  <si>
    <t xml:space="preserve">Technique: ST-posted (baseline trạng thái trước chuyển) — đối chứng cho ST-posted-matched ở TC kế tiếp</t>
  </si>
  <si>
    <t xml:space="preserve">Check tin biến mất khỏi Bảng tin ngay sau khi có người ghép</t>
  </si>
  <si>
    <t xml:space="preserve">Tin đang ở "Chờ ghép" và hiển thị trong Bảng tin; 1 Carrier khác vừa xác nhận mang giúp (tin chuyển "Đã ghép")</t>
  </si>
  <si>
    <t xml:space="preserve">1. Mở app FoxEco bằng tài khoản Carrier thứ hai (không phải người vừa ghép)
2. Bấm tab "Bảng tin" tại bottom nav
3. Tìm lại tin vừa được ghép trong danh sách</t>
  </si>
  <si>
    <t xml:space="preserve">3. Tin KHÔNG còn xuất hiện trong danh sách Bảng tin</t>
  </si>
  <si>
    <t xml:space="preserve">Technique: ST-posted-matched (hiệu ứng trên bề mặt Bảng tin)</t>
  </si>
  <si>
    <t xml:space="preserve">Check không thao tác được "Tôi mang giúp được" trên tin đã có người ghép</t>
  </si>
  <si>
    <t xml:space="preserve">1 tin vừa chuyển sang trạng thái "Đã ghép"; Carrier thứ hai vẫn đang mở sẵn màn Chi tiết tin của tin đó (mở từ trước khi ghép)</t>
  </si>
  <si>
    <t xml:space="preserve">1. Mở app FoxEco bằng tài khoản Carrier thứ hai, mở màn Chi tiết tin của tin đang "Chờ ghép"
2. Chờ Carrier khác xác nhận mang giúp tin đó (tin chuyển "Đã ghép")
3. Bấm nút "Tôi mang giúp được" trên màn đang mở</t>
  </si>
  <si>
    <t xml:space="preserve">3. Hệ thống KHÔNG cho ghép — hiển thị thông báo tin đã có người nhận; trạng thái đơn giữ nguyên "Đã ghép" với Carrier đầu tiên, không bị ghi đè</t>
  </si>
  <si>
    <t xml:space="preserve">Technique: ST-invalid-matched-accept (transition không hợp lệ từ state MATCHED)</t>
  </si>
  <si>
    <t xml:space="preserve">REQ-ASN-009, REQ-ORD-004</t>
  </si>
  <si>
    <t xml:space="preserve">Check tin biến mất khỏi Bảng tin ngay sau khi tự động chuyển "Hết hạn"</t>
  </si>
  <si>
    <t xml:space="preserve">Tin đang ở "Chờ ghép" và hiển thị trong Bảng tin; tin vừa tự động chuyển "Hết hạn" (quá "Đến ngày" mà chưa ai ghép)</t>
  </si>
  <si>
    <t xml:space="preserve">1. Mở app FoxEco bằng tài khoản Carrier bất kỳ
2. Bấm tab "Bảng tin" tại bottom nav
3. Tìm lại tin vừa "Hết hạn" trong danh sách</t>
  </si>
  <si>
    <t xml:space="preserve">Technique: ST-posted-expired (hiệu ứng trên bề mặt Bảng tin) | Bổ sung 2026-07-30 theo yêu cầu user, đóng gap: `TC_06.6` chỉ cover chiều "Đã ghép", chưa cover 2 chiều rời "Chờ ghép" còn lại (Hết hạn/Đã huỷ). Đối chứng khác bề mặt với `TC_01.9` (Hoạt động, verify badge "Hết hạn" hiển thị đúng — đó là màn cá nhân, còn đây là feed công khai).</t>
  </si>
  <si>
    <t xml:space="preserve">REQ-ASN-009, REQ-CNL-001</t>
  </si>
  <si>
    <t xml:space="preserve">Check tin biến mất khỏi Bảng tin ngay sau khi bị Sender huỷ</t>
  </si>
  <si>
    <t xml:space="preserve">Tin đang ở "Chờ ghép" và hiển thị trong Bảng tin; Sender vừa huỷ tin đó (qua popup "Huỷ đơn")</t>
  </si>
  <si>
    <t xml:space="preserve">1. Mở app FoxEco bằng tài khoản Carrier bất kỳ
2. Bấm tab "Bảng tin" tại bottom nav
3. Tìm lại tin vừa bị huỷ trong danh sách</t>
  </si>
  <si>
    <t xml:space="preserve">Technique: ST-posted-cancelled (hiệu ứng trên bề mặt Bảng tin) | Bổ sung 2026-07-30 theo yêu cầu user, đóng gap tương tự TC trên. Đối chứng khác bề mặt với `TC_01.21`/`TC_05.21` (Hoạt động/Trang chủ: tin Đã huỷ vẫn hiển thị ở màn CÁ NHÂN của actor) — Bảng tin là feed CÔNG KHAI, phải biến mất ngay khi tin không còn "đang tìm người ghép".</t>
  </si>
  <si>
    <t xml:space="preserve">DOC-v1.0-01 §D7 (OPR-08)</t>
  </si>
  <si>
    <t xml:space="preserve">Check tin quay lại "Chờ ghép" và hiện lại Bảng tin sau khi Carrier huỷ (chưa lấy hàng)</t>
  </si>
  <si>
    <t xml:space="preserve">1 đơn đang ở trạng thái "Đã ghép", Carrier CHƯA bấm "Tôi đã lấy hàng"</t>
  </si>
  <si>
    <t xml:space="preserve">1. Mở app FoxEco bằng tài khoản Carrier đang giữ đơn, huỷ đơn ở trạng thái "Đã ghép"
2. Đăng nhập bằng tài khoản Carrier khác, bấm tab "Bảng tin"
3. Tìm lại tin vừa bị huỷ trong danh sách</t>
  </si>
  <si>
    <t xml:space="preserve">3. Tin quay về trạng thái "Chờ ghép" và xuất hiện trở lại trong danh sách Bảng tin</t>
  </si>
  <si>
    <t xml:space="preserve">Technique: ST-matched-posted (huỷ trước khi lấy hàng)</t>
  </si>
  <si>
    <t xml:space="preserve">Check tin quay lại Bảng tin được Carrier khác ghép lại thành công</t>
  </si>
  <si>
    <t xml:space="preserve">1 tin vừa quay về "Chờ ghép" do Carrier trước đó huỷ (chưa lấy hàng), đang hiển thị lại trong Bảng tin</t>
  </si>
  <si>
    <t xml:space="preserve">1. Mở app FoxEco bằng tài khoản Carrier khác
2. Bấm tab "Bảng tin", mở Chi tiết tin của tin vừa quay lại
3. Bấm "Tôi mang giúp được" rồi bấm "Xác nhận" trong modal</t>
  </si>
  <si>
    <t xml:space="preserve">3. Ghép thành công — đơn chuyển sang "Đã ghép" với Carrier mới, tin lại ẩn khỏi Bảng tin</t>
  </si>
  <si>
    <t xml:space="preserve">Technique: ST-reposted-matched (khớp lại sau khi quay về POSTED)</t>
  </si>
  <si>
    <t xml:space="preserve">Check thứ tự tin trong Bảng tin: tin gần tuyến nhất hiển thị trước</t>
  </si>
  <si>
    <t xml:space="preserve">Carrier đã đăng tuyến OFFER; Bảng tin có 3 tin NEED phù hợp với độ gần tuyến KHÁC nhau và cùng thời điểm đăng</t>
  </si>
  <si>
    <t xml:space="preserve">1. Mở app FoxEco
2. Bấm tab "Bảng tin" tại bottom nav
3. Quan sát thứ tự các tin trong danh sách</t>
  </si>
  <si>
    <t xml:space="preserve">Check thứ tự tin trong Bảng tin khi độ gần tuyến bằng nhau: tin đăng mới hơn hiển thị trước</t>
  </si>
  <si>
    <t xml:space="preserve">Carrier đã đăng tuyến OFFER; Bảng tin có 2 tin NEED CÙNG độ gần tuyến nhưng thời điểm đăng khác nhau</t>
  </si>
  <si>
    <t xml:space="preserve">1. Mở app FoxEco
2. Bấm tab "Bảng tin" tại bottom nav
3. Quan sát thứ tự 2 tin trong danh sách</t>
  </si>
  <si>
    <t xml:space="preserve">Block Chi tiết tin — Thông tin hàng</t>
  </si>
  <si>
    <t xml:space="preserve">Check icon quay lại tại màn Chi tiết tin</t>
  </si>
  <si>
    <t xml:space="preserve">1. Mở app FoxEco
2. Bấm tab "Bảng tin" tại bottom nav
3. Bấm vào 1 card bất kỳ để mở màn Chi tiết tin
4. Bấm icon quay lại (←) ở Header</t>
  </si>
  <si>
    <t xml:space="preserve">4. Điều hướng đúng về màn Bảng tin (màn vừa mở Chi tiết tin từ đó)</t>
  </si>
  <si>
    <t xml:space="preserve">DOC-v1.0-02 §3.4 Table 5</t>
  </si>
  <si>
    <t xml:space="preserve">Check đầy đủ + đúng 3 trường hiển thị tại block "Thông tin hàng" màn Chi tiết tin</t>
  </si>
  <si>
    <t xml:space="preserve">Bảng tin có ít nhất 1 tin "Chờ ghép" do người khác đăng, tin có đủ ảnh và ghi chú</t>
  </si>
  <si>
    <t xml:space="preserve">1. Mở app FoxEco
2. Bấm tab "Bảng tin", bấm vào 1 tin để mở màn Chi tiết tin
3. Quan sát block "Thông tin hàng"</t>
  </si>
  <si>
    <t xml:space="preserve">3. Block "Thông tin hàng" hiển thị đủ 3 trường: (1) ảnh sản phẩm, (2) Loại hàng và Giá trị (bố cục 2 cột), (3) Ghi chú — không thiếu trường nào</t>
  </si>
  <si>
    <t xml:space="preserve">Check ảnh sản phẩm hiển thị đúng ảnh đã tải lên khi tin có kèm ảnh</t>
  </si>
  <si>
    <t xml:space="preserve">Tin được đăng có kèm đúng 1 ảnh hàng hợp lệ đã biết trước nội dung — file [TBD: ảnh mẫu, vd "hang-tai-lieu.jpg" — JPG, 1.2MB], khác rõ rệt với ảnh mặc định của hệ thống</t>
  </si>
  <si>
    <t xml:space="preserve">1. Mở app FoxEco
2. Bấm tab "Bảng tin", bấm vào 1 tin để mở màn Chi tiết tin
3. Quan sát ảnh sản phẩm tại block "Thông tin hàng"</t>
  </si>
  <si>
    <t xml:space="preserve">3. Ảnh sản phẩm hiển thị đúng nội dung của chính file ảnh đã tải lên lúc đăng tin (đối chiếu trực quan với file gốc ở Pre-condition), KHÔNG phải ảnh minh hoạ mặc định của hệ thống</t>
  </si>
  <si>
    <t xml:space="preserve">Technique: EP-with-image | Cần bổ sung test data trong catalog (catalog chưa có bộ ảnh hàng mẫu để đối chiếu trực quan — xem test_data_catalog.md §Fixture)</t>
  </si>
  <si>
    <t xml:space="preserve">Check ảnh sản phẩm hiển thị ảnh mặc định khi tin không tải ảnh</t>
  </si>
  <si>
    <t xml:space="preserve">Tin được đăng KHÔNG kèm ảnh hàng nào</t>
  </si>
  <si>
    <t xml:space="preserve">3. Hiển thị ảnh minh hoạ mặc định của hệ thống, không để khoảng trống/lỗi render ảnh</t>
  </si>
  <si>
    <t xml:space="preserve">Technique: EP-no-image</t>
  </si>
  <si>
    <t xml:space="preserve">Check nội dung Chi tiết tin khớp đúng dữ liệu đã nhập lúc đăng tin</t>
  </si>
  <si>
    <t xml:space="preserve">Vừa đăng 1 tin NEED với dữ liệu đã biết trước: Loại hàng "Tài liệu", Giá trị "thấp", Ghi chú "gọi trước khi tới"</t>
  </si>
  <si>
    <t xml:space="preserve">1. Mở app FoxEco
2. Bấm tab "Bảng tin", bấm vào 1 tin để mở màn Chi tiết tin
3. Đối chiếu từng trường trên Chi tiết tin với dữ liệu đã nhập lúc đăng</t>
  </si>
  <si>
    <t xml:space="preserve">3. Loại hàng hiển thị "Tài liệu", Giá trị hiển thị "thấp", Ghi chú hiển thị "gọi trước khi tới" — khớp chính xác dữ liệu đã nhập, không bị cắt/đổi</t>
  </si>
  <si>
    <t xml:space="preserve">Block Chi tiết tin — Lộ trình &amp; liên hệ</t>
  </si>
  <si>
    <t xml:space="preserve">REQ-ORD-001, REQ-ASN-002</t>
  </si>
  <si>
    <t xml:space="preserve">Check đầy đủ + đúng 4 nhóm thông tin tại block "Lộ trình &amp; liên hệ" màn Chi tiết tin</t>
  </si>
  <si>
    <t xml:space="preserve">Tin đang ở trạng thái "Chờ ghép", người xem là Carrier (không phải chủ tin)</t>
  </si>
  <si>
    <t xml:space="preserve">1. Mở app FoxEco
2. Bấm tab "Bảng tin", bấm vào 1 tin để mở màn Chi tiết tin
3. Quan sát block "Lộ trình &amp; liên hệ"</t>
  </si>
  <si>
    <t xml:space="preserve">3. Block hiển thị đủ 4 nhóm: (1) Lộ trình gồm điểm Lấy hàng + điểm Giao hàng + khung "Bản đồ · ~X km", (2) Khung giờ mong muốn giao nhận, (3) Người gửi — hiển thị Tên (SĐT và nút "Gọi" CHƯA khả dụng khi tin còn "Chờ ghép"), (4) nút "Tôi mang giúp được"</t>
  </si>
  <si>
    <t xml:space="preserve">Field/column completeness check — auto-derived (xem generate.md Step 3b) | Trường SĐT + nút "Gọi" chỉ khả dụng SAU khi ghép (BR-CON-02, C-ASN-01 Resolved) — xem TC regression SĐT không lộ + TC lộ SĐT sau ghép</t>
  </si>
  <si>
    <t xml:space="preserve">Check khung "Bản đồ · ~X km" hiển thị đúng dạng placeholder tĩnh</t>
  </si>
  <si>
    <t xml:space="preserve">Tin đang ở trạng thái "Chờ ghép" với 2 địa chỉ lấy/giao khác nhau</t>
  </si>
  <si>
    <t xml:space="preserve">1. Mở app FoxEco
2. Bấm tab "Bảng tin", bấm vào 1 tin để mở màn Chi tiết tin
3. Quan sát khung bản đồ trong block "Lộ trình &amp; liên hệ" và thử bấm vào khung đó</t>
  </si>
  <si>
    <t xml:space="preserve">3. Khung hiển thị đúng dạng text "Bản đồ · ~[N] km"; đây là placeholder tĩnh — bấm vào KHÔNG mở bản đồ thật, không phát sinh điều hướng</t>
  </si>
  <si>
    <t xml:space="preserve">DOC-v1.0-01 §A5 (BR-CON-02)</t>
  </si>
  <si>
    <t xml:space="preserve">Check SĐT người gửi KHÔNG hiển thị tại Chi tiết tin khi tin còn "Chờ ghép"</t>
  </si>
  <si>
    <t xml:space="preserve">Tin đang ở trạng thái "Chờ ghép", chưa có ai xác nhận mang giúp; người xem là Carrier khác (không phải chủ tin)</t>
  </si>
  <si>
    <t xml:space="preserve">1. Mở app FoxEco
2. Bấm tab "Bảng tin", bấm vào 1 tin để mở màn Chi tiết tin
3. Quan sát phần thông tin "Người gửi" trong block "Lộ trình &amp; liên hệ"</t>
  </si>
  <si>
    <t xml:space="preserve">3. SĐT của Người gửi KHÔNG hiển thị (chỉ hiện Tên) và nút "Gọi" không khả dụng</t>
  </si>
  <si>
    <t xml:space="preserve">Regression theo rule chính thức BR-CON-02 / C-ASN-01 (Resolved 2026-07-27) — bản demo hiện tại có thể lộ SĐT sớm (là BUG), TC này chủ đích bắt gap đó</t>
  </si>
  <si>
    <t xml:space="preserve">Block Chi tiết tin — Nút hành động vận chuyển</t>
  </si>
  <si>
    <t xml:space="preserve">DOC-v1.0-01 §D3 (ASN-01) + DOC-v1.0-02 §4.2</t>
  </si>
  <si>
    <t xml:space="preserve">Check bấm "Tôi mang giúp được" khi tin còn "Chờ ghép" mở modal xác nhận</t>
  </si>
  <si>
    <t xml:space="preserve">Tin đang ở "Chờ ghép"; người xem là Carrier, KHÔNG phải chủ tin và KHÔNG phải Người nhận của đơn</t>
  </si>
  <si>
    <t xml:space="preserve">1. Mở app FoxEco
2. Bấm tab "Bảng tin", bấm vào 1 tin để mở màn Chi tiết tin
3. Bấm nút "Tôi mang giúp được"</t>
  </si>
  <si>
    <t xml:space="preserve">3. Hiển thị modal "Xác nhận mang giúp"; đơn CHƯA đổi trạng thái (vẫn "Chờ ghép") cho tới khi bấm Xác nhận</t>
  </si>
  <si>
    <t xml:space="preserve">Check Sender nhận được thông báo push + in-app khi Carrier gửi đề nghị mang giúp</t>
  </si>
  <si>
    <t xml:space="preserve">Carrier vừa xác nhận mang giúp 1 tin của Sender; thiết bị của Sender đang bật thông báo</t>
  </si>
  <si>
    <t xml:space="preserve">1. Trên thiết bị Carrier: mở Chi tiết tin của tin "Chờ ghép", bấm "Tôi mang giúp được" rồi "Xác nhận"
2. Chuyển sang thiết bị của Sender (chủ tin)
3. Quan sát thông báo push và danh sách thông báo in-app</t>
  </si>
  <si>
    <t xml:space="preserve">3. Sender nhận được cả thông báo push lẫn thông báo in-app về đề nghị mang giúp của Carrier đó</t>
  </si>
  <si>
    <t xml:space="preserve">DOC-v1.0-01 §D7 (OPR-05) + DOC-v1.0-02 §3.3</t>
  </si>
  <si>
    <t xml:space="preserve">Check nút "Tôi mang giúp được" ẨN/disable khi người xem chính là chủ tin</t>
  </si>
  <si>
    <t xml:space="preserve">Tin do chính user đang đăng nhập đăng (vai trò Sender), tin đang ở "Chờ ghép"</t>
  </si>
  <si>
    <t xml:space="preserve">1. Mở app FoxEco bằng tài khoản đã đăng tin
2. Bấm tab "Bảng tin", mở Chi tiết tin của chính tin mình đăng
3. Quan sát vùng nút hành động vận chuyển</t>
  </si>
  <si>
    <t xml:space="preserve">3. Nút "Tôi mang giúp được" bị ẩn hoặc disable — chủ tin KHÔNG tự nhận mang giúp tin của mình được</t>
  </si>
  <si>
    <t xml:space="preserve">Technique: EP-viewer-owner | Regression theo OPR-05 / C-ASN-02 (Resolved 2026-07-27) — bản demo hiện tại vi phạm rule này (DOC-v1.0-02 §3.3 Lưu ý ⚠), TC chủ đích bắt gap</t>
  </si>
  <si>
    <t xml:space="preserve">Check nút "Tôi mang giúp được" ẨN/disable khi người xem là Người nhận của đơn</t>
  </si>
  <si>
    <t xml:space="preserve">Tin đang ở "Chờ ghép"; user đang đăng nhập là Người nhận (Receiver) được khai báo trên chính tin đó</t>
  </si>
  <si>
    <t xml:space="preserve">1. Mở app FoxEco bằng tài khoản là Người nhận của tin
2. Bấm tab "Bảng tin", mở Chi tiết tin của tin đó
3. Quan sát vùng nút hành động vận chuyển</t>
  </si>
  <si>
    <t xml:space="preserve">3. Nút "Tôi mang giúp được" bị ẩn hoặc disable — Người nhận KHÔNG đồng thời làm người vận chuyển của cùng đơn</t>
  </si>
  <si>
    <t xml:space="preserve">Technique: EP-viewer-receiver | Regression theo OPR-05 / C-ASN-02 (Resolved 2026-07-27)</t>
  </si>
  <si>
    <t xml:space="preserve">Check nút "Tôi mang giúp được" HIỂN THỊ khi người xem là bên thứ ba</t>
  </si>
  <si>
    <t xml:space="preserve">Tin đang ở "Chờ ghép"; user đang đăng nhập KHÔNG phải chủ tin và KHÔNG phải Người nhận của đơn</t>
  </si>
  <si>
    <t xml:space="preserve">1. Mở app FoxEco
2. Bấm tab "Bảng tin", bấm vào 1 tin để mở màn Chi tiết tin
3. Quan sát vùng nút hành động vận chuyển</t>
  </si>
  <si>
    <t xml:space="preserve">3. Nút "Tôi mang giúp được" hiển thị bình thường và bấm được</t>
  </si>
  <si>
    <t xml:space="preserve">Technique: EP-viewer-third-party (partition hợp lệ, đối chứng cho 2 partition bị cấm ở trên)</t>
  </si>
  <si>
    <t xml:space="preserve">Check tin do chính user đăng VẪN hiển thị bình thường trong danh sách Bảng tin</t>
  </si>
  <si>
    <t xml:space="preserve">User đã đăng ít nhất 1 tin đang ở trạng thái "Chờ ghép"</t>
  </si>
  <si>
    <t xml:space="preserve">1. Mở app FoxEco
2. Bấm tab "Bảng tin" tại bottom nav
3. Tìm tin do chính user đăng trong danh sách</t>
  </si>
  <si>
    <t xml:space="preserve">3. Tin do chính user đăng VẪN xuất hiện trong danh sách Bảng tin (chỉ nút "Tôi mang giúp được" ở Chi tiết tin bị ẩn/disable, tin KHÔNG bị ẩn khỏi feed)</t>
  </si>
  <si>
    <t xml:space="preserve">Đối chứng phân biệt phạm vi OPR-05: cấm ở tầng NÚT HÀNH ĐỘNG, không phải ẩn tin khỏi danh sách (xem Analyst Note Block "Danh sách tin đăng", test_scenario_map.md)</t>
  </si>
  <si>
    <t xml:space="preserve">DOC-v1.0-01 §D3/§D4 (MTCH-01, BR-MTCH-01)</t>
  </si>
  <si>
    <t xml:space="preserve">Check Carrier bấm "Nhận giao" từ thông báo khớp tuyến → đơn chuyển "Đã ghép"</t>
  </si>
  <si>
    <t xml:space="preserve">Carrier đã đăng tuyến OFFER và vừa nhận thông báo khớp tuyến về 1 tin NEED phù hợp</t>
  </si>
  <si>
    <t xml:space="preserve">1. Mở app FoxEco bằng tài khoản Carrier, mở màn Thông báo
2. Bấm thông báo khớp tuyến để mở Chi tiết tin của tin NEED phù hợp
3. Bấm "Nhận giao" và xác nhận</t>
  </si>
  <si>
    <t xml:space="preserve">3. Đơn chuyển sang trạng thái "Đã ghép", liên hệ 2 bên được lộ và Carrier vào được màn Theo dõi đơn</t>
  </si>
  <si>
    <t xml:space="preserve">⚠ Thuộc nhánh auto-match tuyến OFFER↔NEED — `Project_rule.md` Phase 1 Scope liệt kê nhánh này là NGOÀI phạm vi Phase 1 (PM chưa trả lời dứt điểm). Giữ TC để không mất coverage `SC-ASN-007`, đánh dấu chờ PM chốt scope trước khi đưa vào vòng chạy</t>
  </si>
  <si>
    <t xml:space="preserve">Block Modal xác nhận mang giúp</t>
  </si>
  <si>
    <t xml:space="preserve">DOC-v1.0-01 §A5 (BR-CON-01/02) + DOC-v1.0-02 §4.2</t>
  </si>
  <si>
    <t xml:space="preserve">Check đầy đủ + đúng 3 thành phần hiển thị tại modal "Xác nhận mang giúp"</t>
  </si>
  <si>
    <t xml:space="preserve">Đang ở Chi tiết tin của 1 tin "Chờ ghép", đã bấm nút "Tôi mang giúp được"</t>
  </si>
  <si>
    <t xml:space="preserve">1. Mở app FoxEco
2. Bấm tab "Bảng tin", mở Chi tiết tin của 1 tin "Chờ ghép"
3. Bấm "Tôi mang giúp được" và quan sát modal vừa hiện</t>
  </si>
  <si>
    <t xml:space="preserve">3. Modal hiển thị đủ 3 thành phần: (1) nội dung cảnh báo SĐT hai bên sẽ được lộ sau khi xác nhận, (2) nút "Huỷ", (3) nút "Xác nhận"</t>
  </si>
  <si>
    <t xml:space="preserve">Check bấm "Huỷ" trong modal xác nhận → đóng modal, đơn KHÔNG đổi trạng thái</t>
  </si>
  <si>
    <t xml:space="preserve">Modal "Xác nhận mang giúp" đang mở trên 1 tin "Chờ ghép"</t>
  </si>
  <si>
    <t xml:space="preserve">1. Mở app FoxEco
2. Bấm tab "Bảng tin", mở Chi tiết tin của 1 tin "Chờ ghép", bấm "Tôi mang giúp được"
3. Bấm nút "Huỷ" trong modal</t>
  </si>
  <si>
    <t xml:space="preserve">3. Modal đóng lại, quay về màn Chi tiết tin; đơn giữ nguyên trạng thái "Chờ ghép", SĐT hai bên KHÔNG bị lộ</t>
  </si>
  <si>
    <t xml:space="preserve">Technique: EP-cancel (partition không xác nhận)</t>
  </si>
  <si>
    <t xml:space="preserve">Check bấm "Xác nhận" trong modal → đơn chuyển "Đã ghép" ngay, không cần chủ tin duyệt</t>
  </si>
  <si>
    <t xml:space="preserve">1. Mở app FoxEco bằng tài khoản Carrier
2. Bấm tab "Bảng tin", mở Chi tiết tin của 1 tin "Chờ ghép", bấm "Tôi mang giúp được"
3. Bấm nút "Xác nhận" trong modal</t>
  </si>
  <si>
    <t xml:space="preserve">3. Đơn chuyển sang trạng thái "Đã ghép" NGAY lập tức, không phát sinh bước chờ chủ tin duyệt</t>
  </si>
  <si>
    <t xml:space="preserve">Technique: ST-posted-matched (transition tại modal xác nhận) | EP-confirm (partition xác nhận, cặp với EP-cancel)</t>
  </si>
  <si>
    <t xml:space="preserve">Check SĐT hai bên được lộ và nút "Gọi" khả dụng ngay sau khi ghép</t>
  </si>
  <si>
    <t xml:space="preserve">1 đơn vừa chuyển sang trạng thái "Đã ghép" (Carrier vừa bấm Xác nhận)</t>
  </si>
  <si>
    <t xml:space="preserve">1. Trên thiết bị Carrier: sau khi ghép, mở lại màn chi tiết/theo dõi của đơn vừa ghép
2. Quan sát phần liên hệ của Người gửi
3. Đổi sang thiết bị Sender, mở đơn tương ứng và quan sát phần liên hệ của Carrier</t>
  </si>
  <si>
    <t xml:space="preserve">3. Cả 2 phía đều thấy SĐT của đối phương và nút "Gọi" khả dụng (chỉ lộ SAU khi ghép, và chỉ cho đúng 2 người trong cặp ghép)</t>
  </si>
  <si>
    <t xml:space="preserve">Check cả 3 khung Người gửi/Người vận chuyển/Người nhận đổi trạng thái tức thời sau khi ghép</t>
  </si>
  <si>
    <t xml:space="preserve">3 tài khoản Sender / Carrier / Receiver của cùng 1 đơn đang mở app đồng thời; đơn đang ở "Chờ ghép"</t>
  </si>
  <si>
    <t xml:space="preserve">1. Trên thiết bị Carrier: mở Chi tiết tin, bấm "Tôi mang giúp được" rồi "Xác nhận"
2. Ngay sau đó quan sát màn đơn trên thiết bị Sender
3. Ngay sau đó quan sát màn đơn trên thiết bị Receiver</t>
  </si>
  <si>
    <t xml:space="preserve">3. Cả 3 khung (Người gửi / Người vận chuyển / Người nhận) đều hiển thị trạng thái "Đã ghép" tức thời, không cần thao tác tải lại thủ công</t>
  </si>
  <si>
    <t xml:space="preserve">DOC-v1.0-01 §D3/§D7 (ASN-03, OPR-03)</t>
  </si>
  <si>
    <t xml:space="preserve">Check 2 Carrier bấm "Tôi mang giúp được" gần đồng thời → chỉ 1 người ghép thành công</t>
  </si>
  <si>
    <t xml:space="preserve">2 tài khoản Carrier khác nhau cùng mở sẵn màn Chi tiết tin của CÙNG 1 tin đang "Chờ ghép"</t>
  </si>
  <si>
    <t xml:space="preserve">1. Trên cả 2 thiết bị Carrier: bấm "Tôi mang giúp được" để mở modal xác nhận
2. Bấm "Xác nhận" trên cả 2 thiết bị gần như đồng thời
3. Quan sát kết quả trên từng thiết bị</t>
  </si>
  <si>
    <t xml:space="preserve">3. Chỉ 1 Carrier ghép thành công (đơn chuyển "Đã ghép" đúng 1 lần, không tạo 2 bản ghi ghép); Carrier còn lại nhận thông báo tin đã có người nhận và KHÔNG được ghép</t>
  </si>
  <si>
    <t xml:space="preserve">Test integrity quan trọng nhất module (race condition / transaction lock) — cần chạy thủ công đa thiết bị, tham khảo `/vibe-multi`</t>
  </si>
  <si>
    <t xml:space="preserve">Block Theo dõi đơn (Sender) — Trạng thái &amp; lộ trình</t>
  </si>
  <si>
    <t xml:space="preserve">DOC-v1.0-02 §3.6 Table 9</t>
  </si>
  <si>
    <t xml:space="preserve">Check đầy đủ + đúng 5 khối hiển thị tại màn Theo dõi đơn của Người gửi</t>
  </si>
  <si>
    <t xml:space="preserve">Đơn đang ở trạng thái "Đã ghép" (đã có Người vận chuyển nhận)</t>
  </si>
  <si>
    <t xml:space="preserve">1. Mở app FoxEco bằng tài khoản Người gửi (Sender)
2. Bấm tab "Hoạt động", mở đơn cần theo dõi để vào màn "Theo dõi đơn"
3. Quan sát toàn bộ màn Theo dõi đơn từ trên xuống dưới</t>
  </si>
  <si>
    <t xml:space="preserve">3. Màn hiển thị đủ 5 khối: (1) thanh 5 bước trạng thái "Chờ ghép → Lấy hàng → Đang giao → Đã giao → Hoàn thành", (2) Lộ trình (điểm lấy + điểm giao + khung "Bản đồ · ~X km"), (3) Liên hệ Người vận chuyển (tên + SĐT + nút "Gọi"), (4) Lịch sử (timeline mốc sự kiện), (5) nhãn trạng thái ở đáy màn</t>
  </si>
  <si>
    <t xml:space="preserve">Check khối "Liên hệ Người vận chuyển" KHÔNG hiển thị khi đơn còn "Chờ ghép"</t>
  </si>
  <si>
    <t xml:space="preserve">Đơn đang ở trạng thái "Chờ ghép", chưa ai nhận</t>
  </si>
  <si>
    <t xml:space="preserve">1. Mở app FoxEco bằng tài khoản Người gửi (Sender)
2. Bấm tab "Hoạt động", mở đơn cần theo dõi để vào màn "Theo dõi đơn"
3. Quan sát vị trí khối "Liên hệ Người vận chuyển"</t>
  </si>
  <si>
    <t xml:space="preserve">3. Khối "Liên hệ Người vận chuyển" KHÔNG hiển thị (chỉ hiện sau khi ghép)</t>
  </si>
  <si>
    <t xml:space="preserve">Technique: EP-not-matched (cặp với EP-matched ở TC kế tiếp)</t>
  </si>
  <si>
    <t xml:space="preserve">Check khối "Liên hệ Người vận chuyển" hiển thị đúng dữ liệu sau khi đơn đã ghép</t>
  </si>
  <si>
    <t xml:space="preserve">Đơn vừa chuyển sang trạng thái "Đã ghép" với 1 Carrier đã biết trước tên + SĐT</t>
  </si>
  <si>
    <t xml:space="preserve">1. Mở app FoxEco bằng tài khoản Người gửi (Sender)
2. Bấm tab "Hoạt động", mở đơn cần theo dõi để vào màn "Theo dõi đơn"
3. Quan sát khối "Liên hệ Người vận chuyển"</t>
  </si>
  <si>
    <t xml:space="preserve">3. Khối hiển thị đúng tên + SĐT của Carrier đã ghép, kèm nút "Gọi" khả dụng</t>
  </si>
  <si>
    <t xml:space="preserve">Check icon quay lại tại màn Theo dõi đơn</t>
  </si>
  <si>
    <t xml:space="preserve">Tài khoản có ít nhất 1 đơn đang hoạt động</t>
  </si>
  <si>
    <t xml:space="preserve">1. Mở app FoxEco
2. Bấm tab "Hoạt động" tại bottom nav
3. Bấm vào 1 card đơn bất kỳ để mở màn Theo dõi đơn
4. Bấm icon quay lại (←) ở Header</t>
  </si>
  <si>
    <t xml:space="preserve">4. Điều hướng đúng về màn Hoạt động</t>
  </si>
  <si>
    <t xml:space="preserve">Block Theo dõi đơn (Carrier) — Liên hệ 2 phía &amp; nút hành động</t>
  </si>
  <si>
    <t xml:space="preserve">DOC-v1.0-02 §4.3 Table 11/12</t>
  </si>
  <si>
    <t xml:space="preserve">Check đầy đủ + đúng 2 khối liên hệ hiển thị tại màn Theo dõi đơn của Người vận chuyển</t>
  </si>
  <si>
    <t xml:space="preserve">Đơn đang ở trạng thái "Đã ghép", user đăng nhập là Carrier của đơn</t>
  </si>
  <si>
    <t xml:space="preserve">1. Mở app FoxEco bằng tài khoản Người vận chuyển (Carrier)
2. Bấm tab "Hoạt động", mở đơn đang nhận để vào màn "Theo dõi đơn"
3. Quan sát vùng thông tin liên hệ trên màn Theo dõi đơn</t>
  </si>
  <si>
    <t xml:space="preserve">3. Hiển thị đủ 2 khối "NGƯỜI GỬI" và "NGƯỜI NHẬN", mỗi khối có đủ tên + SĐT + nút "Gọi" — vai trò trung gian phải liên hệ được cả 2 đầu</t>
  </si>
  <si>
    <t xml:space="preserve">Check đầy đủ + đúng nhãn nút hành động của Carrier tại cả 3 trạng thái</t>
  </si>
  <si>
    <t xml:space="preserve">Có sẵn 3 đơn của cùng Carrier lần lượt ở 3 trạng thái: "Lấy hàng" (đã ghép), "Đang giao", "Đã giao"</t>
  </si>
  <si>
    <t xml:space="preserve">1. Mở app FoxEco bằng tài khoản Carrier
2. Bấm tab "Hoạt động", mở lần lượt từng đơn ở 3 trạng thái trên
3. Quan sát nút hành động ở đáy màn Theo dõi đơn của từng đơn</t>
  </si>
  <si>
    <t xml:space="preserve">3. Nút hành động hiển thị đúng theo từng trạng thái: (1) "Lấy hàng" → nút "✓ Tôi đã lấy hàng" (bấm được), (2) "Đang giao" → nút "✓ Đã giao cho người nhận" (bấm được), (3) "Đã giao" → chuyển thành NHÃN "✓ Đã giao · chờ người nhận xác nhận" (không bấm được)</t>
  </si>
  <si>
    <t xml:space="preserve">Check nút hành động của Carrier chuyển thành nhãn không bấm được khi đơn ở "Đã giao"</t>
  </si>
  <si>
    <t xml:space="preserve">Đơn đang ở trạng thái "Đã giao" (DELIVERED), Carrier đã bấm "Đã giao cho người nhận" trước đó</t>
  </si>
  <si>
    <t xml:space="preserve">1. Mở app FoxEco bằng tài khoản Người vận chuyển (Carrier)
2. Bấm tab "Hoạt động", mở đơn đang nhận để vào màn "Theo dõi đơn"
3. Bấm thử vào vùng nhãn hành động ở đáy màn</t>
  </si>
  <si>
    <t xml:space="preserve">3. Vùng hành động hiển thị nhãn "✓ Đã giao · chờ người nhận xác nhận" và KHÔNG phản hồi khi bấm — quyền chốt đơn đã chuyển sang Người nhận</t>
  </si>
  <si>
    <t xml:space="preserve">Block Theo dõi đơn (Receiver) — Liên hệ &amp; nút xác nhận</t>
  </si>
  <si>
    <t xml:space="preserve">DOC-v1.0-02 §5.2 Table 14</t>
  </si>
  <si>
    <t xml:space="preserve">Check đầy đủ + đúng 2 khối hiển thị tại màn Theo dõi đơn của Người nhận sau khi ghép</t>
  </si>
  <si>
    <t xml:space="preserve">Đơn đang ở trạng thái "Đã ghép", user đăng nhập là Receiver của đơn</t>
  </si>
  <si>
    <t xml:space="preserve">1. Mở app FoxEco bằng tài khoản Người nhận (Receiver)
2. Bấm tab "Hoạt động", mở đơn cần theo dõi để vào màn "Theo dõi đơn"
3. Quan sát vùng liên hệ và vùng nút hành động</t>
  </si>
  <si>
    <t xml:space="preserve">3. Hiển thị đủ: (1) khối "NGƯỜI GIAO HÀNG" gồm tên Carrier + SĐT + nút "Gọi" — KHÔNG hiển thị lại thông tin Người gửi, (2) nút CTA ở đáy màn đang ở trạng thái bị động</t>
  </si>
  <si>
    <t xml:space="preserve">Check nút "Xác nhận đã nhận hàng" bị động khi đơn đang "Chờ ghép"</t>
  </si>
  <si>
    <t xml:space="preserve">Đơn đang ở trạng thái "Chờ ghép", user đăng nhập là Receiver của đơn</t>
  </si>
  <si>
    <t xml:space="preserve">1. Mở app FoxEco bằng tài khoản Người nhận (Receiver)
2. Bấm tab "Hoạt động", mở đơn cần theo dõi để vào màn "Theo dõi đơn"
3. Quan sát và bấm thử nút CTA ở đáy màn</t>
  </si>
  <si>
    <t xml:space="preserve">3. Nút CTA ở trạng thái bị động (không bấm được), đơn không đổi trạng thái</t>
  </si>
  <si>
    <t xml:space="preserve">Check nút "Xác nhận đã nhận hàng" bị động khi đơn đang "Lấy hàng" (đã ghép)</t>
  </si>
  <si>
    <t xml:space="preserve">Đơn đang ở trạng thái "Đã ghép" (bước stepper "Lấy hàng"), user đăng nhập là Receiver</t>
  </si>
  <si>
    <t xml:space="preserve">Check nút "Xác nhận đã nhận hàng" bị động khi đơn đang "Đang giao"</t>
  </si>
  <si>
    <t xml:space="preserve">Đơn đang ở trạng thái "Đang giao" (IN_TRANSIT), user đăng nhập là Receiver</t>
  </si>
  <si>
    <t xml:space="preserve">Check nút "✓ Xác nhận đã nhận hàng" kích hoạt (cam, bấm được) khi đơn = "Đã giao"</t>
  </si>
  <si>
    <t xml:space="preserve">Đơn đang ở trạng thái "Đã giao" (DELIVERED), user đăng nhập là Receiver</t>
  </si>
  <si>
    <t xml:space="preserve">1. Mở app FoxEco bằng tài khoản Người nhận (Receiver)
2. Bấm tab "Hoạt động", mở đơn cần theo dõi để vào màn "Theo dõi đơn"
3. Quan sát nút CTA ở đáy màn</t>
  </si>
  <si>
    <t xml:space="preserve">3. Nút hiển thị nhãn "✓ Xác nhận đã nhận hàng" ở trạng thái kích hoạt (nền cam, bấm được) — đây là partition DUY NHẤT nút này active</t>
  </si>
  <si>
    <t xml:space="preserve">Technique: EP-delivered (partition hợp lệ duy nhất, đối chứng cho 3 partition bị động ở trên)</t>
  </si>
  <si>
    <t xml:space="preserve">Block Chuyển trạng thái Lấy hàng → Đang giao → Đã giao (Carrier)</t>
  </si>
  <si>
    <t xml:space="preserve">DOC-v1.0-01 §D1b (US-D09)</t>
  </si>
  <si>
    <t xml:space="preserve">Check Carrier bấm "Tôi đã lấy hàng" và xác nhận popup → đơn chuyển "Đang giao"</t>
  </si>
  <si>
    <t xml:space="preserve">Đơn đang ở trạng thái "Đã ghép" (bước "Lấy hàng"), user đăng nhập là Carrier của đơn</t>
  </si>
  <si>
    <t xml:space="preserve">1. Mở app FoxEco bằng tài khoản Người vận chuyển (Carrier)
2. Bấm tab "Hoạt động", mở đơn đang nhận để vào màn "Theo dõi đơn"
3. Bấm nút "✓ Tôi đã lấy hàng", đọc popup "Xác nhận" rồi bấm "Xác nhận"</t>
  </si>
  <si>
    <t xml:space="preserve">3. Popup "Xác nhận" hiển thị nội dung "Bạn xác nhận đã lấy hàng từ người gửi và bắt đầu giao?"; sau khi bấm "Xác nhận", đơn chuyển sang trạng thái "Đang giao" và thanh 5 bước tiến sang bước tương ứng</t>
  </si>
  <si>
    <t xml:space="preserve">Technique: ST-matched-intransit</t>
  </si>
  <si>
    <t xml:space="preserve">Check bấm "Huỷ" trên popup xác nhận lấy hàng → đơn KHÔNG đổi trạng thái</t>
  </si>
  <si>
    <t xml:space="preserve">Đơn đang ở trạng thái "Đã ghép", popup xác nhận lấy hàng vừa được mở</t>
  </si>
  <si>
    <t xml:space="preserve">1. Mở app FoxEco bằng tài khoản Người vận chuyển (Carrier)
2. Bấm tab "Hoạt động", mở đơn đang nhận để vào màn "Theo dõi đơn"
3. Bấm nút "✓ Tôi đã lấy hàng" để mở popup, sau đó bấm "Huỷ"</t>
  </si>
  <si>
    <t xml:space="preserve">3. Popup đóng lại, đơn giữ nguyên trạng thái "Đã ghép" và nút "✓ Tôi đã lấy hàng" vẫn còn khả dụng</t>
  </si>
  <si>
    <t xml:space="preserve">Technique: EP-cancel (popup lấy hàng)</t>
  </si>
  <si>
    <t xml:space="preserve">Check Carrier bấm "Đã giao cho người nhận" và xác nhận popup → đơn chuyển "Đã giao"</t>
  </si>
  <si>
    <t xml:space="preserve">Đơn đang ở trạng thái "Đang giao" (IN_TRANSIT), user đăng nhập là Carrier của đơn</t>
  </si>
  <si>
    <t xml:space="preserve">1. Mở app FoxEco bằng tài khoản Người vận chuyển (Carrier)
2. Bấm tab "Hoạt động", mở đơn đang nhận để vào màn "Theo dõi đơn"
3. Bấm nút "✓ Đã giao cho người nhận", đọc popup "Xác nhận" rồi bấm "Xác nhận"</t>
  </si>
  <si>
    <t xml:space="preserve">3. Popup "Xác nhận" hiển thị nội dung "Bạn xác nhận đã giao hàng tận tay người nhận?"; sau khi bấm "Xác nhận", đơn chuyển sang trạng thái "Đã giao"</t>
  </si>
  <si>
    <t xml:space="preserve">Technique: ST-intransit-delivered</t>
  </si>
  <si>
    <t xml:space="preserve">Check bấm "Huỷ" trên popup xác nhận giao hàng → đơn KHÔNG đổi trạng thái</t>
  </si>
  <si>
    <t xml:space="preserve">Đơn đang ở trạng thái "Đang giao", popup xác nhận giao hàng vừa được mở</t>
  </si>
  <si>
    <t xml:space="preserve">1. Mở app FoxEco bằng tài khoản Người vận chuyển (Carrier)
2. Bấm tab "Hoạt động", mở đơn đang nhận để vào màn "Theo dõi đơn"
3. Bấm nút "✓ Đã giao cho người nhận" để mở popup, sau đó bấm "Huỷ"</t>
  </si>
  <si>
    <t xml:space="preserve">3. Popup đóng lại, đơn giữ nguyên trạng thái "Đang giao"</t>
  </si>
  <si>
    <t xml:space="preserve">Technique: EP-cancel (popup giao hàng)</t>
  </si>
  <si>
    <t xml:space="preserve">Check KHÔNG thể bấm "Đã giao cho người nhận" trước khi bấm "Tôi đã lấy hàng"</t>
  </si>
  <si>
    <t xml:space="preserve">Đơn đang ở trạng thái "Đã ghép" (MATCHED), Carrier CHƯA bấm "Tôi đã lấy hàng"</t>
  </si>
  <si>
    <t xml:space="preserve">1. Mở app FoxEco bằng tài khoản Người vận chuyển (Carrier)
2. Bấm tab "Hoạt động", mở đơn đang nhận để vào màn "Theo dõi đơn"
3. Tìm và thử bấm nút "✓ Đã giao cho người nhận" trên màn Theo dõi đơn</t>
  </si>
  <si>
    <t xml:space="preserve">3. Nút "✓ Đã giao cho người nhận" chưa xuất hiện (hoặc disable) — chỉ có nút "✓ Tôi đã lấy hàng"; đơn giữ nguyên "Đã ghép", không nhảy tắt sang "Đã giao"</t>
  </si>
  <si>
    <t xml:space="preserve">Technique: ST-invalid-matched-delivered (transition bỏ bước, phải bị chặn)</t>
  </si>
  <si>
    <t xml:space="preserve">Block Xác nhận đã nhận hàng → Hoàn thành (Receiver)</t>
  </si>
  <si>
    <t xml:space="preserve">REQ-DLV-003, REQ-DLV-006</t>
  </si>
  <si>
    <t xml:space="preserve">DOC-v1.0-01 §D3/§D4/§A5 (DLV-03, BR-CNF-04, BR-INT-03)</t>
  </si>
  <si>
    <t xml:space="preserve">Check đầy đủ + đúng 3 thành phần hiển thị tại popup "Xác nhận" đã nhận hàng</t>
  </si>
  <si>
    <t xml:space="preserve">Đơn đang ở trạng thái "Đã giao", user đăng nhập là Receiver và vừa bấm "✓ Xác nhận đã nhận hàng"</t>
  </si>
  <si>
    <t xml:space="preserve">1. Mở app FoxEco bằng tài khoản Người nhận (Receiver)
2. Bấm tab "Hoạt động", mở đơn cần theo dõi để vào màn "Theo dõi đơn"
3. Bấm nút "✓ Xác nhận đã nhận hàng" và quan sát popup vừa hiện</t>
  </si>
  <si>
    <t xml:space="preserve">3. Popup hiển thị đủ 3 thành phần: (1) tiêu đề "Xác nhận", (2) nội dung "Bạn xác nhận đã nhận được hàng từ người vận chuyển?", (3) 2 nút "Huỷ" và "Xác nhận"</t>
  </si>
  <si>
    <t xml:space="preserve">Field/column completeness check — auto-derived (xem generate.md Step 3b) | UI chính thức v1.0 là modal đơn giản (C-DLV-03 Resolved 2026-07-27) — form đầy đủ (ảnh bằng chứng/điểm uy tín) out of scope, KHÔNG assert</t>
  </si>
  <si>
    <t xml:space="preserve">Check Receiver xác nhận đã nhận hàng → đơn chuyển "Hoàn thành" ngay lập tức</t>
  </si>
  <si>
    <t xml:space="preserve">Đơn đang ở trạng thái "Đã giao", user đăng nhập là Receiver của đơn</t>
  </si>
  <si>
    <t xml:space="preserve">1. Mở app FoxEco bằng tài khoản Người nhận (Receiver)
2. Bấm tab "Hoạt động", mở đơn cần theo dõi để vào màn "Theo dõi đơn"
3. Bấm nút "✓ Xác nhận đã nhận hàng" rồi bấm "Xác nhận" trong popup</t>
  </si>
  <si>
    <t xml:space="preserve">3. Đơn chuyển sang trạng thái "Hoàn thành" NGAY lập tức (không phát sinh bước chờ duyệt nào), thanh 5 bước tiến tới bước cuối</t>
  </si>
  <si>
    <t xml:space="preserve">Technique: ST-delivered-completed | Actor được quyền chốt đơn = Receiver-only (C-DLV-01 Resolved)</t>
  </si>
  <si>
    <t xml:space="preserve">Check bấm "Huỷ" trên popup xác nhận đã nhận hàng → đơn KHÔNG đổi trạng thái</t>
  </si>
  <si>
    <t xml:space="preserve">Đơn đang ở trạng thái "Đã giao", popup xác nhận đã nhận hàng vừa được mở</t>
  </si>
  <si>
    <t xml:space="preserve">1. Mở app FoxEco bằng tài khoản Người nhận (Receiver)
2. Bấm tab "Hoạt động", mở đơn cần theo dõi để vào màn "Theo dõi đơn"
3. Bấm nút "✓ Xác nhận đã nhận hàng" để mở popup, sau đó bấm "Huỷ"</t>
  </si>
  <si>
    <t xml:space="preserve">3. Popup đóng lại, đơn giữ nguyên trạng thái "Đã giao" và nút "✓ Xác nhận đã nhận hàng" vẫn khả dụng</t>
  </si>
  <si>
    <t xml:space="preserve">Technique: EP-cancel (popup xác nhận đã nhận hàng)</t>
  </si>
  <si>
    <t xml:space="preserve">Check Lịch sử ghi mốc "Hoàn thành &amp; đã đánh giá" sau khi Receiver xác nhận</t>
  </si>
  <si>
    <t xml:space="preserve">Đơn vừa chuyển sang trạng thái "Hoàn thành" do Receiver xác nhận</t>
  </si>
  <si>
    <t xml:space="preserve">1. Mở app FoxEco bằng tài khoản Người nhận (Receiver)
2. Bấm tab "Hoạt động", mở đơn cần theo dõi để vào màn "Theo dõi đơn"
3. Cuộn xuống khối "Lịch sử" trên màn Theo dõi đơn</t>
  </si>
  <si>
    <t xml:space="preserve">3. Khối "Lịch sử" ghi thêm mốc "Hoàn thành &amp; đã đánh giá" kèm timestamp, nối tiếp đúng thứ tự sau mốc "Đã giao"</t>
  </si>
  <si>
    <t xml:space="preserve">Check màn của Sender và Carrier tự chuyển "Hoàn thành" khi Receiver xác nhận</t>
  </si>
  <si>
    <t xml:space="preserve">3 tài khoản Sender / Carrier / Receiver của cùng 1 đơn đang mở sẵn màn Theo dõi đơn; đơn đang ở "Đã giao"</t>
  </si>
  <si>
    <t xml:space="preserve">1. Trên thiết bị Receiver: bấm "✓ Xác nhận đã nhận hàng" rồi "Xác nhận"
2. Ngay sau đó quan sát màn Theo dõi đơn đang mở trên thiết bị Sender
3. Ngay sau đó quan sát màn Theo dõi đơn đang mở trên thiết bị Carrier</t>
  </si>
  <si>
    <t xml:space="preserve">3. Cả màn Sender lẫn màn Carrier đều tự cập nhật sang trạng thái "Hoàn thành" mà KHÔNG cần thao tác tải lại thủ công</t>
  </si>
  <si>
    <t xml:space="preserve">Block Ma trận nhãn nút theo trạng thái × vai trò</t>
  </si>
  <si>
    <t xml:space="preserve">DOC-v1.0-04 + DOC-v1.0-05 (ma trận nhãn nút)</t>
  </si>
  <si>
    <t xml:space="preserve">Check nhãn CTA của Người gửi khi đơn đang "Chờ ghép"</t>
  </si>
  <si>
    <t xml:space="preserve">Đơn đang ở trạng thái "Chờ ghép", user đăng nhập là Sender của đơn</t>
  </si>
  <si>
    <t xml:space="preserve">1. Mở app FoxEco bằng tài khoản Người gửi (Sender)
2. Bấm tab "Hoạt động", mở đơn cần theo dõi để vào màn "Theo dõi đơn"
3. Quan sát nhãn CTA ở đáy màn</t>
  </si>
  <si>
    <t xml:space="preserve">3. Hiển thị nhãn "Đang chờ người vận chuyển nhận đơn" ở trạng thái disable, kèm 2 nút "Chỉnh sửa" và "Huỷ đơn"</t>
  </si>
  <si>
    <t xml:space="preserve">Technique: EP-sender-posted | Mở rộng theo Block Definition ma trận nhãn (hàng "Chờ ghép"), ngoài Given gốc của SC-DLV-012 (bắt đầu từ "Đã ghép")</t>
  </si>
  <si>
    <t xml:space="preserve">Check nhãn CTA của Người nhận khi đơn đang "Chờ ghép"</t>
  </si>
  <si>
    <t xml:space="preserve">1. Mở app FoxEco bằng tài khoản Người nhận (Receiver)
2. Bấm tab "Hoạt động", mở đơn cần theo dõi để vào màn "Theo dõi đơn"
3. Quan sát nhãn CTA ở đáy màn</t>
  </si>
  <si>
    <t xml:space="preserve">3. Hiển thị nhãn "Đang chờ người vận chuyển nhận đơn" ở trạng thái disable, kèm nút "Huỷ đơn"</t>
  </si>
  <si>
    <t xml:space="preserve">Technique: EP-receiver-posted | Mở rộng theo Block Definition ma trận nhãn (hàng "Chờ ghép")</t>
  </si>
  <si>
    <t xml:space="preserve">Check nhãn CTA của Người gửi khi đơn đang "Đã ghép"</t>
  </si>
  <si>
    <t xml:space="preserve">Đơn đang ở trạng thái "Đã ghép", user đăng nhập là Sender của đơn</t>
  </si>
  <si>
    <t xml:space="preserve">3. Hiển thị nhãn "Đã ghép · chờ shipper lấy hàng" ở trạng thái disable, kèm nút "Huỷ đơn"</t>
  </si>
  <si>
    <t xml:space="preserve">Technique: EP-sender-matched</t>
  </si>
  <si>
    <t xml:space="preserve">Check nhãn CTA của Người nhận khi đơn đang "Đã ghép"</t>
  </si>
  <si>
    <t xml:space="preserve">3. Hiển thị nhãn "Đã có người vận chuyển · chờ lấy hàng" ở trạng thái disable, kèm nút "Huỷ đơn"</t>
  </si>
  <si>
    <t xml:space="preserve">Technique: EP-receiver-matched</t>
  </si>
  <si>
    <t xml:space="preserve">Check nhãn CTA của Người gửi khi đơn đang "Đang giao"</t>
  </si>
  <si>
    <t xml:space="preserve">Đơn đang ở trạng thái "Đang giao", user đăng nhập là Sender của đơn</t>
  </si>
  <si>
    <t xml:space="preserve">3. Hiển thị nhãn "Đang giao đến người nhận" ở trạng thái disable</t>
  </si>
  <si>
    <t xml:space="preserve">Technique: EP-sender-in-transit</t>
  </si>
  <si>
    <t xml:space="preserve">Check nhãn CTA của Người nhận khi đơn đang "Đang giao"</t>
  </si>
  <si>
    <t xml:space="preserve">Đơn đang ở trạng thái "Đang giao", user đăng nhập là Receiver của đơn</t>
  </si>
  <si>
    <t xml:space="preserve">3. Hiển thị nhãn "✓ Đơn đang trên đường đến bạn" ở trạng thái disable</t>
  </si>
  <si>
    <t xml:space="preserve">Technique: EP-receiver-in-transit</t>
  </si>
  <si>
    <t xml:space="preserve">Check tại "Đã giao": Người gửi thấy nhãn disable "Đã giao · chờ người nhận xác nhận"</t>
  </si>
  <si>
    <t xml:space="preserve">Đơn đang ở trạng thái "Đã giao", user đăng nhập là Sender của đơn</t>
  </si>
  <si>
    <t xml:space="preserve">1. Mở app FoxEco bằng tài khoản Người gửi (Sender)
2. Bấm tab "Hoạt động", mở đơn cần theo dõi để vào màn "Theo dõi đơn"
3. Quan sát và bấm thử nhãn CTA ở đáy màn</t>
  </si>
  <si>
    <t xml:space="preserve">3. Hiển thị nhãn "✓ Đã giao · chờ người nhận xác nhận" ở trạng thái disable — Sender KHÔNG chốt được đơn</t>
  </si>
  <si>
    <t xml:space="preserve">Technique: EP-sender-delivered</t>
  </si>
  <si>
    <t xml:space="preserve">Check tại "Đã giao": Người vận chuyển thấy nhãn disable "Đã giao · chờ người nhận xác nhận"</t>
  </si>
  <si>
    <t xml:space="preserve">Đơn đang ở trạng thái "Đã giao", user đăng nhập là Carrier của đơn</t>
  </si>
  <si>
    <t xml:space="preserve">1. Mở app FoxEco bằng tài khoản Người vận chuyển (Carrier)
2. Bấm tab "Hoạt động", mở đơn đang nhận để vào màn "Theo dõi đơn"
3. Quan sát và bấm thử nhãn CTA ở đáy màn</t>
  </si>
  <si>
    <t xml:space="preserve">3. Hiển thị nhãn "✓ Đã giao · chờ người nhận xác nhận" ở trạng thái disable — Carrier KHÔNG chốt được đơn</t>
  </si>
  <si>
    <t xml:space="preserve">Technique: EP-carrier-delivered</t>
  </si>
  <si>
    <t xml:space="preserve">Check tại "Đã giao": chỉ Người nhận có nút enable "Xác nhận đã nhận hàng"</t>
  </si>
  <si>
    <t xml:space="preserve">Đơn đang ở trạng thái "Đã giao"; có sẵn cả 3 tài khoản Sender / Carrier / Receiver của đơn</t>
  </si>
  <si>
    <t xml:space="preserve">1. Mở app FoxEco lần lượt bằng cả 3 tài khoản Sender, Carrier, Receiver của cùng đơn
2. Với mỗi tài khoản, mở màn Theo dõi đơn của đơn đó
3. Đối chiếu trạng thái nút CTA giữa 3 vai trò</t>
  </si>
  <si>
    <t xml:space="preserve">3. Chỉ tài khoản Receiver có nút "Xác nhận đã nhận hàng" ở trạng thái enable; Sender và Carrier đều chỉ thấy nhãn disable</t>
  </si>
  <si>
    <t xml:space="preserve">Technique: EP-receiver-delivered (partition enable duy nhất) | Rule nghiệp vụ cốt lõi module DLV</t>
  </si>
  <si>
    <t xml:space="preserve">Check nhãn CTA của Người vận chuyển sau khi đơn "Hoàn thành"</t>
  </si>
  <si>
    <t xml:space="preserve">Đơn vừa chuyển sang trạng thái "Hoàn thành", user đăng nhập là Carrier của đơn</t>
  </si>
  <si>
    <t xml:space="preserve">1. Mở app FoxEco bằng tài khoản Người vận chuyển (Carrier)
2. Bấm tab "Hoạt động", mở đơn đang nhận để vào màn "Theo dõi đơn"
3. Quan sát nhãn CTA ở đáy màn</t>
  </si>
  <si>
    <t xml:space="preserve">3. Hiển thị nhãn "✓ Đơn đã hoàn thành ✓" ở trạng thái disable — không còn hành động nào khác</t>
  </si>
  <si>
    <t xml:space="preserve">Technique: EP-carrier-completed</t>
  </si>
  <si>
    <t xml:space="preserve">Check nhãn CTA của Người nhận sau khi đơn "Hoàn thành"</t>
  </si>
  <si>
    <t xml:space="preserve">Đơn vừa chuyển sang trạng thái "Hoàn thành", user đăng nhập là Receiver của đơn</t>
  </si>
  <si>
    <t xml:space="preserve">3. Hiển thị nhãn "Đơn đã hoàn thành ✓" ở trạng thái disable — không còn hành động nào khác</t>
  </si>
  <si>
    <t xml:space="preserve">Technique: EP-receiver-completed | Nhãn của Sender ở bước Hoàn thành ("Cảm ơn người vận chuyển") thuộc SC-GIFT-004 — để dành fragment Tặng quà, không lặp tại đây</t>
  </si>
  <si>
    <t xml:space="preserve">Block Chặn huỷ sau khi đã lấy hàng</t>
  </si>
  <si>
    <t xml:space="preserve">DOC-v1.0-01 §D4 (BR-ASN-03)</t>
  </si>
  <si>
    <t xml:space="preserve">Check Người gửi KHÔNG còn nút "Huỷ đơn" khi đơn đã "Đang giao"</t>
  </si>
  <si>
    <t xml:space="preserve">Đơn đã chuyển sang "Đang giao" (Carrier đã bấm "Tôi đã lấy hàng"), user đăng nhập là Sender</t>
  </si>
  <si>
    <t xml:space="preserve">1. Mở app FoxEco bằng tài khoản Người gửi (Sender)
2. Bấm tab "Hoạt động", mở đơn cần theo dõi để vào màn "Theo dõi đơn"
3. Tìm nút "Huỷ đơn" trên màn Theo dõi đơn</t>
  </si>
  <si>
    <t xml:space="preserve">3. Nút "Huỷ đơn" KHÔNG còn hiển thị (hoặc disable) — đường huỷ thường bị khoá sau khi hàng đã được lấy</t>
  </si>
  <si>
    <t xml:space="preserve">Technique: EP-sender-blocked | Màn "Báo sự cố" (lối thoát thay thế) xác nhận Out of scope v1.0 — C-CNL-01 Resolved/Deferred → TC này CHỈ verify đường huỷ thường bị khoá, không assert sự tồn tại màn Báo sự cố</t>
  </si>
  <si>
    <t xml:space="preserve">Check Người vận chuyển KHÔNG còn nút "Huỷ nhận đơn" khi đơn đã "Đang giao"</t>
  </si>
  <si>
    <t xml:space="preserve">Đơn đã chuyển sang "Đang giao", user đăng nhập là Carrier của đơn</t>
  </si>
  <si>
    <t xml:space="preserve">1. Mở app FoxEco bằng tài khoản Người vận chuyển (Carrier)
2. Bấm tab "Hoạt động", mở đơn đang nhận để vào màn "Theo dõi đơn"
3. Tìm nút "✕ Huỷ nhận đơn" trên màn Theo dõi đơn</t>
  </si>
  <si>
    <t xml:space="preserve">3. Nút "✕ Huỷ nhận đơn" KHÔNG còn hiển thị (hoặc disable) — Carrier không bỏ đơn giữa đường bằng đường huỷ thường</t>
  </si>
  <si>
    <t xml:space="preserve">Technique: EP-carrier-blocked</t>
  </si>
  <si>
    <t xml:space="preserve">Block Escalate khi quá hạn xác nhận nhận hàng</t>
  </si>
  <si>
    <t xml:space="preserve">Check hệ thống CHƯA gửi nhắc khi đơn ở "Đã giao" chưa quá 2 giờ</t>
  </si>
  <si>
    <t xml:space="preserve">Đơn ở trạng thái "Đã giao" được 1 giờ 55 phút, Receiver chưa xác nhận</t>
  </si>
  <si>
    <t xml:space="preserve">1. Đưa 1 đơn về trạng thái "Đã giao" và ghi nhận thời điểm chuyển trạng thái
2. Chờ tới mốc 1 giờ 55 phút (hoặc mock thời gian hệ thống tới mốc này)
3. Kiểm tra danh sách thông báo của Receiver</t>
  </si>
  <si>
    <t xml:space="preserve">3. Receiver CHƯA nhận được thông báo nhắc xác nhận nhận hàng</t>
  </si>
  <si>
    <t xml:space="preserve">Technique: BVA-under-threshold (2h − ε) | Cần bổ sung test data trong catalog (chưa có cấu hình mock thời gian/ngưỡng escalate)</t>
  </si>
  <si>
    <t xml:space="preserve">Check hệ thống gửi nhắc khi đơn ở "Đã giao" quá 2 giờ mà chưa xác nhận</t>
  </si>
  <si>
    <t xml:space="preserve">Đơn ở trạng thái "Đã giao" quá 2 giờ, Receiver chưa xác nhận</t>
  </si>
  <si>
    <t xml:space="preserve">1. Đưa 1 đơn về trạng thái "Đã giao" và ghi nhận thời điểm chuyển trạng thái
2. Chờ vượt mốc 2 giờ (hoặc mock thời gian hệ thống vượt mốc này)
3. Kiểm tra danh sách thông báo của Receiver</t>
  </si>
  <si>
    <t xml:space="preserve">3. Receiver nhận được thông báo nhắc xác nhận đã nhận hàng</t>
  </si>
  <si>
    <t xml:space="preserve">Technique: BVA-at-threshold (2h) | Cần bổ sung test data trong catalog</t>
  </si>
  <si>
    <t xml:space="preserve">Check đơn được chuyển sang admin hỗ trợ khi quá thêm 2 giờ vẫn chưa xác nhận</t>
  </si>
  <si>
    <t xml:space="preserve">Đơn ở trạng thái "Đã giao" quá 4 giờ (đã qua 1 lần nhắc), Receiver vẫn chưa xác nhận</t>
  </si>
  <si>
    <t xml:space="preserve">1. Đưa 1 đơn về trạng thái "Đã giao", chờ vượt mốc 2 giờ để hệ thống gửi nhắc
2. Tiếp tục chờ vượt thêm 2 giờ (tổng 4 giờ) mà không xác nhận
3. Kiểm tra trạng thái escalate của đơn</t>
  </si>
  <si>
    <t xml:space="preserve">3. Đơn được đánh dấu chuyển sang admin hỗ trợ theo đúng rule escalate 2 mốc</t>
  </si>
  <si>
    <t xml:space="preserve">Technique: BVA-over-threshold (4h) | Cần bổ sung test data trong catalog | ⚠ Cần xác nhận UI/kênh hiển thị trạng thái escalate với BA trước khi chạy</t>
  </si>
  <si>
    <t xml:space="preserve">Block Nhánh phụ — Ảnh bằng chứng, chia sẻ vị trí, chi phí đối soát</t>
  </si>
  <si>
    <t xml:space="preserve">DOC-v1.0-01 §D3/§D4 (PUP-03, BR-CNF-01)</t>
  </si>
  <si>
    <t xml:space="preserve">Check Carrier chụp ảnh hàng lúc nhận rồi xác nhận lấy hàng → ảnh được lưu</t>
  </si>
  <si>
    <t xml:space="preserve">Đơn đang ở trạng thái "Đã ghép", Carrier chuẩn bị bấm "Tôi đã lấy hàng"</t>
  </si>
  <si>
    <t xml:space="preserve">1. Mở app FoxEco bằng tài khoản Người vận chuyển (Carrier)
2. Bấm tab "Hoạt động", mở đơn đang nhận để vào màn "Theo dõi đơn"
3. Chụp 1 ảnh hàng ở bước lấy hàng, sau đó bấm "✓ Tôi đã lấy hàng" và xác nhận</t>
  </si>
  <si>
    <t xml:space="preserve">3. Ảnh vừa chụp được lưu lại cùng đơn và đơn chuyển sang "Đang giao"</t>
  </si>
  <si>
    <t xml:space="preserve">Technique: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</si>
  <si>
    <t xml:space="preserve">Check ảnh chụp lúc nhận hàng được gắn vào Lịch sử làm bằng chứng</t>
  </si>
  <si>
    <t xml:space="preserve">Carrier vừa chụp ảnh và xác nhận lấy hàng thành công cho 1 đơn</t>
  </si>
  <si>
    <t xml:space="preserve">1. Mở app FoxEco bằng tài khoản Người vận chuyển (Carrier)
2. Bấm tab "Hoạt động", mở đơn đang nhận để vào màn "Theo dõi đơn"
3. Cuộn xuống khối "Lịch sử" và mở mốc "Lấy hàng"</t>
  </si>
  <si>
    <t xml:space="preserve">3. Mốc "Lấy hàng" trong Lịch sử có đính kèm đúng ảnh Carrier vừa chụp, xem lại được</t>
  </si>
  <si>
    <t xml:space="preserve">⚠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</si>
  <si>
    <t xml:space="preserve">Check bỏ qua chụp ảnh vẫn chuyển được trạng thái sang "Đang giao"</t>
  </si>
  <si>
    <t xml:space="preserve">Đơn đang ở trạng thái "Đã ghép", Carrier KHÔNG chụp ảnh nào</t>
  </si>
  <si>
    <t xml:space="preserve">1. Mở app FoxEco bằng tài khoản Người vận chuyển (Carrier)
2. Bấm tab "Hoạt động", mở đơn đang nhận để vào màn "Theo dõi đơn"
3. Bấm thẳng "✓ Tôi đã lấy hàng" mà không chụp ảnh, rồi bấm "Xác nhận" trong popup</t>
  </si>
  <si>
    <t xml:space="preserve">3. Đơn chuyển sang "Đang giao" bình thường — ảnh là tuỳ chọn, không phải điều kiện bắt buộc</t>
  </si>
  <si>
    <t xml:space="preserve">Technique: EP-no-photo (cặp với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</si>
  <si>
    <t xml:space="preserve">DOC-v1.0-01 §D3 (GPS-01)</t>
  </si>
  <si>
    <t xml:space="preserve">Check Carrier bật chia sẻ vị trí khi đang giao → Sender/Receiver xem được vị trí</t>
  </si>
  <si>
    <t xml:space="preserve">Đơn đang ở trạng thái "Đang giao", Carrier chủ động bật chia sẻ vị trí</t>
  </si>
  <si>
    <t xml:space="preserve">1. Trên thiết bị Carrier: mở màn Theo dõi đơn của đơn đang "Đang giao", bật chia sẻ vị trí
2. Chuyển sang thiết bị Sender, mở màn Theo dõi đơn của đơn đó
3. Chuyển sang thiết bị Receiver, mở màn Theo dõi đơn của đơn đó</t>
  </si>
  <si>
    <t xml:space="preserve">3. Cả Sender lẫn Receiver đều xem được vị trí tạm thời của Carrier trên màn Theo dõi đơn</t>
  </si>
  <si>
    <t xml:space="preserve">⚠ C-DLV-02 Open — mặc định bật/tắt chia sẻ vị trí CHƯA được BA chốt; Given cố ý giả định user CHỦ ĐỘNG bật, KHÔNG assert giá trị mặc định.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</si>
  <si>
    <t xml:space="preserve">Check dữ liệu vị trí bị xoá sau khi đơn chuyển "Hoàn thành"</t>
  </si>
  <si>
    <t xml:space="preserve">Đơn đã bật chia sẻ vị trí trong lúc "Đang giao", sau đó chuyển sang "Hoàn thành"</t>
  </si>
  <si>
    <t xml:space="preserve">1. Bật chia sẻ vị trí khi đơn đang "Đang giao"
2. Hoàn tất đơn (Receiver xác nhận đã nhận hàng → "Hoàn thành")
3. Mở lại màn Theo dõi đơn bằng tài khoản Sender và Receiver</t>
  </si>
  <si>
    <t xml:space="preserve">3. Dữ liệu vị trí không còn hiển thị trên màn Theo dõi đơn của bất kỳ vai trò nào</t>
  </si>
  <si>
    <t xml:space="preserve">Technique: EP-closed-completed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</si>
  <si>
    <t xml:space="preserve">Check dữ liệu vị trí bị xoá sau khi đơn bị huỷ</t>
  </si>
  <si>
    <t xml:space="preserve">Đơn đã bật chia sẻ vị trí, sau đó đơn bị huỷ (CANCELLED)</t>
  </si>
  <si>
    <t xml:space="preserve">1. Bật chia sẻ vị trí khi đơn đang được giao
2. Huỷ đơn để đơn chuyển sang trạng thái đã huỷ
3. Mở lại màn Theo dõi đơn bằng tài khoản Sender và Receiver</t>
  </si>
  <si>
    <t xml:space="preserve">Technique: EP-closed-cancelled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</si>
  <si>
    <t xml:space="preserve">DOC-v1.0-01 §D3/§D4 (COST-01, BR-COST-01)</t>
  </si>
  <si>
    <t xml:space="preserve">Check app KHÔNG kích hoạt luồng thanh toán khi ghi nhận chi phí đối soát</t>
  </si>
  <si>
    <t xml:space="preserve">Đơn đã hoàn tất; 2 bên muốn ghi nhận số tiền tham khảo đã đối soát offline</t>
  </si>
  <si>
    <t xml:space="preserve">1. Mở màn Theo dõi đơn của 1 đơn đã "Hoàn thành"
2. Tìm chức năng ghi nhận chi phí đối soát (nếu có trên UI) và nhập 1 số tiền tham khảo
3. Quan sát toàn bộ luồng sau khi lưu</t>
  </si>
  <si>
    <t xml:space="preserve">3. Giá trị được lưu như bản ghi THAM KHẢO; app KHÔNG mở bất kỳ luồng thanh toán/cổng thanh toán nào — đúng cam kết "không thanh toán trong app"</t>
  </si>
  <si>
    <t xml:space="preserve">⚠ Chưa có UI minh hoạ cụ thể cho field ghi nhận chi phí (Analyst Note SC-DLV-008) → TC viết ở mức rule (không kích hoạt thanh toán), KHÔNG assert vị trí/nhãn field. Cần vibe-test xác nhận UI trước khi chi tiết hoá.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</si>
  <si>
    <t xml:space="preserve">Block Popup Huỷ đơn — Form lý do bắt buộc</t>
  </si>
  <si>
    <t xml:space="preserve">DOC-v1.0-01 §D1b (US-D16) + ảnh DOC-v1.0-04 (popup Huỷ nhận đơn)</t>
  </si>
  <si>
    <t xml:space="preserve">Check đầy đủ + đúng 4 thành phần hiển thị tại popup "Huỷ nhận đơn" của Người vận chuyển</t>
  </si>
  <si>
    <t xml:space="preserve">Đơn đang ở trạng thái "Đã ghép" (chưa chuyển "Đang giao"); user đăng nhập là Sender, Carrier, hoặc Receiver của đơn</t>
  </si>
  <si>
    <t xml:space="preserve">1. Mở app FoxEco bằng tài khoản Sender/Carrier/Receiver
2. Bấm tab "Hoạt động", mở đơn đang nhận (trạng thái "Đã ghép") để vào màn "Theo dõi đơn"
3. Bấm "✕ Huỷ nhận đơn" và quan sát popup vừa hiện</t>
  </si>
  <si>
    <t xml:space="preserve">3. Popup hiển thị đủ 4 thành phần: (1) title "Huỷ nhận đơn", (2) nội dung "Bạn chắc chắn muốn huỷ nhận giao đơn này? Đơn sẽ được trả lại bảng tin để người khác nhận.", (3) label "Lý do huỷ *" kèm placeholder "Nhập lý do bạn muốn huỷ nhận đơn (VD: đổi lịch, không cần gửi nữa...)", (4) 2 nút "Huỷ" và "Xác nhận" — trong đó "Xác nhận" đang ở trạng thái disable (xám)</t>
  </si>
  <si>
    <t xml:space="preserve">Field/column completeness check — auto-derived (xem generate.md Step 3b) | Text verbatim xác nhận qua ảnh Figma DOC-v1.0-04 (hash 6fa300d1…, 5f681a4a…)</t>
  </si>
  <si>
    <t xml:space="preserve">DOC-v1.0-01 §D3/§D4/§A5/§D1b (CNL-01, BR-CNL-01, BR-INT-05, US-D16)</t>
  </si>
  <si>
    <t xml:space="preserve">Check nút "Xác nhận" bị khoá khi chưa nhập Lý do huỷ</t>
  </si>
  <si>
    <t xml:space="preserve">Popup "Huỷ nhận đơn" vừa mở, ô Lý do huỷ đang trống (chưa từng nhập gì)</t>
  </si>
  <si>
    <t xml:space="preserve">1. Mở app FoxEco bằng tài khoản Người vận chuyển (Carrier)
2. Bấm tab "Hoạt động", mở đơn đang nhận (trạng thái "Đã ghép") để vào màn "Theo dõi đơn"
3. Bấm "✕ Huỷ nhận đơn" để mở popup, quan sát trạng thái nút "Xác nhận" khi ô Lý do huỷ còn trống</t>
  </si>
  <si>
    <t xml:space="preserve">3. Nút "Xác nhận" ở trạng thái disable (xám), bấm không có phản hồi; đơn giữ nguyên trạng thái "Đã ghép"</t>
  </si>
  <si>
    <t xml:space="preserve">Technique: EP-empty-reason</t>
  </si>
  <si>
    <t xml:space="preserve">Check nút "Xác nhận" bật khi đã nhập Lý do huỷ hợp lệ</t>
  </si>
  <si>
    <t xml:space="preserve">Popup "Huỷ nhận đơn" đang mở</t>
  </si>
  <si>
    <t xml:space="preserve">1. Mở app FoxEco bằng tài khoản Người vận chuyển (Carrier)
2. Bấm tab "Hoạt động", mở đơn đang nhận (trạng thái "Đã ghép") để vào màn "Theo dõi đơn"
3. Bấm "✕ Huỷ nhận đơn" để mở popup, nhập lý do "Đổi lịch công tác đột xuất" vào ô Lý do huỷ</t>
  </si>
  <si>
    <t xml:space="preserve">3. Nút "Xác nhận" chuyển sang trạng thái enable (bấm được) ngay sau khi ô Lý do huỷ có nội dung hợp lệ</t>
  </si>
  <si>
    <t xml:space="preserve">Technique: EP-valid-reason</t>
  </si>
  <si>
    <t xml:space="preserve">Check bấm "Huỷ" trong popup Huỷ nhận đơn → đóng popup, đơn KHÔNG đổi trạng thái</t>
  </si>
  <si>
    <t xml:space="preserve">Popup "Huỷ nhận đơn" đang mở, đã nhập sẵn lý do hợp lệ</t>
  </si>
  <si>
    <t xml:space="preserve">1. Mở app FoxEco bằng tài khoản Người vận chuyển (Carrier)
2. Bấm tab "Hoạt động", mở đơn đang nhận (trạng thái "Đã ghép") để vào màn "Theo dõi đơn"
3. Bấm "✕ Huỷ nhận đơn" để mở popup, nhập lý do "Đổi lịch công tác đột xuất" rồi bấm nút "Huỷ"</t>
  </si>
  <si>
    <t xml:space="preserve">3. Popup đóng lại, đơn giữ nguyên trạng thái "Đã ghép" với đúng Carrier hiện tại; không phát sinh bản ghi huỷ nào</t>
  </si>
  <si>
    <t xml:space="preserve">Technique: EP-cancel-dialog</t>
  </si>
  <si>
    <t xml:space="preserve">Check nút "Xác nhận" bị khoá khi Người gửi chưa nhập Lý do huỷ</t>
  </si>
  <si>
    <t xml:space="preserve">1. Mở app FoxEco bằng tài khoản Người gửi (Sender)
2. Bấm tab "Hoạt động", mở đơn cần huỷ để vào màn "Theo dõi đơn"
3. Bấm "Huỷ đơn" để mở popup huỷ, quan sát nút "Xác nhận" khi ô Lý do huỷ còn trống</t>
  </si>
  <si>
    <t xml:space="preserve">3. Nút "Xác nhận" ở trạng thái disable, bấm không có phản hồi; đơn giữ nguyên trạng thái "Chờ ghép"</t>
  </si>
  <si>
    <t xml:space="preserve">Technique: EP-actor-sender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</si>
  <si>
    <t xml:space="preserve">Check nút "Xác nhận" bị khoá khi Người nhận chưa nhập Lý do huỷ</t>
  </si>
  <si>
    <t xml:space="preserve">1. Mở app FoxEco bằng tài khoản Người nhận (Receiver)
2. Bấm tab "Hoạt động", mở đơn cần huỷ để vào màn "Theo dõi đơn"
3. Bấm "Huỷ đơn" để mở popup huỷ, quan sát nút "Xác nhận" khi ô Lý do huỷ còn trống</t>
  </si>
  <si>
    <t xml:space="preserve">3. Nút "Xác nhận" ở trạng thái disable, bấm không có phản hồi; đơn giữ nguyên trạng thái "Đã ghép"</t>
  </si>
  <si>
    <t xml:space="preserve">Technique: EP-actor-receiver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</si>
  <si>
    <t xml:space="preserve">Block Lý do huỷ — Ràng buộc tối thiểu 5 ký tự (VAL-04)</t>
  </si>
  <si>
    <t xml:space="preserve">REQ-CNL-001, REQ-ORD-013</t>
  </si>
  <si>
    <t xml:space="preserve">DOC-v1.0-01 (BRD v3.2 §D8.3, VAL-04)</t>
  </si>
  <si>
    <t xml:space="preserve">Check nút "Xác nhận" vẫn khoá khi Lý do huỷ chỉ có 4 ký tự</t>
  </si>
  <si>
    <t xml:space="preserve">Popup Huỷ đơn đang mở, ô Lý do huỷ đang trống</t>
  </si>
  <si>
    <t xml:space="preserve">1. Mở app FoxEco bằng tài khoản Người vận chuyển (Carrier)
2. Bấm tab "Hoạt động", mở đơn đang nhận (trạng thái "Đã ghép") để vào màn "Theo dõi đơn"
3. Bấm "✕ Huỷ nhận đơn" để mở popup, nhập đúng 4 ký tự "abcd" vào ô Lý do huỷ</t>
  </si>
  <si>
    <t xml:space="preserve">3. Nút "Xác nhận" vẫn ở trạng thái disable — chưa đạt tối thiểu 5 ký tự theo VAL-04</t>
  </si>
  <si>
    <t xml:space="preserve">Technique: BVA-min-1 (4 ký tự) | ⚠ CA v1.1 `C-CANCEL-1` đã live-verify: UI hiện tại CHỈ chặn rỗng — nhập 2 ký tự nút "Xác nhận" vẫn bật → TC này DỰ KIẾN FAIL. User chốt "lay theo rule BRD nha" nên target vẫn là ≥5 ký tự; UI là gap cần dev fix</t>
  </si>
  <si>
    <t xml:space="preserve">Check nút "Xác nhận" bật khi Lý do huỷ đủ đúng 5 ký tự</t>
  </si>
  <si>
    <t xml:space="preserve">1. Mở app FoxEco bằng tài khoản Người vận chuyển (Carrier)
2. Bấm tab "Hoạt động", mở đơn đang nhận (trạng thái "Đã ghép") để vào màn "Theo dõi đơn"
3. Bấm "✕ Huỷ nhận đơn" để mở popup, nhập đúng 5 ký tự "abcde"</t>
  </si>
  <si>
    <t xml:space="preserve">3. Nút "Xác nhận" chuyển sang enable ngay tại mốc 5 ký tự — đúng biên hợp lệ của VAL-04</t>
  </si>
  <si>
    <t xml:space="preserve">Technique: BVA-min (5 ký tự)</t>
  </si>
  <si>
    <t xml:space="preserve">Check nút "Xác nhận" vẫn bật khi Lý do huỷ có 6 ký tự</t>
  </si>
  <si>
    <t xml:space="preserve">1. Mở app FoxEco bằng tài khoản Người vận chuyển (Carrier)
2. Bấm tab "Hoạt động", mở đơn đang nhận (trạng thái "Đã ghép") để vào màn "Theo dõi đơn"
3. Bấm "✕ Huỷ nhận đơn" để mở popup, nhập đúng 6 ký tự "abcdef"</t>
  </si>
  <si>
    <t xml:space="preserve">3. Nút "Xác nhận" ở trạng thái enable — trên biên vẫn hợp lệ</t>
  </si>
  <si>
    <t xml:space="preserve">Technique: BVA-min+1 (6 ký tự)</t>
  </si>
  <si>
    <t xml:space="preserve">Block Lý do huỷ — Error guessing trên ô nhập tự do</t>
  </si>
  <si>
    <t xml:space="preserve">Check nút "Xác nhận" KHÔNG bật khi Lý do huỷ chỉ gồm 5 dấu cách</t>
  </si>
  <si>
    <t xml:space="preserve">1. Mở app FoxEco bằng tài khoản Người vận chuyển (Carrier)
2. Bấm tab "Hoạt động", mở đơn đang nhận (trạng thái "Đã ghép") để vào màn "Theo dõi đơn"
3. Bấm "✕ Huỷ nhận đơn" để mở popup, nhập đúng 5 ký tự dấu cách "     " (không có ký tự nào khác)</t>
  </si>
  <si>
    <t xml:space="preserve">3. Nút "Xác nhận" vẫn disable — chuỗi chỉ chứa khoảng trắng KHÔNG được tính là lý do hợp lệ dù đủ 5 ký tự</t>
  </si>
  <si>
    <t xml:space="preserve">Technique: EG-whitespace-only | Case dễ lọt nhất của VAL-04: nếu hệ thống đếm độ dài trước khi trim thì TC này sẽ FAIL</t>
  </si>
  <si>
    <t xml:space="preserve">Check Lý do huỷ được tự động cắt khoảng trắng đầu/cuối trước khi lưu</t>
  </si>
  <si>
    <t xml:space="preserve">Popup Huỷ đơn đang mở</t>
  </si>
  <si>
    <t xml:space="preserve">1. Mở app FoxEco bằng tài khoản Người vận chuyển (Carrier)
2. Bấm tab "Hoạt động", mở đơn đang nhận (trạng thái "Đã ghép") để vào màn "Theo dõi đơn"
3. Bấm "✕ Huỷ nhận đơn" để mở popup, nhập chuỗi "   đổi lịch   " (có khoảng trắng thừa đầu và cuối) rồi bấm "Xác nhận"</t>
  </si>
  <si>
    <t xml:space="preserve">3. Lý do được lưu và hiển thị là "đổi lịch" — khoảng trắng thừa ở đầu/cuối bị cắt bỏ</t>
  </si>
  <si>
    <t xml:space="preserve">Check Lý do huỷ chấp nhận tiếng Việt có dấu và emoji</t>
  </si>
  <si>
    <t xml:space="preserve">1. Mở app FoxEco bằng tài khoản Người vận chuyển (Carrier)
2. Bấm tab "Hoạt động", mở đơn đang nhận (trạng thái "Đã ghép") để vào màn "Theo dõi đơn"
3. Bấm "✕ Huỷ nhận đơn" để mở popup, nhập chuỗi "Đổi lịch gấp 😢 xin lỗi bạn" rồi bấm "Xác nhận"</t>
  </si>
  <si>
    <t xml:space="preserve">3. Huỷ đơn thành công; lý do hiển thị lại đúng nguyên văn cả dấu tiếng Việt lẫn emoji, không bị lỗi font hay ký tự lạ</t>
  </si>
  <si>
    <t xml:space="preserve">Check Lý do huỷ xử lý được chuỗi rất dài (10.000 ký tự)</t>
  </si>
  <si>
    <t xml:space="preserve">1. Mở app FoxEco bằng tài khoản Người vận chuyển (Carrier)
2. Bấm tab "Hoạt động", mở đơn đang nhận (trạng thái "Đã ghép") để vào màn "Theo dõi đơn"
3. Bấm "✕ Huỷ nhận đơn" để mở popup, dán vào ô Lý do huỷ 1 chuỗi 10.000 ký tự rồi bấm "Xác nhận"</t>
  </si>
  <si>
    <t xml:space="preserve">3. Hệ thống xử lý ổn định — hoặc chặn kèm thông báo giới hạn độ dài, hoặc lưu thành công; KHÔNG treo/crash app và KHÔNG vỡ layout popup</t>
  </si>
  <si>
    <t xml:space="preserve">Technique: EG-very-long | ⚠ BRD chưa quy định maxlength cho Lý do huỷ (chỉ có min 5 ký tự — VAL-04) → Expected viết ở dạng chấp nhận cả 2 nhánh, cần BA chốt maxlength để siết lại</t>
  </si>
  <si>
    <t xml:space="preserve">Check Lý do huỷ chứa ký tự SQL không gây lỗi truy vấn</t>
  </si>
  <si>
    <t xml:space="preserve">1. Mở app FoxEco bằng tài khoản Người vận chuyển (Carrier)
2. Bấm tab "Hoạt động", mở đơn đang nhận (trạng thái "Đã ghép") để vào màn "Theo dõi đơn"
3. Bấm "✕ Huỷ nhận đơn" để mở popup, nhập chuỗi "' OR 1=1 --" rồi bấm "Xác nhận"</t>
  </si>
  <si>
    <t xml:space="preserve">3. Huỷ đơn xử lý bình thường, lý do được lưu/hiển thị nguyên văn dưới dạng text; không phát sinh lỗi truy vấn và không ảnh hưởng dữ liệu đơn khác</t>
  </si>
  <si>
    <t xml:space="preserve">Technique: EG-sql-meta</t>
  </si>
  <si>
    <t xml:space="preserve">Check Lý do huỷ chứa thẻ script được hiển thị dạng text, không thực thi</t>
  </si>
  <si>
    <t xml:space="preserve">1. Mở app FoxEco bằng tài khoản Người vận chuyển (Carrier)
2. Bấm tab "Hoạt động", mở đơn đang nhận (trạng thái "Đã ghép") để vào màn "Theo dõi đơn"
3. Bấm "✕ Huỷ nhận đơn" để mở popup, nhập chuỗi "&lt;script&gt;alert(1)&lt;/script&gt;" rồi bấm "Xác nhận"</t>
  </si>
  <si>
    <t xml:space="preserve">3. Lý do hiển thị lại đúng nguyên văn chuỗi "&lt;script&gt;alert(1)&lt;/script&gt;" dưới dạng text; KHÔNG xuất hiện hộp thoại alert nào</t>
  </si>
  <si>
    <t xml:space="preserve">Technique: EG-xss-meta</t>
  </si>
  <si>
    <t xml:space="preserve">Check Lý do huỷ chứa ký tự xuống dòng được xử lý đúng</t>
  </si>
  <si>
    <t xml:space="preserve">1. Mở app FoxEco bằng tài khoản Người vận chuyển (Carrier)
2. Bấm tab "Hoạt động", mở đơn đang nhận (trạng thái "Đã ghép") để vào màn "Theo dõi đơn"
3. Bấm "✕ Huỷ nhận đơn" để mở popup, nhập chuỗi có xuống dòng "đổi lịch\ngấp quá" rồi bấm "Xác nhận"</t>
  </si>
  <si>
    <t xml:space="preserve">3. Huỷ đơn thành công; lý do hiển thị lại giữ đúng nội dung 2 dòng (hoặc gộp thành 1 dòng nhất quán), không bị cắt mất phần sau dấu xuống dòng</t>
  </si>
  <si>
    <t xml:space="preserve">Technique: EG-control-chars</t>
  </si>
  <si>
    <t xml:space="preserve">Block Ghi nhận người huỷ &amp; đồng bộ 3 bên</t>
  </si>
  <si>
    <t xml:space="preserve">Check đơn do Người gửi huỷ ghi rõ vai trò người huỷ kèm lý do</t>
  </si>
  <si>
    <t xml:space="preserve">1. Mở app FoxEco bằng tài khoản Người gửi (Sender)
2. Bấm tab "Hoạt động", mở đơn cần huỷ để vào màn "Theo dõi đơn"
3. Bấm "Huỷ đơn", nhập lý do "Không cần gửi nữa" rồi bấm "Xác nhận"</t>
  </si>
  <si>
    <t xml:space="preserve">3. Đơn chuyển sang trạng thái đã huỷ, ghi rõ vai trò người huỷ là **Người gửi** kèm đúng lý do "Không cần gửi nữa"</t>
  </si>
  <si>
    <t xml:space="preserve">Technique: EP-actor-sender | CRUD-Delete (op Delete của entity Đơn — Create/Read/Update/List/Search nằm ở TC-DANGTIN/TC-BANGTIN/TC-HOATDONG)</t>
  </si>
  <si>
    <t xml:space="preserve">Check đơn do Người vận chuyển huỷ ghi rõ vai trò người huỷ kèm lý do</t>
  </si>
  <si>
    <t xml:space="preserve">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</si>
  <si>
    <t xml:space="preserve">3. Đơn ghi rõ vai trò người huỷ là **Người vận chuyển** kèm đúng lý do "Đổi lịch công tác"</t>
  </si>
  <si>
    <t xml:space="preserve">Technique: EP-actor-carrier</t>
  </si>
  <si>
    <t xml:space="preserve">Check đơn do Người nhận huỷ ghi rõ vai trò người huỷ kèm lý do</t>
  </si>
  <si>
    <t xml:space="preserve">1. Mở app FoxEco bằng tài khoản Người nhận (Receiver)
2. Bấm tab "Hoạt động", mở đơn cần huỷ để vào màn "Theo dõi đơn"
3. Bấm "Huỷ đơn", nhập lý do "Không ở văn phòng" rồi bấm "Xác nhận"</t>
  </si>
  <si>
    <t xml:space="preserve">3. Đơn ghi rõ vai trò người huỷ là **Người nhận** kèm đúng lý do "Không ở văn phòng"</t>
  </si>
  <si>
    <t xml:space="preserve">Technique: EP-actor-receiver</t>
  </si>
  <si>
    <t xml:space="preserve">Check cả 3 màn Người gửi/Người vận chuyển/Người nhận đồng bộ tức thời khi 1 bên huỷ đơn</t>
  </si>
  <si>
    <t xml:space="preserve">3 tài khoản Sender / Carrier / Receiver của cùng 1 đơn đang mở sẵn màn Theo dõi đơn; đơn ở trạng thái "Đã ghép"</t>
  </si>
  <si>
    <t xml:space="preserve">1. Trên thiết bị Sender: bấm "Huỷ đơn", nhập lý do "Không cần gửi nữa" rồi bấm "Xác nhận"
2. Ngay sau đó quan sát màn Theo dõi đơn đang mở trên thiết bị Carrier
3. Ngay sau đó quan sát màn Theo dõi đơn đang mở trên thiết bị Receiver</t>
  </si>
  <si>
    <t xml:space="preserve">3. Cả màn Carrier lẫn màn Receiver đều tự cập nhật sang trạng thái đơn đã huỷ (kèm vai trò người huỷ + lý do) mà KHÔNG cần thao tác tải lại thủ công</t>
  </si>
  <si>
    <t xml:space="preserve">Check đầy đủ + đúng 2 thành phần hiển thị tại màn "Đơn đã huỷ"</t>
  </si>
  <si>
    <t xml:space="preserve">Đơn vừa bị huỷ khi đang ở trạng thái "Chờ ghép" (huỷ trước khi ghép)</t>
  </si>
  <si>
    <t xml:space="preserve">1. Mở app FoxEco bằng tài khoản Người gửi (Sender)
2. Bấm tab "Hoạt động", mở đơn cần huỷ để vào màn "Theo dõi đơn"
3. Quan sát toàn bộ màn Theo dõi đơn của đơn vừa huỷ</t>
  </si>
  <si>
    <t xml:space="preserve">3. Màn hiển thị đủ 2 thành phần: (1) nút ở đáy màn chuyển thành nhãn disabled "Đơn đã huỷ", (2) toàn bộ thanh 5 bước trạng thái chuyển sang màu xám (không còn bước nào đang active)</t>
  </si>
  <si>
    <t xml:space="preserve">Field/column completeness check — auto-derived (xem generate.md Step 3b) | Text/trạng thái verbatim xác nhận qua ảnh Figma DOC-v1.0-04 (hash c2191d95…, d6feddb3…)</t>
  </si>
  <si>
    <t xml:space="preserve">Check LỊCH SỬ ghi log khi Người gửi huỷ đơn</t>
  </si>
  <si>
    <t xml:space="preserve">1. Mở app FoxEco bằng tài khoản Người gửi (Sender)
2. Bấm tab "Hoạt động", mở đơn cần huỷ để vào màn "Theo dõi đơn"
3. Bấm "Huỷ đơn", nhập lý do "Không cần gửi nữa", bấm "Xác nhận", rồi cuộn xuống khối "LỊCH SỬ"</t>
  </si>
  <si>
    <t xml:space="preserve">3. Khối "LỊCH SỬ" ghi thêm 1 mốc cho hành động huỷ (vai trò người huỷ + lý do + timestamp), nối tiếp đúng thứ tự sau các mốc trước đó — KHÔNG chỉ hiện banner đỏ "Đơn hàng đã bị huỷ" rồi bỏ trống LỊCH SỬ</t>
  </si>
  <si>
    <t xml:space="preserve">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t>
  </si>
  <si>
    <t xml:space="preserve">Check LỊCH SỬ ghi log khi Người vận chuyển huỷ nhận đơn, không xoá mốc cũ</t>
  </si>
  <si>
    <t xml:space="preserve">Đơn đang ở "Đã ghép" và khối LỊCH SỬ đang có sẵn mốc "Ghép thành công"; user đăng nhập là Carrier</t>
  </si>
  <si>
    <t xml:space="preserve">1. Mở app FoxEco bằng tài khoản Người vận chuyển (Carrier)
2. Bấm tab "Hoạt động", mở đơn đang nhận (trạng thái "Đã ghép") để vào màn "Theo dõi đơn"
3. Bấm "✕ Huỷ nhận đơn" để mở popup, nhập lý do "Đổi lịch công tác", bấm "Xác nhận", rồi quan sát lại khối "LỊCH SỬ"</t>
  </si>
  <si>
    <t xml:space="preserve">3. LỊCH SỬ ghi thêm 1 mốc cho hành động huỷ nhận đơn (vai trò + lý do + timestamp) VÀ mốc "Ghép thành công" trước đó vẫn còn nguyên — không bị xoá khỏi lịch sử</t>
  </si>
  <si>
    <t xml:space="preserve">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Riêng nhánh này CA còn phát hiện UI XOÁ LUÔN dòng "Ghép thành công" khỏi LỊCH SỬ — TC chủ đích bắt cả 2 lỗi</t>
  </si>
  <si>
    <t xml:space="preserve">Check LỊCH SỬ ghi log khi Người nhận huỷ đơn</t>
  </si>
  <si>
    <t xml:space="preserve">1. Mở app FoxEco bằng tài khoản Người nhận (Receiver)
2. Bấm tab "Hoạt động", mở đơn cần huỷ để vào màn "Theo dõi đơn"
3. Bấm "Huỷ đơn", nhập lý do "Không ở văn phòng", bấm "Xác nhận", rồi cuộn xuống khối "LỊCH SỬ"</t>
  </si>
  <si>
    <t xml:space="preserve">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Bổ sung 2026-07-30 theo yêu cầu user để đủ 3/3 vai trò cho phần LỊCH SỬ (trước đó chỉ có Sender `TC_08.22` + Carrier `TC_08.23`).</t>
  </si>
  <si>
    <t xml:space="preserve">Block Carrier huỷ nhận đơn → trả lại "Chờ ghép"</t>
  </si>
  <si>
    <t xml:space="preserve">DOC-v1.0-01 §D7 (OPR-09)</t>
  </si>
  <si>
    <t xml:space="preserve">Check Carrier huỷ nhận đơn khi chưa lấy hàng → đơn tự động về "Chờ ghép"</t>
  </si>
  <si>
    <t xml:space="preserve">Đơn đang ở trạng thái "Đã ghép", Carrier CHƯA bấm "Tôi đã lấy hàng"</t>
  </si>
  <si>
    <t xml:space="preserve">3. Đơn tự động quay về trạng thái "Chờ ghép" (POSTED) — KHÔNG chuyển sang trạng thái đã huỷ như trường hợp Sender/Receiver huỷ</t>
  </si>
  <si>
    <t xml:space="preserve">Technique: ST-matched-posted (huỷ nhận trước khi lấy hàng) | Bề mặt Bảng tin của cùng hành vi (tin hiện lại + được khớp lại) đã cover tại TC-BANGTIN (SC-ASN-012) — không lặp</t>
  </si>
  <si>
    <t xml:space="preserve">Check Người gửi và Người nhận thấy đơn quay về "Chờ ghép" ngay sau khi Carrier huỷ nhận</t>
  </si>
  <si>
    <t xml:space="preserve">Đơn đang ở "Đã ghép"; 3 tài khoản Sender / Carrier / Receiver đang mở sẵn màn Theo dõi đơn</t>
  </si>
  <si>
    <t xml:space="preserve">1. Trên thiết bị Carrier: bấm "✕ Huỷ nhận đơn", nhập lý do "Đổi lịch công tác" rồi bấm "Xác nhận"
2. Ngay sau đó quan sát màn Theo dõi đơn trên thiết bị Sender
3. Ngay sau đó quan sát màn Theo dõi đơn trên thiết bị Receiver</t>
  </si>
  <si>
    <t xml:space="preserve">3. Màn Sender và Receiver đều tự chuyển về trạng thái "Chờ ghép", khối "Liên hệ Người vận chuyển"/"Người giao hàng" biến mất — không cần tải lại thủ công</t>
  </si>
  <si>
    <t xml:space="preserve">Block Chặn huỷ thường sau khi đã lấy hàng (OPR-11)</t>
  </si>
  <si>
    <t xml:space="preserve">DOC-v1.0-01 §D7 (OPR-11)</t>
  </si>
  <si>
    <t xml:space="preserve">Check Người nhận KHÔNG còn nút "Huỷ đơn" khi đơn đã "Đang giao"</t>
  </si>
  <si>
    <t xml:space="preserve">Đơn đã chuyển sang "Đang giao" (Carrier đã bấm "Tôi đã lấy hàng"), user đăng nhập là Receiver</t>
  </si>
  <si>
    <t xml:space="preserve">1. Mở app FoxEco bằng tài khoản Người nhận (Receiver)
2. Bấm tab "Hoạt động", mở đơn cần huỷ để vào màn "Theo dõi đơn"
3. Tìm nút "Huỷ đơn" trên màn Theo dõi đơn</t>
  </si>
  <si>
    <t xml:space="preserve">3. Nút "Huỷ đơn" KHÔNG còn hiển thị (hoặc disable) — Receiver không huỷ được đơn sau khi hàng đã được lấy</t>
  </si>
  <si>
    <t xml:space="preserve">Technique: EP-receiver-blocked | Nhánh Sender/Carrier ở cùng trạng thái "Đang giao" đã cover tại TC-THEODOIDON (SC-DLV-009) — không lặp</t>
  </si>
  <si>
    <t xml:space="preserve">Check cả 3 vai trò đều KHÔNG huỷ được đơn khi đơn đã "Đã giao"</t>
  </si>
  <si>
    <t xml:space="preserve">Đơn đang ở trạng thái "Đã giao" (DELIVERED); có sẵn cả 3 tài khoản Sender / Carrier / Receiver của đơn</t>
  </si>
  <si>
    <t xml:space="preserve">1. Mở app FoxEco lần lượt bằng cả 3 tài khoản Sender, Carrier, Receiver của cùng đơn
2. Với mỗi tài khoản, mở màn Theo dõi đơn của đơn đó
3. Tìm nút "Huỷ đơn"/"Huỷ nhận đơn" trên màn của từng vai trò</t>
  </si>
  <si>
    <t xml:space="preserve">3. Không vai trò nào còn nút huỷ khả dụng — đường huỷ thường bị khoá hoàn toàn từ mốc đã lấy hàng trở đi (OPR-11)</t>
  </si>
  <si>
    <t xml:space="preserve">Technique: EP-delivered-blocked | Màn "Báo sự cố" (lối thoát thay thế) xác nhận Out of scope v1.0 — C-CNL-01 Resolved/Deferred → KHÔNG assert sự tồn tại màn này</t>
  </si>
  <si>
    <t xml:space="preserve">Block Lối vào — Nút "Cảm ơn người vận chuyển" tại Theo dõi đơn</t>
  </si>
  <si>
    <t xml:space="preserve">Check Người gửi thấy nút "✓ Cảm ơn người vận chuyển" (enable) khi đơn đã "Hoàn thành"</t>
  </si>
  <si>
    <t xml:space="preserve">Đơn vừa chuyển sang trạng thái "Hoàn thành", Sender CHƯA gửi quà cho đơn này</t>
  </si>
  <si>
    <t xml:space="preserve">1. Mở app FoxEco bằng tài khoản Người gửi (Sender)
2. Bấm tab "Hoạt động", mở đơn đã "Hoàn thành" để vào màn "Theo dõi đơn"
3. Quan sát nút hành động ở đáy màn</t>
  </si>
  <si>
    <t xml:space="preserve">3. Hiển thị nút "✓ Cảm ơn người vận chuyển" ở trạng thái enable (bấm được)</t>
  </si>
  <si>
    <t xml:space="preserve">Technique: EP-sender-completed-not-gifted | Ô còn lại của ma trận nhãn nút (hàng "Hoàn thành" × cột Người gửi) — 14 ô kia đã cover tại TC-THEODOIDON và TC-BANGTIN</t>
  </si>
  <si>
    <t xml:space="preserve">Check bấm "Cảm ơn người vận chuyển" mở đúng màn Tặng quà</t>
  </si>
  <si>
    <t xml:space="preserve">Đơn đã "Hoàn thành", Sender chưa gửi quà cho đơn này</t>
  </si>
  <si>
    <t xml:space="preserve">1. Mở app FoxEco bằng tài khoản Người gửi (Sender)
2. Bấm tab "Hoạt động", mở đơn đã "Hoàn thành" để vào màn "Theo dõi đơn"
3. Bấm nút "✓ Cảm ơn người vận chuyển"</t>
  </si>
  <si>
    <t xml:space="preserve">3. Điều hướng sang màn "Tặng quà" của đúng đơn vừa bấm</t>
  </si>
  <si>
    <t xml:space="preserve">Block Màn Tặng quà — 4 lựa chọn quà</t>
  </si>
  <si>
    <t xml:space="preserve">Check icon quay lại tại màn Tặng quà</t>
  </si>
  <si>
    <t xml:space="preserve">Đơn đã chuyển "Hoàn thành", user đăng nhập là Sender</t>
  </si>
  <si>
    <t xml:space="preserve">1. Mở app FoxEco bằng tài khoản Sender
2. Bấm tab "Hoạt động" → mở đơn đã "Hoàn thành" → vào màn Theo dõi đơn
3. Bấm "Cảm ơn người vận chuyển" để mở màn Tặng quà
4. Bấm icon quay lại (←) ở Header</t>
  </si>
  <si>
    <t xml:space="preserve">4. Điều hướng đúng về màn Theo dõi đơn</t>
  </si>
  <si>
    <t xml:space="preserve">DOC-v1.0-01 §D3/§D4 (GIFT-01, BR-GIFT-01) + DOC-v1.0-02 §3.8 + ảnh DOC-v1.0-04</t>
  </si>
  <si>
    <t xml:space="preserve">Check đầy đủ + đúng 5 thành phần hiển thị tại màn Tặng quà</t>
  </si>
  <si>
    <t xml:space="preserve">Đơn đã "Hoàn thành", Sender vừa mở màn Tặng quà và chưa chọn loại quà nào</t>
  </si>
  <si>
    <t xml:space="preserve">1. Mở app FoxEco bằng tài khoản Người gửi (Sender)
2. Bấm tab "Hoạt động", mở đơn đã "Hoàn thành" để vào màn "Theo dõi đơn", bấm "✓ Cảm ơn người vận chuyển"
3. Quan sát toàn bộ màn Tặng quà từ trên xuống dưới</t>
  </si>
  <si>
    <t xml:space="preserve">3. Màn hiển thị đủ 5 thành phần: (1) title "Tặng quà", (2) nội dung mở đầu "Hành trình hoàn thành!" / "Gửi một món quà cảm ơn người vận chuyển", (3) label "Chọn một món quà gửi tặng người vận chuyển", (4) 4 chip lựa chọn quà, (5) nút "✓ Xác nhận tặng quà"</t>
  </si>
  <si>
    <t xml:space="preserve">Field/column completeness check — auto-derived (xem generate.md Step 3b) | Text verbatim xác nhận qua ảnh Figma DOC-v1.0-04 (hash 5d29d082…, 165aaa39…). KHÔNG assert phần chấm sao 1-5 (`REQ-GIFT-002`/RAT-01/02) — C-GIFT-01 Resolved: rating là phase sau, out of scope v1.0; màn Tặng quà xác nhận KHÔNG có UI sao</t>
  </si>
  <si>
    <t xml:space="preserve">Check đủ 4 chip loại quà hiển thị đúng nhãn tại màn Tặng quà</t>
  </si>
  <si>
    <t xml:space="preserve">Đơn đã "Hoàn thành", Sender vừa mở màn Tặng quà</t>
  </si>
  <si>
    <t xml:space="preserve">1. Mở app FoxEco bằng tài khoản Người gửi (Sender)
2. Bấm tab "Hoạt động", mở đơn đã "Hoàn thành" để vào màn "Theo dõi đơn", bấm "✓ Cảm ơn người vận chuyển"
3. Quan sát danh sách chip lựa chọn quà</t>
  </si>
  <si>
    <t xml:space="preserve">3. Hiển thị đủ 4 chip đúng nhãn theo thứ tự: "🌷 Bông hoa", "☕ Ly cà phê", "🧸 Gấu bông", "👑 Vương miện" — không thiếu, không thừa loại nào</t>
  </si>
  <si>
    <t xml:space="preserve">Check chọn quà "🌷 Bông hoa" hiển thị đúng trạng thái đã chọn</t>
  </si>
  <si>
    <t xml:space="preserve">Đang ở màn Tặng quà, chưa chọn loại quà nào</t>
  </si>
  <si>
    <t xml:space="preserve">1. Mở app FoxEco bằng tài khoản Người gửi (Sender)
2. Bấm tab "Hoạt động", mở đơn đã "Hoàn thành" để vào màn "Theo dõi đơn", bấm "✓ Cảm ơn người vận chuyển"
3. Bấm chip "🌷 Bông hoa"</t>
  </si>
  <si>
    <t xml:space="preserve">3. Chip "🌷 Bông hoa" chuyển sang trạng thái đã chọn (có viền cam); nút "✓ Xác nhận tặng quà" sẵn sàng gửi</t>
  </si>
  <si>
    <t xml:space="preserve">Technique: EP-flower</t>
  </si>
  <si>
    <t xml:space="preserve">Check chọn quà "☕ Ly cà phê" hiển thị đúng trạng thái đã chọn</t>
  </si>
  <si>
    <t xml:space="preserve">1. Mở app FoxEco bằng tài khoản Người gửi (Sender)
2. Bấm tab "Hoạt động", mở đơn đã "Hoàn thành" để vào màn "Theo dõi đơn", bấm "✓ Cảm ơn người vận chuyển"
3. Bấm chip "☕ Ly cà phê"</t>
  </si>
  <si>
    <t xml:space="preserve">3. Chip "☕ Ly cà phê" chuyển sang trạng thái đã chọn (có viền cam); nút "✓ Xác nhận tặng quà" sẵn sàng gửi</t>
  </si>
  <si>
    <t xml:space="preserve">Technique: EP-coffee</t>
  </si>
  <si>
    <t xml:space="preserve">Check chọn quà "🧸 Gấu bông" hiển thị đúng trạng thái đã chọn</t>
  </si>
  <si>
    <t xml:space="preserve">1. Mở app FoxEco bằng tài khoản Người gửi (Sender)
2. Bấm tab "Hoạt động", mở đơn đã "Hoàn thành" để vào màn "Theo dõi đơn", bấm "✓ Cảm ơn người vận chuyển"
3. Bấm chip "🧸 Gấu bông"</t>
  </si>
  <si>
    <t xml:space="preserve">3. Chip "🧸 Gấu bông" chuyển sang trạng thái đã chọn (có viền cam); nút "✓ Xác nhận tặng quà" sẵn sàng gửi</t>
  </si>
  <si>
    <t xml:space="preserve">Technique: EP-teddy</t>
  </si>
  <si>
    <t xml:space="preserve">Check chọn quà "👑 Vương miện" hiển thị đúng trạng thái đã chọn</t>
  </si>
  <si>
    <t xml:space="preserve">1. Mở app FoxEco bằng tài khoản Người gửi (Sender)
2. Bấm tab "Hoạt động", mở đơn đã "Hoàn thành" để vào màn "Theo dõi đơn", bấm "✓ Cảm ơn người vận chuyển"
3. Bấm chip "👑 Vương miện"</t>
  </si>
  <si>
    <t xml:space="preserve">3. Chip "👑 Vương miện" chuyển sang trạng thái đã chọn (có viền cam); nút "✓ Xác nhận tặng quà" sẵn sàng gửi</t>
  </si>
  <si>
    <t xml:space="preserve">Technique: EP-crown</t>
  </si>
  <si>
    <t xml:space="preserve">Check chỉ chọn được 1 loại quà tại một thời điểm (chọn loại khác thì bỏ loại cũ)</t>
  </si>
  <si>
    <t xml:space="preserve">Đang ở màn Tặng quà, đã chọn sẵn chip "🌷 Bông hoa"</t>
  </si>
  <si>
    <t xml:space="preserve">1. Mở app FoxEco bằng tài khoản Người gửi (Sender)
2. Bấm tab "Hoạt động", mở đơn đã "Hoàn thành" để vào màn "Theo dõi đơn", bấm "✓ Cảm ơn người vận chuyển"
3. Bấm chip "🌷 Bông hoa", sau đó bấm tiếp chip "👑 Vương miện"</t>
  </si>
  <si>
    <t xml:space="preserve">3. Chỉ chip "👑 Vương miện" ở trạng thái đã chọn; chip "🌷 Bông hoa" trở về trạng thái chưa chọn — không cho chọn đồng thời 2 loại</t>
  </si>
  <si>
    <t xml:space="preserve">Technique: EP-switch-selection (rule chọn 1 trong 4, nguồn: "Chọn 1 (chip có viền cam khi selected)" — DOC-v1.0-02 §3.8)</t>
  </si>
  <si>
    <t xml:space="preserve">Check bấm "Xác nhận tặng quà" khi chưa chọn loại quà nào</t>
  </si>
  <si>
    <t xml:space="preserve">Đang ở màn Tặng quà, CHƯA chọn loại quà nào</t>
  </si>
  <si>
    <t xml:space="preserve">1. Mở app FoxEco bằng tài khoản Người gửi (Sender)
2. Bấm tab "Hoạt động", mở đơn đã "Hoàn thành" để vào màn "Theo dõi đơn", bấm "✓ Cảm ơn người vận chuyển"
3. Bấm thẳng nút "✓ Xác nhận tặng quà" mà không chọn chip nào</t>
  </si>
  <si>
    <t xml:space="preserve">3. Hệ thống KHÔNG gửi đi món quà nào — hoặc nút ở trạng thái disable không phản hồi, hoặc hiện thông báo yêu cầu chọn quà; tuyệt đối KHÔNG gửi quà rỗng hay tự chọn giúp 1 loại mặc định</t>
  </si>
  <si>
    <t xml:space="preserve">Technique: EP-invalid-none | ⚠ `test_data_catalog.md` ghi rõ rule validate cho case này CHƯA có trong tài liệu ("chưa có rule validate rõ — suy đoán phải chọn 1 mới gửi được") → Expected cố ý viết ở mức bất biến an toàn (không gửi quà rỗng), chấp nhận cả 2 cách hiện thực. **Cần BA chốt** hành vi chính thức để siết Expected lại (Project_rule.md §10.1)</t>
  </si>
  <si>
    <t xml:space="preserve">Block Gửi quà &amp; popup kết quả</t>
  </si>
  <si>
    <t xml:space="preserve">Check gửi quà thành công hiện ngay popup kết quả, không cần Người vận chuyển xác nhận</t>
  </si>
  <si>
    <t xml:space="preserve">Đang ở màn Tặng quà, đã chọn chip "☕ Ly cà phê"</t>
  </si>
  <si>
    <t xml:space="preserve">1. Mở app FoxEco bằng tài khoản Người gửi (Sender)
2. Bấm tab "Hoạt động", mở đơn đã "Hoàn thành" để vào màn "Theo dõi đơn", bấm "✓ Cảm ơn người vận chuyển"
3. Bấm chip "☕ Ly cà phê" rồi bấm "✓ Xác nhận tặng quà"</t>
  </si>
  <si>
    <t xml:space="preserve">3. Popup kết quả hiện NGAY lập tức — không phát sinh bước chờ Người vận chuyển chấp nhận/xác nhận</t>
  </si>
  <si>
    <t xml:space="preserve">Check đầy đủ + đúng 3 thành phần hiển thị tại popup "Đã gửi lời cảm ơn!"</t>
  </si>
  <si>
    <t xml:space="preserve">Sender vừa bấm "✓ Xác nhận tặng quà" với 1 loại quà đã chọn</t>
  </si>
  <si>
    <t xml:space="preserve">1. Mở app FoxEco bằng tài khoản Người gửi (Sender)
2. Bấm tab "Hoạt động", mở đơn đã "Hoàn thành" để vào màn "Theo dõi đơn", bấm "✓ Cảm ơn người vận chuyển"
3. Chọn 1 loại quà, bấm "✓ Xác nhận tặng quà" và quan sát popup kết quả</t>
  </si>
  <si>
    <t xml:space="preserve">3. Popup hiển thị đủ 3 thành phần: (1) title "Đã gửi lời cảm ơn!", (2) nội dung "Món quà và lời cảm ơn của bạn đã được gửi đến người vận chuyển.", (3) nút "Về trang chủ"</t>
  </si>
  <si>
    <t xml:space="preserve">Field/column completeness check — auto-derived (xem generate.md Step 3b) | Text verbatim xác nhận qua ảnh Figma DOC-v1.0-04 (hash 808c2576…, 851d2b9f…)</t>
  </si>
  <si>
    <t xml:space="preserve">Check bấm "Về trang chủ" trong popup kết quả điều hướng đúng Trang chủ</t>
  </si>
  <si>
    <t xml:space="preserve">Popup "Đã gửi lời cảm ơn!" đang hiển thị sau khi gửi quà thành công</t>
  </si>
  <si>
    <t xml:space="preserve">1. Mở app FoxEco bằng tài khoản Người gửi (Sender)
2. Bấm tab "Hoạt động", mở đơn đã "Hoàn thành" để vào màn "Theo dõi đơn", bấm "✓ Cảm ơn người vận chuyển"
3. Chọn 1 loại quà, bấm "✓ Xác nhận tặng quà", sau đó bấm nút "Về trang chủ" trong popup</t>
  </si>
  <si>
    <t xml:space="preserve">3. Popup đóng lại và điều hướng về đúng màn Trang chủ (tab "Trang chủ" tại bottom nav được highlight)</t>
  </si>
  <si>
    <t xml:space="preserve">Check "Quà đã nhận" của Người vận chuyển tăng đúng loại quà vừa được tặng</t>
  </si>
  <si>
    <t xml:space="preserve">Carrier của đơn đã ghi nhận sẵn số lượng quà từng loại trước khi Sender tặng; Sender vừa gửi "☕ Ly cà phê" thành công</t>
  </si>
  <si>
    <t xml:space="preserve">1. Ghi nhận số lượng "☕ Ly cà phê" hiện có tại màn "Quà đã nhận" của tài khoản Carrier
2. Trên thiết bị Sender: gửi quà "☕ Ly cà phê" cho đơn đã hoàn thành của Carrier đó
3. Mở lại màn "Quà đã nhận" của tài khoản Carrier (Cá nhân → "Quà đã nhận")</t>
  </si>
  <si>
    <t xml:space="preserve">3. Số lượng "☕ Ly cà phê" tăng đúng 1 so với bước 1; các loại quà khác giữ nguyên; Carrier KHÔNG phải thao tác xác nhận nào để nhận quà</t>
  </si>
  <si>
    <t xml:space="preserve">Cấu trúc màn "Quà đã nhận" (card đếm theo loại + empty state + icon quay lại) đã cover tại TC-CANHAN (SC-GIFT-003/006/007) — tại đây chỉ verify tác động end-to-end của việc tặng quà</t>
  </si>
  <si>
    <t xml:space="preserve">Block Đổi nhãn nút sau khi đã gửi quà</t>
  </si>
  <si>
    <t xml:space="preserve">Check nút "Cảm ơn người vận chuyển" đổi thành nhãn "Bạn đã đánh giá" sau khi gửi quà</t>
  </si>
  <si>
    <t xml:space="preserve">Sender vừa gửi quà thành công cho 1 đơn đã "Hoàn thành"</t>
  </si>
  <si>
    <t xml:space="preserve">1. Mở app FoxEco bằng tài khoản Sender, mở đơn đã "Hoàn thành" và gửi quà thành công
2. Quay lại màn "Theo dõi đơn" của chính đơn vừa tặng quà
3. Quan sát nút hành động ở đáy màn</t>
  </si>
  <si>
    <t xml:space="preserve">3. Nút "✓ Cảm ơn người vận chuyển" đã đổi thành nhãn "Bạn đã đánh giá" ở trạng thái disable</t>
  </si>
  <si>
    <t xml:space="preserve">Technique: ST-gift-not-sent → gift-sent (đổi trạng thái nút sau hành động gửi quà)</t>
  </si>
  <si>
    <t xml:space="preserve">Check KHÔNG gửi quà lại lần 2 cho cùng 1 đơn</t>
  </si>
  <si>
    <t xml:space="preserve">Sender đã gửi quà thành công cho đơn này, nhãn hiện tại là "Bạn đã đánh giá"</t>
  </si>
  <si>
    <t xml:space="preserve">1. Mở app FoxEco bằng tài khoản Sender, mở đơn đã "Hoàn thành" và ĐÃ tặng quà trước đó
2. Bấm thử vào nhãn "Bạn đã đánh giá" ở đáy màn Theo dõi đơn
3. Quan sát kết quả sau khi bấm</t>
  </si>
  <si>
    <t xml:space="preserve">3. Nhãn KHÔNG phản hồi — không mở lại màn Tặng quà, không phát sinh thêm bản ghi quà nào cho đơn này</t>
  </si>
  <si>
    <t xml:space="preserve">Technique: ST-invalid-regift (transition không hợp lệ từ state đã-gửi-quà)</t>
  </si>
  <si>
    <t xml:space="preserve">SC ID</t>
  </si>
  <si>
    <t xml:space="preserve">Scenario Title</t>
  </si>
  <si>
    <t xml:space="preserve">Source Hint</t>
  </si>
  <si>
    <t xml:space="preserve">B1 EP</t>
  </si>
  <si>
    <t xml:space="preserve">B2 BVA</t>
  </si>
  <si>
    <t xml:space="preserve">B3 DT</t>
  </si>
  <si>
    <t xml:space="preserve">B4 ST</t>
  </si>
  <si>
    <t xml:space="preserve">B5 PW</t>
  </si>
  <si>
    <t xml:space="preserve">B6 EG</t>
  </si>
  <si>
    <t xml:space="preserve">B7 CRUD</t>
  </si>
  <si>
    <t xml:space="preserve">B8 CEG</t>
  </si>
  <si>
    <t xml:space="preserve">Total TCs</t>
  </si>
  <si>
    <t xml:space="preserve">SC-ORD-025</t>
  </si>
  <si>
    <t xml:space="preserve">Bottom nav đủ 5 tab, "Hoạt động" highlight đúng</t>
  </si>
  <si>
    <t xml:space="preserve">Quan sát thực tế app — bottom nav</t>
  </si>
  <si>
    <t xml:space="preserve">N/A: 1 case duy nhất (display)</t>
  </si>
  <si>
    <t xml:space="preserve">N/A: no range field</t>
  </si>
  <si>
    <t xml:space="preserve">N/A: single condition</t>
  </si>
  <si>
    <t xml:space="preserve">N/A: no lifecycle</t>
  </si>
  <si>
    <t xml:space="preserve">N/A: &lt;3 params</t>
  </si>
  <si>
    <t xml:space="preserve">N/A: display-only</t>
  </si>
  <si>
    <t xml:space="preserve">N/A: not CRUD scope</t>
  </si>
  <si>
    <t xml:space="preserve">N/A: DT already N/A</t>
  </si>
  <si>
    <t xml:space="preserve">N/A (0 applicable)</t>
  </si>
  <si>
    <t xml:space="preserve">SC-ORD-015</t>
  </si>
  <si>
    <t xml:space="preserve">Đủ 2 tab "Đang diễn ra"/"Đã hoàn thành" tại Hoạt động</t>
  </si>
  <si>
    <t xml:space="preserve">Quan sát thực tế app — tab switcher</t>
  </si>
  <si>
    <t xml:space="preserve">N/A: đã tách theo tab ở SC-ORD-017/026</t>
  </si>
  <si>
    <t xml:space="preserve">SC-ORD-016</t>
  </si>
  <si>
    <t xml:space="preserve">Tab mặc định khi mới vào màn Hoạt động</t>
  </si>
  <si>
    <t xml:space="preserve">Quan sát thực tế app — default state PRISTINE</t>
  </si>
  <si>
    <t xml:space="preserve">N/A: UI default state, không phải input domain</t>
  </si>
  <si>
    <t xml:space="preserve">N/A: UI selection state, không phải entity lifecycle</t>
  </si>
  <si>
    <t xml:space="preserve">SC-ORD-017</t>
  </si>
  <si>
    <t xml:space="preserve">Quan sát thực tế app — filter theo trạng thái đơn</t>
  </si>
  <si>
    <t xml:space="preserve">✅ 3 (EP-mixed-aggregate baseline — data tổng hợp tab; EP-matched; EP-in-transit)</t>
  </si>
  <si>
    <t xml:space="preserve">N/A: filter theo state, không phải state machine transition</t>
  </si>
  <si>
    <t xml:space="preserve">N/A: no user free-text</t>
  </si>
  <si>
    <t xml:space="preserve">N/A: read-only listing (List op)</t>
  </si>
  <si>
    <t xml:space="preserve">100% (1/1)</t>
  </si>
  <si>
    <t xml:space="preserve">SC-ORD-026</t>
  </si>
  <si>
    <t xml:space="preserve">✅ 1 (EP-mixed-aggregate — data tab "Đã hoàn thành"; partition theo từng trạng thái dùng chung với SC-ORD-017/019)</t>
  </si>
  <si>
    <t xml:space="preserve">N/A: filter theo state</t>
  </si>
  <si>
    <t xml:space="preserve">N/A: read-only listing</t>
  </si>
  <si>
    <t xml:space="preserve">SC-ORD-018</t>
  </si>
  <si>
    <t xml:space="preserve">Check đầy đủ field trên 1 card đơn (completeness)</t>
  </si>
  <si>
    <t xml:space="preserve">Step 3b field/column completeness — 5 trường card</t>
  </si>
  <si>
    <t xml:space="preserve">N/A: đã là completeness check riêng (Step 3b)</t>
  </si>
  <si>
    <t xml:space="preserve">SC-ORD-005</t>
  </si>
  <si>
    <t xml:space="preserve">Tin tự động "Hết hạn" khi quá thời gian không ai ghép</t>
  </si>
  <si>
    <t xml:space="preserve">"ORD-06 Tin hết hạn..." + US-D04 "...tự động chuyển trạng thái Hết hạn..."</t>
  </si>
  <si>
    <t xml:space="preserve">N/A: không phải enum domain</t>
  </si>
  <si>
    <t xml:space="preserve">✅ 2 (BVA-at-expiry; BVA-before-expiry)</t>
  </si>
  <si>
    <t xml:space="preserve">✅ tham chiếu — valid transition POSTED→EXPIRED = baseline; invalid transition (match tin EXPIRED) thuộc scope ASN/Bảng tin, không lặp lại ở fragment này</t>
  </si>
  <si>
    <t xml:space="preserve">N/A: no user free-text input</t>
  </si>
  <si>
    <t xml:space="preserve">100% (1/1) — SC-ORD-004 (Timeline) KHÔNG thuộc module này, cover tại Coverage Matrix - Đăng tin</t>
  </si>
  <si>
    <t xml:space="preserve">SC-ORD-019</t>
  </si>
  <si>
    <t xml:space="preserve">Card trạng thái "Hoàn thành" hiển thị đúng, không assert rating</t>
  </si>
  <si>
    <t xml:space="preserve">Quan sát thực tế app — card COMPLETED</t>
  </si>
  <si>
    <t xml:space="preserve">N/A: 1 partition, dùng chung cho SC-ORD-026</t>
  </si>
  <si>
    <t xml:space="preserve">N/A: display state, không transition</t>
  </si>
  <si>
    <t xml:space="preserve">SC-ORD-020</t>
  </si>
  <si>
    <t xml:space="preserve">Card trạng thái "Chờ ghép" hiển thị tại tab "Đang diễn ra"</t>
  </si>
  <si>
    <t xml:space="preserve">Quan sát thực tế app — card POSTED</t>
  </si>
  <si>
    <t xml:space="preserve">N/A: 1 partition, dùng chung cho SC-ORD-017/021</t>
  </si>
  <si>
    <t xml:space="preserve">N/A: display state</t>
  </si>
  <si>
    <t xml:space="preserve">SC-ORD-021</t>
  </si>
  <si>
    <t xml:space="preserve">Tap card trạng thái khác "Hết hạn" → mở Chi tiết tin</t>
  </si>
  <si>
    <t xml:space="preserve">Quan sát thực tế app — status ∈ {Chờ ghép, Đã ghép, Đang giao, Hoàn thành}</t>
  </si>
  <si>
    <t xml:space="preserve">✅ 4 (EP-posted; EP-matched; EP-in-transit; EP-completed)</t>
  </si>
  <si>
    <t xml:space="preserve">N/A: navigation action theo state, không phải state machine transition</t>
  </si>
  <si>
    <t xml:space="preserve">N/A: tap action, không phải input field</t>
  </si>
  <si>
    <t xml:space="preserve">SC-ORD-022</t>
  </si>
  <si>
    <t xml:space="preserve">Tap card "Hết hạn" → không cho thao tác</t>
  </si>
  <si>
    <t xml:space="preserve">Quan sát thực tế app — invalid partition đối chứng SC-ORD-021</t>
  </si>
  <si>
    <t xml:space="preserve">N/A: đây chính là partition invalid của SC-ORD-021 EP set</t>
  </si>
  <si>
    <t xml:space="preserve">N/A: tap action</t>
  </si>
  <si>
    <t xml:space="preserve">SC-ORD-023</t>
  </si>
  <si>
    <t xml:space="preserve">Empty state khi danh sách rỗng (cả 2 tab)</t>
  </si>
  <si>
    <t xml:space="preserve">Quan sát thực tế app / QA đề xuất — C-ORD-06, tab ∈ {Đang diễn ra, Đã hoàn thành}</t>
  </si>
  <si>
    <t xml:space="preserve">✅ 2 (EP-tab-ongoing-empty; EP-tab-completed-empty — tách theo tab per Project_rule §10.2)</t>
  </si>
  <si>
    <t xml:space="preserve">SC-ORD-024</t>
  </si>
  <si>
    <t xml:space="preserve">Đơn "Đã huỷ" (CNL) hiển thị đúng tại tab "Đang diễn ra" (⚠ CORRECTED 2026-07-30)</t>
  </si>
  <si>
    <t xml:space="preserve">Quan sát thực tế app — giao thoa REQ-CNL-001</t>
  </si>
  <si>
    <t xml:space="preserve">N/A: role/lý do huỷ thuộc scope module CNL, không lặp lại ở đây</t>
  </si>
  <si>
    <t xml:space="preserve">N/A: cross-module state gate, test chi tiết thuộc CNL</t>
  </si>
  <si>
    <t xml:space="preserve">N/A: no user free-text input tại màn này</t>
  </si>
  <si>
    <t xml:space="preserve">Total scenarios: 13</t>
  </si>
  <si>
    <t xml:space="preserve">Total TCs (baseline 13 + derived 8): 21</t>
  </si>
  <si>
    <t xml:space="preserve">Most-applied technique: B1 EP (SC-ORD-017: 3, SC-ORD-021: 4, SC-ORD-023: 2, SC-ORD-026: 1) / B2 BVA (SC-ORD-004/005: 2)</t>
  </si>
  <si>
    <t xml:space="preserve">Least-applied technique: B3 DT, B5 PW, B6 EG, B7 CRUD, B8 CEG — N/A toàn bộ 13 scenario (màn Hoạt động là list/card/navigation view, không có user-input field, không có ≥3 param nhân, không có persistent CRUD ops trực tiếp trên màn này — lý do log tại từng cột); B4 ST chỉ tham chiếu (transition test đầy đủ thuộc scope ASN/Bảng tin/CNL)</t>
  </si>
  <si>
    <t xml:space="preserve">SC-USR-002</t>
  </si>
  <si>
    <t xml:space="preserve">Xem hồ sơ cá nhân (view-only)</t>
  </si>
  <si>
    <t xml:space="preserve">"USR-02 Xem/cập nhật hồ sơ..." + QA xác nhận view-only (C-USR-03)</t>
  </si>
  <si>
    <t xml:space="preserve">N/A: field display, không phải input domain</t>
  </si>
  <si>
    <t xml:space="preserve">N/A: view-only, không có field user nhập</t>
  </si>
  <si>
    <t xml:space="preserve">N/A: Read-only, không CRUD scope này</t>
  </si>
  <si>
    <t xml:space="preserve">SC-USR-003</t>
  </si>
  <si>
    <t xml:space="preserve">Hiển thị phòng ban + khu vực trên hồ sơ</t>
  </si>
  <si>
    <t xml:space="preserve">"USR-04 Hiển thị phòng ban + khu vực/tỉnh..."</t>
  </si>
  <si>
    <t xml:space="preserve">N/A: 1 giá trị SSO cố định</t>
  </si>
  <si>
    <t xml:space="preserve">N/A: data từ SSO, không phải input</t>
  </si>
  <si>
    <t xml:space="preserve">SC-USR-006</t>
  </si>
  <si>
    <t xml:space="preserve">Check đầy đủ hiển thị header màn Cá nhân (completeness)</t>
  </si>
  <si>
    <t xml:space="preserve">Step 3b field/column completeness — 6 phần tử header</t>
  </si>
  <si>
    <t xml:space="preserve">N/A: display-only, không có input</t>
  </si>
  <si>
    <t xml:space="preserve">SC-USR-004</t>
  </si>
  <si>
    <t xml:space="preserve">Hiển thị đúng 2 chỉ số (đơn giúp + quà nhận), không hiện điểm/tier/CO2</t>
  </si>
  <si>
    <t xml:space="preserve">"USR-05 Hiển thị tổng số đơn đã giúp + tổng số quà ảo đã nhận..."</t>
  </si>
  <si>
    <t xml:space="preserve">✅ 3 (zero/one/large)</t>
  </si>
  <si>
    <t xml:space="preserve">N/A: counter, không phải state machine</t>
  </si>
  <si>
    <t xml:space="preserve">N/A: counter hiển thị, không phải user free-text</t>
  </si>
  <si>
    <t xml:space="preserve">N/A: read-only counter, not CRUD scope</t>
  </si>
  <si>
    <t xml:space="preserve">SC-USR-005</t>
  </si>
  <si>
    <t xml:space="preserve">Cấu hình kênh liên hệ sẽ lộ (GAP — out of scope)</t>
  </si>
  <si>
    <t xml:space="preserve">"USR-07 Cấu hình kênh liên hệ..." — C-USR-02 Resolved Deferred</t>
  </si>
  <si>
    <t xml:space="preserve">N/A: tính năng out of scope v1.0</t>
  </si>
  <si>
    <t xml:space="preserve">N/A: không có UI/input để test</t>
  </si>
  <si>
    <t xml:space="preserve">SC-USR-007</t>
  </si>
  <si>
    <t xml:space="preserve">Menu "Đơn của tôi" điều hướng sang Hoạt động</t>
  </si>
  <si>
    <t xml:space="preserve">Quan sát thực tế app — điều hướng menu</t>
  </si>
  <si>
    <t xml:space="preserve">N/A: 1 case duy nhất (navigation)</t>
  </si>
  <si>
    <t xml:space="preserve">N/A: UI navigation, không phải entity lifecycle</t>
  </si>
  <si>
    <t xml:space="preserve">SC-GIFT-003</t>
  </si>
  <si>
    <t xml:space="preserve">Card "Quà đã nhận" chỉ load đúng loại đã nhận</t>
  </si>
  <si>
    <t xml:space="preserve">Quan sát thực tế app — 4 loại quà, load có điều kiện</t>
  </si>
  <si>
    <t xml:space="preserve">✅ 2 (EP-partial baseline — chỉ load loại đã nhận; EP-all-received — đủ 4/4 loại; partition none=0 quà thuộc SC-GIFT-006)</t>
  </si>
  <si>
    <t xml:space="preserve">✅ 1 (count-large)</t>
  </si>
  <si>
    <t xml:space="preserve">N/A: read-only listing, not CRUD scope</t>
  </si>
  <si>
    <t xml:space="preserve">100% (2/2) — +2 TC baseline (completeness màn + danh sách lịch sử, bổ sung 2026-07-30)</t>
  </si>
  <si>
    <t xml:space="preserve">SC-GIFT-005</t>
  </si>
  <si>
    <t xml:space="preserve">Menu "Quà đã nhận" điều hướng sang màn Quà đã nhận</t>
  </si>
  <si>
    <t xml:space="preserve">N/A: UI navigation</t>
  </si>
  <si>
    <t xml:space="preserve">SC-GIFT-006</t>
  </si>
  <si>
    <t xml:space="preserve">Màn "Quà đã nhận" rỗng khi chưa nhận quà nào</t>
  </si>
  <si>
    <t xml:space="preserve">Quan sát thực tế app / QA đề xuất — C-ORD-06</t>
  </si>
  <si>
    <t xml:space="preserve">N/A: 1 case (display-only)</t>
  </si>
  <si>
    <t xml:space="preserve">SC-GIFT-007</t>
  </si>
  <si>
    <t xml:space="preserve">Icon quay lại tại màn "Quà đã nhận"</t>
  </si>
  <si>
    <t xml:space="preserve">Quan sát thực tế app — nút quay lại</t>
  </si>
  <si>
    <t xml:space="preserve">Total scenarios: 10</t>
  </si>
  <si>
    <t xml:space="preserve">Total TCs (baseline 12 + derived 5): 17</t>
  </si>
  <si>
    <t xml:space="preserve">Most-applied technique: B1 EP (SC-USR-004: 0, SC-GIFT-003: 2) / B2 BVA (SC-USR-004: 3, SC-GIFT-003: 1)</t>
  </si>
  <si>
    <t xml:space="preserve">Least-applied technique: B3 DT, B4 ST, B5 PW, B6 EG, B7 CRUD, B8 CEG — N/A toàn bộ 10 scenario (màn Cá nhân/Quà đã nhận là view-only + navigation, không có input field/state lifecycle/multi-condition — lý do log tại từng cột)</t>
  </si>
  <si>
    <t xml:space="preserve">SC-NTF-001</t>
  </si>
  <si>
    <t xml:space="preserve">Thông báo khi ghép ngay (NTF-01/02)</t>
  </si>
  <si>
    <t xml:space="preserve">DOC-v1.0-01 §D6 "NTF-01... NTF-02..."</t>
  </si>
  <si>
    <t xml:space="preserve">✅ 2</t>
  </si>
  <si>
    <t xml:space="preserve">N/A: state transition tested ở module ASN</t>
  </si>
  <si>
    <t xml:space="preserve">SC-NTF-002</t>
  </si>
  <si>
    <t xml:space="preserve">Thông báo khi khớp tuyến OFFER (NTF-03)</t>
  </si>
  <si>
    <t xml:space="preserve">DOC-v1.0-04 "Tìm thấy đơn hàng phù hợp tuyến..."</t>
  </si>
  <si>
    <t xml:space="preserve">N/A: 1 case duy nhất trong SC này</t>
  </si>
  <si>
    <t xml:space="preserve">N/A: no lifecycle trong scope SC</t>
  </si>
  <si>
    <t xml:space="preserve">SC-NTF-003</t>
  </si>
  <si>
    <t xml:space="preserve">Thông báo theo mốc vận chuyển (NTF-04/05/06)</t>
  </si>
  <si>
    <t xml:space="preserve">DOC-v1.0-01 §D6 "NTF-04...NTF-05...NTF-06"</t>
  </si>
  <si>
    <t xml:space="preserve">N/A: dedup với ST (event=milestone)</t>
  </si>
  <si>
    <t xml:space="preserve">N/A: single condition per milestone</t>
  </si>
  <si>
    <t xml:space="preserve">✅ 6 (3 valid + 3 invalid)</t>
  </si>
  <si>
    <t xml:space="preserve">SC-NTF-004</t>
  </si>
  <si>
    <t xml:space="preserve">Thông báo khi nhận quà cảm ơn (NTF-07)</t>
  </si>
  <si>
    <t xml:space="preserve">DOC-v1.0-04 "Bạn nhận được một món quà cảm ơn 🎁"</t>
  </si>
  <si>
    <t xml:space="preserve">N/A: 1 case duy nhất (biến thể quà thuộc scope GIFT)</t>
  </si>
  <si>
    <t xml:space="preserve">SC-NTF-005</t>
  </si>
  <si>
    <t xml:space="preserve">Thông báo khi đơn huỷ (NTF-08) và tin quá hạn (NTF-09)</t>
  </si>
  <si>
    <t xml:space="preserve">DOC-v1.0-04 "Đơn của bạn đã bị người vận chuyển huỷ..."</t>
  </si>
  <si>
    <t xml:space="preserve">✅ 4 (huỷ-Carrier/Sender/Receiver + quá-hạn)</t>
  </si>
  <si>
    <t xml:space="preserve">N/A: single condition per case</t>
  </si>
  <si>
    <t xml:space="preserve">N/A: dedup với module CNL (state-gate)</t>
  </si>
  <si>
    <t xml:space="preserve">N/A: lý do huỷ là input, nhưng validate thuộc scope CNL</t>
  </si>
  <si>
    <t xml:space="preserve">SC-ASN-013</t>
  </si>
  <si>
    <t xml:space="preserve">Hệ thống chỉ bắn tối đa 5 thông báo khớp tin cho Carrier, tính riêng theo TỪNG TIN — không cộng dồn theo ngày</t>
  </si>
  <si>
    <t xml:space="preserve">DOC-v1.0-01 §D7 "OPR-01" + BA xác nhận qua chat 2026-07-29 (thay thế SC-NTF-006, DEPRECATED)</t>
  </si>
  <si>
    <t xml:space="preserve">N/A: no enum domain</t>
  </si>
  <si>
    <t xml:space="preserve">✅ 3 (BVA-min-1 / max / max+1 quanh trần 5)</t>
  </si>
  <si>
    <t xml:space="preserve">N/A: single condition (counter)</t>
  </si>
  <si>
    <t xml:space="preserve">N/A: no lifecycle (counter, not state machine)</t>
  </si>
  <si>
    <t xml:space="preserve">SC-NTF-007</t>
  </si>
  <si>
    <t xml:space="preserve">Empty state khi chưa có thông báo nào</t>
  </si>
  <si>
    <t xml:space="preserve">Quan sát thực tế app / QA đề xuất</t>
  </si>
  <si>
    <t xml:space="preserve">SC-NTF-008</t>
  </si>
  <si>
    <t xml:space="preserve">Đánh dấu đã đọc (tap 1 thông báo / nút mark-all)</t>
  </si>
  <si>
    <t xml:space="preserve">DOC-v1.0-04 / QA đề xuất hành vi — C-NTF-03</t>
  </si>
  <si>
    <t xml:space="preserve">N/A: dedup với ST (2 phương thức = 2 transition)</t>
  </si>
  <si>
    <t xml:space="preserve">✅ 4 (2 valid + 2 idempotent)</t>
  </si>
  <si>
    <t xml:space="preserve">N/A: dedup với ST (Update perspective)</t>
  </si>
  <si>
    <t xml:space="preserve">SC-NTF-009</t>
  </si>
  <si>
    <t xml:space="preserve">Scroll xuống load thêm dữ liệu (phân trang)</t>
  </si>
  <si>
    <t xml:space="preserve">Quan sát thực tế app / QA đề xuất — C-NTF-03</t>
  </si>
  <si>
    <t xml:space="preserve">✅ 1 (network-error edge case)</t>
  </si>
  <si>
    <t xml:space="preserve">✅ 4 (page1/page2/last-page/over-scroll)</t>
  </si>
  <si>
    <t xml:space="preserve">N/A: no explicit state lifecycle</t>
  </si>
  <si>
    <t xml:space="preserve">N/A: &lt;3 params (chỉ có param page)</t>
  </si>
  <si>
    <t xml:space="preserve">N/A: page index không phải user free-text</t>
  </si>
  <si>
    <t xml:space="preserve">100% (2/2)</t>
  </si>
  <si>
    <t xml:space="preserve">SC-NTF-010</t>
  </si>
  <si>
    <t xml:space="preserve">Nội dung push không chứa SĐT (kiểm soát lộ liên hệ, OPR-07)</t>
  </si>
  <si>
    <t xml:space="preserve">DOC-v1.0-01 §D7 "OPR-07 ... không đưa SĐT vào nội dung push"</t>
  </si>
  <si>
    <t xml:space="preserve">✅ 2 (EP-push-content-hidden-baseline / EP-push-content-hidden-later-lifecycle)</t>
  </si>
  <si>
    <t xml:space="preserve">N/A: single condition (có/không chứa SĐT), không có ≥2 điều kiện nhân</t>
  </si>
  <si>
    <t xml:space="preserve">SC-NTF-011</t>
  </si>
  <si>
    <t xml:space="preserve">Icon quay lại tại màn Thông báo</t>
  </si>
  <si>
    <t xml:space="preserve">Quan sát thực tế app STG (QA GiangDC2, chat 2026-07-30)</t>
  </si>
  <si>
    <t xml:space="preserve">N/A: display/navigation-only, không có input/condition để áp dụng technique</t>
  </si>
  <si>
    <t xml:space="preserve">Total scenarios: 10 (8 NTF còn hiệu lực + SC-ASN-013 + SC-NTF-010 [NEW 2026-07-30, OPR-07]; SC-NTF-006 đã DEPRECATED 2026-07-29 nên không còn row riêng)</t>
  </si>
  <si>
    <t xml:space="preserve">Total TCs derived (per-scenario rubric, chưa gồm Step 3b completeness TC): 30 + 9 TC click-navigate (NEW 2026-07-31, display/navigation-only — mở rộng SC-NTF-001..005, xem ghi chú dưới) = 39</t>
  </si>
  <si>
    <t xml:space="preserve">Most-applied technique: B4 ST (SC-NTF-003: 6, SC-NTF-008: 4) / B2 BVA (SC-NTF-006: 3, SC-NTF-009: 4)</t>
  </si>
  <si>
    <t xml:space="preserve">Least-applied technique: B3 DT, B5 PW, B7 CRUD, B8 CEG — N/A toàn bộ 9 scenario (lý do log tại từng cột)</t>
  </si>
  <si>
    <t xml:space="preserve">NEW 2026-07-31: SC-NTF-001/002/003/004/005 mở rộng thêm hành vi tap → điều hướng (9 TC riêng, giống SC-NTF-011 — N/A cho mọi technique B1-B4, display/navigation-only, không có input/range/condition/param áp dụng được). Nguồn: user xác nhận qua chat, C-NTF-01 vẫn Open (baseline tạm).</t>
  </si>
  <si>
    <t xml:space="preserve">SC-ORD-001</t>
  </si>
  <si>
    <t xml:space="preserve">Đăng tin NEED qua wizard 3 bước (happy path + điều hướng)</t>
  </si>
  <si>
    <t xml:space="preserve">User chọn 'Tôi cần gửi hàng' → điền đủ B1→B2→B3, tick điều khoản, bấm 'Đăng…</t>
  </si>
  <si>
    <t xml:space="preserve">N/A: no discrete input domain</t>
  </si>
  <si>
    <t xml:space="preserve">✅ 4</t>
  </si>
  <si>
    <t xml:space="preserve">N/A: not free-text input</t>
  </si>
  <si>
    <t xml:space="preserve">N/A: Create đã = baseline, không tách CRUD riêng</t>
  </si>
  <si>
    <t xml:space="preserve">N/A: B3 escalation not triggered</t>
  </si>
  <si>
    <t xml:space="preserve">SC-ORD-002</t>
  </si>
  <si>
    <t xml:space="preserve">Đăng tin OFFER (form 1 bước)</t>
  </si>
  <si>
    <t xml:space="preserve">User chọn 'Tôi nhận giao hàng' → Điền điểm A/B, khung giờ, tick điều khoản…</t>
  </si>
  <si>
    <t xml:space="preserve">N/A: 0-dim, fields covered ở SC-027/028 (OFFER instance)</t>
  </si>
  <si>
    <t xml:space="preserve">N/A: 0-dim (spot-check kèm SC-027/028)</t>
  </si>
  <si>
    <t xml:space="preserve">N/A: no lifecycle riêng</t>
  </si>
  <si>
    <t xml:space="preserve">N/A: 0-dim (spot-check kèm SC-027)</t>
  </si>
  <si>
    <t xml:space="preserve">N/A: Create=baseline, Update=SC-008</t>
  </si>
  <si>
    <t xml:space="preserve">N/A (0-dim beyond baseline)</t>
  </si>
  <si>
    <t xml:space="preserve">SC-ORD-003</t>
  </si>
  <si>
    <t xml:space="preserve">Tin xuất hiện ở 'Đơn của tôi', không hiện mã đơn</t>
  </si>
  <si>
    <t xml:space="preserve">Đăng tin thành công! Tin của bạn đã được đăng lên bảng tin…</t>
  </si>
  <si>
    <t xml:space="preserve">N/A: not user-input</t>
  </si>
  <si>
    <t xml:space="preserve">N/A: not CRUD</t>
  </si>
  <si>
    <t xml:space="preserve">SC-ORD-004</t>
  </si>
  <si>
    <t xml:space="preserve">Timeline tin ghi nhận đầy đủ mốc thời gian (Theo dõi đơn — Sender)</t>
  </si>
  <si>
    <t xml:space="preserve">Tin đã qua ≥2 trạng thái → mở Theo dõi đơn, xem Lịch sử → timeline hiện đủ mốc kèm timestamp…</t>
  </si>
  <si>
    <t xml:space="preserve">N/A: no discrete input</t>
  </si>
  <si>
    <t xml:space="preserve">N/A: display/history của lifecycle đã test transition ở SC-005/SC-009, đây là completeness hiển thị</t>
  </si>
  <si>
    <t xml:space="preserve">100% (0/0 — chủ yếu completeness Step 3b, không có technique B1-B8 riêng applicable)</t>
  </si>
  <si>
    <t xml:space="preserve">Tin tự động 'Hết hạn' khi quá thời gian không ai ghép</t>
  </si>
  <si>
    <t xml:space="preserve">Tin POSTED quá thời gian cấu hình mà chưa MATCHED → EXPIRED…</t>
  </si>
  <si>
    <t xml:space="preserve">N/A: BVA hợp nhất vào ST (mốc hạn = giá trị user chọn)</t>
  </si>
  <si>
    <t xml:space="preserve">N/A: coverage đã chuyển hẳn sang TC-HOATDONG-v1.0.xlsx (rows 18-19) — dedupe 2026-07-29, tránh trùng TC với module Đăng tin</t>
  </si>
  <si>
    <t xml:space="preserve">N/A: lifecycle đã cover qua B4</t>
  </si>
  <si>
    <t xml:space="preserve">0 TC tại module này — cover tại TC_01 Hoạt động (TC_01.9/TC_01.10), xem sheet Coverage Matrix</t>
  </si>
  <si>
    <t xml:space="preserve">SC-ORD-006</t>
  </si>
  <si>
    <t xml:space="preserve">Không tick điều khoản → chặn đăng tin (Bước 3)</t>
  </si>
  <si>
    <t xml:space="preserve">Xác nhận điều khoản | Bắt buộc tick mới bật được nút Đăng tin…</t>
  </si>
  <si>
    <t xml:space="preserve">N/A: 0-dim, EP nửa còn lại (tick=allow) đã cover ở SC-001 baseline</t>
  </si>
  <si>
    <t xml:space="preserve">N/A: single condition (DT đầy đủ đã tách riêng SC-030)</t>
  </si>
  <si>
    <t xml:space="preserve">N/A: not free-text</t>
  </si>
  <si>
    <t xml:space="preserve">SC-ORD-007</t>
  </si>
  <si>
    <t xml:space="preserve">Bỏ trống Loại hàng/Giá trị/Người nhận bị chặn (validate bắt buộc)</t>
  </si>
  <si>
    <t xml:space="preserve">Ở Bước 1/3, không chọn Loại hàng/Giá trị (hoặc Bước 2/3 bỏ trống Người nhận)…</t>
  </si>
  <si>
    <t xml:space="preserve">✅ 3</t>
  </si>
  <si>
    <t xml:space="preserve">N/A: not free-text (chip/required field)</t>
  </si>
  <si>
    <t xml:space="preserve">SC-ORD-008</t>
  </si>
  <si>
    <t xml:space="preserve">Chỉnh sửa tin khi 'Chờ ghép'</t>
  </si>
  <si>
    <t xml:space="preserve">Nút 'Chỉnh sửa' chỉ hiện ở trạng thái Chờ ghép (POSTED); mở màn giống tạo đơn…</t>
  </si>
  <si>
    <t xml:space="preserve">✅ 1</t>
  </si>
  <si>
    <t xml:space="preserve">N/A: ST cover ở SC-009 (khoá)</t>
  </si>
  <si>
    <t xml:space="preserve">N/A: not free-text riêng</t>
  </si>
  <si>
    <t xml:space="preserve">N/A: Update=baseline TC riêng, không tách CRUD matrix</t>
  </si>
  <si>
    <t xml:space="preserve">SC-ORD-009</t>
  </si>
  <si>
    <t xml:space="preserve">Khoá chỉnh sửa từ 'Đã ghép' trở đi</t>
  </si>
  <si>
    <t xml:space="preserve">Sau IN_TRANSIT không cho sửa; nút 'Chỉnh sửa' khoá hoàn toàn…</t>
  </si>
  <si>
    <t xml:space="preserve">N/A: single condition per state</t>
  </si>
  <si>
    <t xml:space="preserve">✅ 5 (thêm nhánh CANCELLED, 2026-07-30)</t>
  </si>
  <si>
    <t xml:space="preserve">N/A: guard của Update, không tách CRUD riêng</t>
  </si>
  <si>
    <t xml:space="preserve">SC-ORD-010</t>
  </si>
  <si>
    <t xml:space="preserve">Chọn nhanh 1 trong 6 văn phòng preset FPT</t>
  </si>
  <si>
    <t xml:space="preserve">(LOC-03) — chưa có bằng chứng UI trong demo, cần vibe-test xác nhận</t>
  </si>
  <si>
    <t xml:space="preserve">N/A: 0-dim — 6 preset cùng 1 equivalence 'accept &amp; auto-fill', representative 1 TC đủ</t>
  </si>
  <si>
    <t xml:space="preserve">N/A: không phải free-text</t>
  </si>
  <si>
    <t xml:space="preserve">N/A: read-only preset list, không phải CRUD entity</t>
  </si>
  <si>
    <t xml:space="preserve">N/A (0-dim, EP representative)</t>
  </si>
  <si>
    <t xml:space="preserve">SC-ORD-011</t>
  </si>
  <si>
    <t xml:space="preserve">Email công ty người nhận có trong hệ thống → tự điền</t>
  </si>
  <si>
    <t xml:space="preserve">Email khớp danh bạ nội bộ → tự điền tên/SĐT/địa chỉ + báo 'Đã tìm thấy…'</t>
  </si>
  <si>
    <t xml:space="preserve">N/A: 0-dim, EG field email dồn hết vào SC-012 (sibling, cùng field)</t>
  </si>
  <si>
    <t xml:space="preserve">N/A: deferred → SC-012 (sibling)</t>
  </si>
  <si>
    <t xml:space="preserve">N/A (0-dim, EG deferred to SC-012)</t>
  </si>
  <si>
    <t xml:space="preserve">SC-ORD-012</t>
  </si>
  <si>
    <t xml:space="preserve">Email công ty người nhận không tồn tại → nhập thủ công</t>
  </si>
  <si>
    <t xml:space="preserve">Email không khớp danh bạ → 'Không tìm thấy · nhập thủ công'…</t>
  </si>
  <si>
    <t xml:space="preserve">N/A: no discrete partition khác baseline</t>
  </si>
  <si>
    <t xml:space="preserve">✅ 10</t>
  </si>
  <si>
    <t xml:space="preserve">SC-ORD-013</t>
  </si>
  <si>
    <t xml:space="preserve">Chọn Giá trị hàng 'Cao' → cảnh báo trách nhiệm tự thoả thuận</t>
  </si>
  <si>
    <t xml:space="preserve">Chọn Giá trị cao → hiện cảnh báo trách nhiệm tự thoả thuận (BRD v3.2 §D8.1)…</t>
  </si>
  <si>
    <t xml:space="preserve">N/A: categorical chip, không phải range số (ngưỡng SỐ TIỀN BR-ORD-03 vẫn Deferred)</t>
  </si>
  <si>
    <t xml:space="preserve">SC-ORD-014</t>
  </si>
  <si>
    <t xml:space="preserve">Đăng tin chọn Loại hàng bất kỳ (kể cả Thuốc/Y tế) vẫn thành công</t>
  </si>
  <si>
    <t xml:space="preserve">v1.0 chưa triển khai validate chặn theo danh mục cấm (C-ORD-04 Resolved)…</t>
  </si>
  <si>
    <t xml:space="preserve">SC-ORD-027</t>
  </si>
  <si>
    <t xml:space="preserve">Giới hạn ký tự tối đa + định dạng/kích thước ảnh (Ghi chú/Địa chỉ/Tên/Ảnh, NEED+OFFER)</t>
  </si>
  <si>
    <t xml:space="preserve">Ghi chú ≤300, Địa chỉ ≤200, Tên người nhận 2–60, Ảnh ≤5MB JPG/PNG (BRD v3.2 §D8.1/D8.2)…</t>
  </si>
  <si>
    <t xml:space="preserve">✅ 6</t>
  </si>
  <si>
    <t xml:space="preserve">✅ 18</t>
  </si>
  <si>
    <t xml:space="preserve">N/A: single condition per field</t>
  </si>
  <si>
    <t xml:space="preserve">N/A: đã cover ở EP/BVA per field, không tách EG riêng (không phải free-text injection field)</t>
  </si>
  <si>
    <t xml:space="preserve">SC-ORD-028</t>
  </si>
  <si>
    <t xml:space="preserve">Khung giờ (NEED + OFFER) phải cách nhau tối thiểu 30 phút</t>
  </si>
  <si>
    <t xml:space="preserve">Khung giờ (từ–đến) | đến &gt; từ; khoảng tối thiểu 30 phút (BRD v3.2 §D8.1/D8.2)…</t>
  </si>
  <si>
    <t xml:space="preserve">✅ 5</t>
  </si>
  <si>
    <t xml:space="preserve">SC-ORD-029</t>
  </si>
  <si>
    <t xml:space="preserve">Tự động cắt khoảng trắng + chuẩn hoá SĐT trước khi lưu (VAL-03)</t>
  </si>
  <si>
    <t xml:space="preserve">Tự cắt khoảng trắng đầu/cuối; chuẩn hoá SĐT trước khi lưu (BRD v3.2 §D8.3)…</t>
  </si>
  <si>
    <t xml:space="preserve">N/A: not discrete domain</t>
  </si>
  <si>
    <t xml:space="preserve">SC-ORD-030</t>
  </si>
  <si>
    <t xml:space="preserve">Nút submit disabled tới khi hợp lệ; lỗi inline on-blur; cuộn tới lỗi đầu tiên (VAL-01/02)</t>
  </si>
  <si>
    <t xml:space="preserve">Nút submit vô hiệu hoá đến khi mọi trường bắt buộc hợp lệ + đã tick điều khoản…</t>
  </si>
  <si>
    <t xml:space="preserve">N/A: not discrete partition riêng (đã dùng DT)</t>
  </si>
  <si>
    <t xml:space="preserve">SC-ORD-031</t>
  </si>
  <si>
    <t xml:space="preserve">Địa chỉ lấy hàng (Người gửi) — autocomplete + editability (Tên read-only, SĐT bắt buộc/validate)</t>
  </si>
  <si>
    <t xml:space="preserve">Gõ text hiện gợi ý, PHẢI chọn từ danh sách (không lưu tự do), không phân biệt hoa/thường…</t>
  </si>
  <si>
    <t xml:space="preserve">✅ 4 (EP-suggest-selected; EP-suggest-not-selected → không lưu; EP-sdt-valid; EP-sdt-invalid)</t>
  </si>
  <si>
    <t xml:space="preserve">N/A: single condition (chọn/không chọn gợi ý)</t>
  </si>
  <si>
    <t xml:space="preserve">✅ 3 (EG-case-insensitive; EG-empty-sdt; EG-readonly-Tên)</t>
  </si>
  <si>
    <t xml:space="preserve">SC-ORD-032</t>
  </si>
  <si>
    <t xml:space="preserve">Địa chỉ giao hàng (Người nhận) — autocomplete + SĐT bắt buộc/validate</t>
  </si>
  <si>
    <t xml:space="preserve">✅ 2 (EG-case-insensitive; EG-empty-sdt)</t>
  </si>
  <si>
    <t xml:space="preserve">SC-ORD-035</t>
  </si>
  <si>
    <t xml:space="preserve">Icon quay lại/đóng tại màn "Đăng tin mới"</t>
  </si>
  <si>
    <t xml:space="preserve">SC-ORD-036</t>
  </si>
  <si>
    <t xml:space="preserve">Icon quay lại/đóng tại Wizard đăng tin — Bước 1/3</t>
  </si>
  <si>
    <t xml:space="preserve">Total scenarios: 20</t>
  </si>
  <si>
    <t xml:space="preserve">Total TCs derived: 112</t>
  </si>
  <si>
    <t xml:space="preserve">Average coverage %: 100% (mọi technique applicable đều đã apply; 5 SC 0-dim/completeness-only đã log lý do — SC-002/004/006/010/011)</t>
  </si>
  <si>
    <t xml:space="preserve">Most-applied technique: B2 BVA (23 TCs: SC-027=18, SC-028=5)</t>
  </si>
  <si>
    <t xml:space="preserve">Least-applied technique (áp dụng, khác N/A): B3 DT (4 TCs: SC-030)</t>
  </si>
  <si>
    <t xml:space="preserve">B5 PW: N/A toàn module — không scenario nào có ≥3 tham số nhân (multiplicative params) trong phạm vi Đăng tin.</t>
  </si>
  <si>
    <t xml:space="preserve">B7 CRUD: N/A toàn module — CRUD ops chia theo module khác (Delete→CNL 'Huỷ đơn', List→TC-HOATDONG fragment); Create/Update trong phạm vi này đã có TC baseline riêng (SC-001/002/008), không tách thêm CRUD matrix trùng lặp.</t>
  </si>
  <si>
    <t xml:space="preserve">B8 CEG: N/A toàn module — B3 DT (SC-030) chỉ 3 rules sau collapse, không vượt ngưỡng 16 rules cần escalate.</t>
  </si>
  <si>
    <t xml:space="preserve">SC-ORD-033</t>
  </si>
  <si>
    <t xml:space="preserve">Completeness màn Trang chủ (Header/Banner/Card/nút/bottom-nav)</t>
  </si>
  <si>
    <t xml:space="preserve">"Header | Icon vai trò + 'Xin chào, [Tên]' + chuông thông báo (chấm đỏ…"</t>
  </si>
  <si>
    <t xml:space="preserve">✅ 2 (EP-unread-exists/none; EP theo vai trò của icon Header log N/A — chưa có bằng chứng UI, §10.1)</t>
  </si>
  <si>
    <t xml:space="preserve">✅ 3 (BVA-min/min+1/large trên số đơn đã giúp)</t>
  </si>
  <si>
    <t xml:space="preserve">N/A: chỉ 1 điều kiện binary (red-dot), &lt;2 conditions</t>
  </si>
  <si>
    <t xml:space="preserve">N/A: no lifecycle trên màn này</t>
  </si>
  <si>
    <t xml:space="preserve">N/A: màn read-only, không có input field</t>
  </si>
  <si>
    <t xml:space="preserve">N/A: display-only, không CRUD</t>
  </si>
  <si>
    <t xml:space="preserve">Card "Đơn của tôi" tại Trang chủ (6 trường + badge trạng thái)</t>
  </si>
  <si>
    <t xml:space="preserve">"Đơn của tôi | Chỉ hiện khi có đơn đang hoạt động. Nhãn 'Gửi:' + loại hàng…"</t>
  </si>
  <si>
    <t xml:space="preserve">✅ 9 (5 badge trạng thái + no-active-order + 2 nhãn hướng Gửi/Nhận + progress theo mốc) — ⚠ CORRECTED 2026-07-31: sub-case no-active-order trước đó assert SAI (ẩn section), nay sửa đúng (section vẫn hiện + text 'Chưa có đơn nào'), xem SC-ORD-037</t>
  </si>
  <si>
    <t xml:space="preserve">N/A: no numeric/date range field</t>
  </si>
  <si>
    <t xml:space="preserve">N/A: single condition (có/không đơn đang hoạt động)</t>
  </si>
  <si>
    <t xml:space="preserve">N/A: chuyển trạng thái test tại DLV — progress chỉ verify hiển thị (dedupe vào B1)</t>
  </si>
  <si>
    <t xml:space="preserve">SC-ASN-008</t>
  </si>
  <si>
    <t xml:space="preserve">Trần 5 tin gợi ý hiển thị tại section "Tin mới" (Trang chủ)</t>
  </si>
  <si>
    <t xml:space="preserve">"Chỉ hiện tối đa 5 tin (mới &amp; gần tuyến nhất)" — OPR-01/US-D06</t>
  </si>
  <si>
    <t xml:space="preserve">✅ 1 (EP-role-sender — "Tin mới" áp dụng cả Sender lẫn Carrier, CA v1.1 C-GENERAL-4)</t>
  </si>
  <si>
    <t xml:space="preserve">✅ 3 (BVA-below-cap 4 / at-cap 5 / over-cap 6)</t>
  </si>
  <si>
    <t xml:space="preserve">SC-ASN-010</t>
  </si>
  <si>
    <t xml:space="preserve">Thứ tự ưu tiên tin gợi ý: độ gần tuyến rồi thời gian đăng</t>
  </si>
  <si>
    <t xml:space="preserve">"Sắp xếp: gần tuyến nhất trước, cùng độ gần → tin mới đăng trước" — OPR-04</t>
  </si>
  <si>
    <t xml:space="preserve">N/A: không phải input domain enum</t>
  </si>
  <si>
    <t xml:space="preserve">N/A: no explicit range</t>
  </si>
  <si>
    <t xml:space="preserve">✅ 2 (DT-rule1 khác độ gần / DT-rule2 bằng độ gần)</t>
  </si>
  <si>
    <t xml:space="preserve">N/A: no user input</t>
  </si>
  <si>
    <t xml:space="preserve">N/A: chỉ 2 rule, không vượt ngưỡng 16 → không escalate CEG</t>
  </si>
  <si>
    <t xml:space="preserve">SC-ORD-037</t>
  </si>
  <si>
    <t xml:space="preserve">Empty state section "Đơn của tôi" (Trang chủ) — CORRECTED</t>
  </si>
  <si>
    <t xml:space="preserve">Ảnh chụp thật app STG (2026-07-31)</t>
  </si>
  <si>
    <t xml:space="preserve">N/A — TC dùng chung với SC-ORD-003 (sub-case no-active-order đã CORRECTED), không tính thêm vào Total TCs derived để tránh đếm trùng</t>
  </si>
  <si>
    <t xml:space="preserve">N/A: display state, không lifecycle</t>
  </si>
  <si>
    <t xml:space="preserve">SC-ASN-015</t>
  </si>
  <si>
    <t xml:space="preserve">Empty state section "Tin mới" (Trang chủ)</t>
  </si>
  <si>
    <t xml:space="preserve">N/A: 1 case duy nhất (display-only), TC mới</t>
  </si>
  <si>
    <t xml:space="preserve">Total scenarios: 6 (4 cũ + SC-ORD-037 [CORRECTED, dùng chung TC với SC-ORD-003] + SC-ASN-015 [NEW])</t>
  </si>
  <si>
    <t xml:space="preserve">Total TCs derived: 33 + 1 TC mới (SC-ASN-015, Tin mới empty state) = 34 (SC-ORD-037 không cộng thêm — dùng chung TC đã đếm ở SC-ORD-003)</t>
  </si>
  <si>
    <t xml:space="preserve">Average coverage %: 100% (mọi technique applicable đều đã sinh TC)</t>
  </si>
  <si>
    <t xml:space="preserve">Most-applied technique: B1 EP (11 TC)</t>
  </si>
  <si>
    <t xml:space="preserve">Least-applied technique: B3 DT (2 TC) — B5 PW / B6 EG / B7 CRUD / B8 CEG N/A toàn module</t>
  </si>
  <si>
    <t xml:space="preserve">Ghi chú scope: 2 TC hành vi khác của SC-ORD-003 (tin xuất hiện ở 'Đơn của tôi' sau khi đăng + nút 'Về trang chủ') đã có sẵn ở TC-DANGTIN-v1.0.xlsx — không lặp lại tại đây.</t>
  </si>
  <si>
    <t xml:space="preserve">Ghi chú rubric: chạy auto-apply (non-interactive) toàn bộ technique applicable theo technique-rubric.md; không technique applicable nào bị bỏ qua.</t>
  </si>
  <si>
    <t xml:space="preserve">SC-ASN-014</t>
  </si>
  <si>
    <t xml:space="preserve">Bảng tin hiển thị đủ card list + bấm mở Chi tiết tin (completeness)</t>
  </si>
  <si>
    <t xml:space="preserve">"Mỗi card: icon/ảnh hàng, loại hàng | giá trị, badge 'Tin của bạn' nếu là tin tự đăng…"</t>
  </si>
  <si>
    <t xml:space="preserve">✅ 2 (EP-own-post / EP-other-post cho badge "Tin của bạn")</t>
  </si>
  <si>
    <t xml:space="preserve">N/A: không có range số/ngày/độ dài trên 2 màn này</t>
  </si>
  <si>
    <t xml:space="preserve">N/A: single condition (badge có/không)</t>
  </si>
  <si>
    <t xml:space="preserve">N/A: no lifecycle trong scenario này</t>
  </si>
  <si>
    <t xml:space="preserve">N/A: màn read-only, không có input field tự do</t>
  </si>
  <si>
    <t xml:space="preserve">N/A: CRUD tách theo module — Create/Update ở TC-DANGTIN, Delete ở CNL (Huỷ đơn); List/Read cover bởi TC completeness + navigation tại đây</t>
  </si>
  <si>
    <t xml:space="preserve">N/A: DT chỉ 2 rule, không vượt ngưỡng 16 → không escalate</t>
  </si>
  <si>
    <t xml:space="preserve">SC-ASN-005</t>
  </si>
  <si>
    <t xml:space="preserve">Tin ẩn khỏi Bảng tin sau khi có người ghép</t>
  </si>
  <si>
    <t xml:space="preserve">"Tin không còn xuất hiện; không ai bấm 'Tôi mang giúp được' được nữa" — ASN-03/OPR-08</t>
  </si>
  <si>
    <t xml:space="preserve">N/A: dedupe vào B4 ST (partition = state)</t>
  </si>
  <si>
    <t xml:space="preserve">✅ 2 (ST-posted-matched + ST-invalid-matched-accept)</t>
  </si>
  <si>
    <t xml:space="preserve">SC-ASN-012</t>
  </si>
  <si>
    <t xml:space="preserve">Tin huỷ bởi Carrier (chưa lấy hàng) quay lại "Chờ ghép" và được khớp lại</t>
  </si>
  <si>
    <t xml:space="preserve">"Đơn về POSTED, hiện lại Bảng tin, được đưa lại vào luồng khớp" — OPR-08</t>
  </si>
  <si>
    <t xml:space="preserve">N/A: dedupe vào B4 ST</t>
  </si>
  <si>
    <t xml:space="preserve">✅ 2 (ST-matched-posted + ST-reposted-matched; nhánh huỷ khi IN_TRANSIT thuộc SC-DLV-009, không lặp)</t>
  </si>
  <si>
    <t xml:space="preserve">Gợi ý ưu tiên theo độ gần tuyến rồi thời gian đăng (bề mặt Bảng tin)</t>
  </si>
  <si>
    <t xml:space="preserve">✅ 2 (DT-rule1 / DT-rule2)</t>
  </si>
  <si>
    <t xml:space="preserve">100% (1/1) — bề mặt Trang chủ của cùng SC đã cover tại TC-TRANGCHU (TC_05.30-31)</t>
  </si>
  <si>
    <t xml:space="preserve">Hiển thị màn Chi tiết tin (Thông tin hàng + Lộ trình &amp; liên hệ)</t>
  </si>
  <si>
    <t xml:space="preserve">"Ảnh sản phẩm | Ảnh minh hoạ hàng hoá (hoặc ảnh mặc định nếu người đăng không tải ảnh)…"</t>
  </si>
  <si>
    <t xml:space="preserve">✅ 2 (EP-with-image / EP-no-image)</t>
  </si>
  <si>
    <t xml:space="preserve">N/A: no lifecycle trên bề mặt hiển thị</t>
  </si>
  <si>
    <t xml:space="preserve">100% (1/1) — luồng đăng tin của cùng SC đã cover tại TC-DANGTIN</t>
  </si>
  <si>
    <t xml:space="preserve">SC-ASN-003</t>
  </si>
  <si>
    <t xml:space="preserve">Trước khi ghép, SĐT KHÔNG lộ</t>
  </si>
  <si>
    <t xml:space="preserve">"BR-CON-02 … trước khi ghép không lộ SĐT" — §A5</t>
  </si>
  <si>
    <t xml:space="preserve">N/A: partition "sau ghép" thuộc SC-ASN-002, không lặp</t>
  </si>
  <si>
    <t xml:space="preserve">N/A: dedupe — transition ghép test tại SC-ASN-002</t>
  </si>
  <si>
    <t xml:space="preserve">SC-ASN-001</t>
  </si>
  <si>
    <t xml:space="preserve">Carrier bấm "Tôi mang giúp được" → gửi đề nghị</t>
  </si>
  <si>
    <t xml:space="preserve">"ASN-01 Bày tỏ quan tâm / đề nghị mang giúp — Gửi tới chủ tin push + in-app"</t>
  </si>
  <si>
    <t xml:space="preserve">N/A: partition theo trạng thái tin đã test tại SC-ASN-005/011</t>
  </si>
  <si>
    <t xml:space="preserve">N/A: dedupe — transition test tại SC-ASN-002</t>
  </si>
  <si>
    <t xml:space="preserve">SC-ASN-011</t>
  </si>
  <si>
    <t xml:space="preserve">Không tự khớp tin của chính mình (ẩn/disable nút hành động)</t>
  </si>
  <si>
    <t xml:space="preserve">"OPR-05 Không tự khớp với chính mình … người gửi ≠ người vận chuyển của cùng một đơn"</t>
  </si>
  <si>
    <t xml:space="preserve">✅ 3 (EP-viewer-owner / EP-viewer-receiver / EP-viewer-third-party)</t>
  </si>
  <si>
    <t xml:space="preserve">N/A: single condition (vai trò người xem)</t>
  </si>
  <si>
    <t xml:space="preserve">SC-ASN-007</t>
  </si>
  <si>
    <t xml:space="preserve">Carrier "Nhận giao" từ thông báo khớp tuyến → MATCHED</t>
  </si>
  <si>
    <t xml:space="preserve">"MTCH-01/BR-MTCH-01" — §D3/§D4</t>
  </si>
  <si>
    <t xml:space="preserve">N/A: 1 luồng duy nhất</t>
  </si>
  <si>
    <t xml:space="preserve">N/A: dedupe — transition MATCHED test tại SC-ASN-002</t>
  </si>
  <si>
    <t xml:space="preserve">N/A (0 applicable) — ⚠ nhánh auto-match, Phase 1 Scope chờ PM chốt</t>
  </si>
  <si>
    <t xml:space="preserve">SC-ASN-002</t>
  </si>
  <si>
    <t xml:space="preserve">Ghép ngay khi Carrier xác nhận → MATCHED + lộ SĐT + 3 khung đồng bộ</t>
  </si>
  <si>
    <t xml:space="preserve">"BR-CON-01 … hệ thống ghép ngay, không cần bước chủ tin duyệt — BR-CON-02 Sau khi ghép: lộ SĐT…"</t>
  </si>
  <si>
    <t xml:space="preserve">✅ 2 (EP-cancel / EP-confirm trên 2 nút modal)</t>
  </si>
  <si>
    <t xml:space="preserve">✅ 1 (ST-posted-matched tại modal xác nhận)</t>
  </si>
  <si>
    <t xml:space="preserve">SC-ASN-004</t>
  </si>
  <si>
    <t xml:space="preserve">2 Carrier cùng bấm nhận gần đồng thời → chỉ 1 người ghép (chống double-accept)</t>
  </si>
  <si>
    <t xml:space="preserve">"Chỉ 1 người ghép thành công (transaction lock); người còn lại nhận thông báo tin đã có người nhận"</t>
  </si>
  <si>
    <t xml:space="preserve">N/A: 1 rule duy nhất (race condition)</t>
  </si>
  <si>
    <t xml:space="preserve">N/A: dedupe — invalid accept-when-matched đã test tại SC-ASN-005</t>
  </si>
  <si>
    <t xml:space="preserve">SC-ORD-034</t>
  </si>
  <si>
    <t xml:space="preserve">Icon quay lại tại màn Chi tiết tin</t>
  </si>
  <si>
    <t xml:space="preserve">Total scenarios: 11</t>
  </si>
  <si>
    <t xml:space="preserve">Total TCs derived: 34</t>
  </si>
  <si>
    <t xml:space="preserve">Average coverage %: 100% trên 7/11 scenario có technique applicable; 4 scenario log N/A (0 applicable) có lý do rõ per-cột</t>
  </si>
  <si>
    <t xml:space="preserve">Most-applied technique: B1 EP (9 TC)</t>
  </si>
  <si>
    <t xml:space="preserve">Least-applied technique: B3 DT (2 TC) — B2 BVA / B5 PW / B6 EG / B7 CRUD / B8 CEG N/A toàn module</t>
  </si>
  <si>
    <t xml:space="preserve">Ghi chú scope: SC-ASN-006 (hệ thống tự quét khớp tuyến) và SC-ASN-009 (không gợi ý khi lệch địa chỉ/khung giờ) KHÔNG thuộc fragment này — không có bề mặt UI Bảng tin/Chi tiết tin, thuộc engine khớp tuyến (Phase 1 Scope: auto-match OFFER↔NEED ngoài phạm vi, PM chưa chốt).</t>
  </si>
  <si>
    <t xml:space="preserve">SC-DLV-005</t>
  </si>
  <si>
    <t xml:space="preserve">Nút "Xác nhận đã nhận hàng" chỉ kích hoạt khi = Đã giao</t>
  </si>
  <si>
    <t xml:space="preserve">"Nút CTA | Bị động ở Chờ ghép/Lấy hàng/Đang giao; CHỈ kích hoạt khi = 'Đã giao'"</t>
  </si>
  <si>
    <t xml:space="preserve">✅ 6 (Receiver: EP-posted/matched/in-transit disable + EP-delivered enable; Sender: EP-not-matched/EP-matched cho khối Liên hệ)</t>
  </si>
  <si>
    <t xml:space="preserve">N/A: không có range số/ngày/độ dài</t>
  </si>
  <si>
    <t xml:space="preserve">N/A: single condition mỗi scenario, không có ≥2 điều kiện nhân</t>
  </si>
  <si>
    <t xml:space="preserve">N/A: dedupe — chuyển trạng thái test tập trung tại SC-DLV-010/011</t>
  </si>
  <si>
    <t xml:space="preserve">N/A: không có input field tự do trên màn Theo dõi đơn</t>
  </si>
  <si>
    <t xml:space="preserve">N/A: không phải CRUD entity — màn theo dõi trạng thái; Delete/Huỷ thuộc module CNL</t>
  </si>
  <si>
    <t xml:space="preserve">N/A: DT đã N/A, không có gì để escalate</t>
  </si>
  <si>
    <t xml:space="preserve">SC-DLV-006</t>
  </si>
  <si>
    <t xml:space="preserve">Nút hành động Carrier bị động ở trạng thái "Đã giao"</t>
  </si>
  <si>
    <t xml:space="preserve">"Nút chuyển thành NHÃN không bấm được: 'Đã giao · chờ người nhận xác nhận'"</t>
  </si>
  <si>
    <t xml:space="preserve">N/A: dedupe — partition theo trạng thái đã cover tại ma trận nhãn (SC-DLV-013)</t>
  </si>
  <si>
    <t xml:space="preserve">SC-DLV-010</t>
  </si>
  <si>
    <t xml:space="preserve">Không thể bấm "Đã giao" trước khi bấm "Tôi đã lấy hàng"</t>
  </si>
  <si>
    <t xml:space="preserve">"US-D09 — Nút chưa xuất hiện/disable; phải bấm 'Tôi đã lấy hàng' trước"</t>
  </si>
  <si>
    <t xml:space="preserve">✅ 2 (EP-cancel trên 2 popup xác nhận)</t>
  </si>
  <si>
    <t xml:space="preserve">✅ 3 (ST-matched-intransit, ST-intransit-delivered, ST-invalid-matched-delivered)</t>
  </si>
  <si>
    <t xml:space="preserve">SC-DLV-011</t>
  </si>
  <si>
    <t xml:space="preserve">Người nhận xác nhận → đơn "Hoàn thành" ngay lập tức</t>
  </si>
  <si>
    <t xml:space="preserve">"Đơn chuyển 'Hoàn thành' NGAY LẬP TỨC, lịch sử ghi 'Hoàn thành &amp; đã đánh giá'"</t>
  </si>
  <si>
    <t xml:space="preserve">✅ 1 (EP-cancel trên popup xác nhận đã nhận hàng)</t>
  </si>
  <si>
    <t xml:space="preserve">✅ 1 (ST-delivered-completed)</t>
  </si>
  <si>
    <t xml:space="preserve">SC-DLV-012</t>
  </si>
  <si>
    <t xml:space="preserve">Nhãn nút Sender/Receiver đúng theo trạng thái Đã ghép/Đang giao</t>
  </si>
  <si>
    <t xml:space="preserve">Ma trận nhãn nút × trạng thái × vai trò — quan sát app STG + ảnh Figma</t>
  </si>
  <si>
    <t xml:space="preserve">✅ 6 (EP-sender/receiver × posted/matched/in-transit — mở rộng thêm hàng "Chờ ghép" theo Block Definition)</t>
  </si>
  <si>
    <t xml:space="preserve">SC-DLV-013</t>
  </si>
  <si>
    <t xml:space="preserve">Tại "Đã giao": Sender/Carrier disable, chỉ Receiver enable</t>
  </si>
  <si>
    <t xml:space="preserve">"Sender &amp; Carrier cùng thấy nhãn disable; Receiver thấy nút enable (duy nhất)"</t>
  </si>
  <si>
    <t xml:space="preserve">✅ 3 (EP-sender-delivered / EP-carrier-delivered / EP-receiver-delivered)</t>
  </si>
  <si>
    <t xml:space="preserve">SC-DLV-014</t>
  </si>
  <si>
    <t xml:space="preserve">Carrier/Receiver thấy nhãn "Đơn đã hoàn thành" sau Hoàn thành</t>
  </si>
  <si>
    <t xml:space="preserve">"Cả 2 thấy nhãn 'Đơn đã hoàn thành' (disable) — không còn hành động nào khác"</t>
  </si>
  <si>
    <t xml:space="preserve">✅ 2 (EP-carrier-completed / EP-receiver-completed; nhãn Sender thuộc SC-GIFT-004)</t>
  </si>
  <si>
    <t xml:space="preserve">SC-DLV-009</t>
  </si>
  <si>
    <t xml:space="preserve">Sau khi đã lấy hàng (IN_TRANSIT), huỷ thường bị chặn</t>
  </si>
  <si>
    <t xml:space="preserve">"BR-ASN-03 — Bị chặn; chỉ còn lựa chọn 'Báo sự cố'"</t>
  </si>
  <si>
    <t xml:space="preserve">✅ 2 (EP-sender-blocked / EP-carrier-blocked)</t>
  </si>
  <si>
    <t xml:space="preserve">100% (1/1) — màn "Báo sự cố" out of scope v1.0 (C-CNL-01), không assert</t>
  </si>
  <si>
    <t xml:space="preserve">SC-DLV-007</t>
  </si>
  <si>
    <t xml:space="preserve">Quá N giờ chưa xác nhận nhận hàng → nhắc → admin hỗ trợ</t>
  </si>
  <si>
    <t xml:space="preserve">"Đơn ở 'Đã giao' quá 2 giờ → gửi nhắc; quá thêm 2 giờ → chuyển admin hỗ trợ"</t>
  </si>
  <si>
    <t xml:space="preserve">N/A: dedupe vào B2 (partition = vùng thời gian)</t>
  </si>
  <si>
    <t xml:space="preserve">✅ 3 (BVA-under 2h−ε / BVA-at 2h / BVA-over 4h)</t>
  </si>
  <si>
    <t xml:space="preserve">SC-DLV-001</t>
  </si>
  <si>
    <t xml:space="preserve">Carrier chụp ảnh hàng lúc nhận (tuỳ chọn) → lưu, gắn timeline</t>
  </si>
  <si>
    <t xml:space="preserve">"PUP-03/BR-CNF-01 — Ảnh lưu, gắn vào timeline làm bằng chứng"</t>
  </si>
  <si>
    <t xml:space="preserve">✅ 1 (EP-with-photo)</t>
  </si>
  <si>
    <t xml:space="preserve">N/A: chưa có rule validate định dạng/dung lượng cho ảnh ở bước này (BVA ảnh 5MB thuộc luồng Đăng tin, TC-DANGTIN)</t>
  </si>
  <si>
    <t xml:space="preserve">100% (1/1) — ⚠ Phase 1 Scope chờ PM chốt</t>
  </si>
  <si>
    <t xml:space="preserve">SC-DLV-002</t>
  </si>
  <si>
    <t xml:space="preserve">Bỏ qua chụp ảnh lúc nhận vẫn chuyển trạng thái được</t>
  </si>
  <si>
    <t xml:space="preserve">"Chuyển IN_TRANSIT bình thường (ảnh không bắt buộc)"</t>
  </si>
  <si>
    <t xml:space="preserve">✅ 1 (EP-no-photo)</t>
  </si>
  <si>
    <t xml:space="preserve">SC-DLV-003</t>
  </si>
  <si>
    <t xml:space="preserve">Carrier bật chia sẻ vị trí khi đang giao</t>
  </si>
  <si>
    <t xml:space="preserve">"GPS-01 — Sender/Receiver xem được vị trí tạm thời"</t>
  </si>
  <si>
    <t xml:space="preserve">N/A: C-DLV-02 Open — chưa chốt mặc định bật/tắt nên không phân vùng được</t>
  </si>
  <si>
    <t xml:space="preserve">N/A (0 applicable) — ⚠ C-DLV-02 Open + Phase 1 Scope</t>
  </si>
  <si>
    <t xml:space="preserve">SC-DLV-004</t>
  </si>
  <si>
    <t xml:space="preserve">Vị trí chia sẻ tự tắt/xoá sau khi đơn đóng</t>
  </si>
  <si>
    <t xml:space="preserve">"Đơn chuyển COMPLETED hoặc CANCELLED → dữ liệu vị trí bị xoá"</t>
  </si>
  <si>
    <t xml:space="preserve">✅ 2 (EP-closed-completed / EP-closed-cancelled)</t>
  </si>
  <si>
    <t xml:space="preserve">SC-DLV-008</t>
  </si>
  <si>
    <t xml:space="preserve">Ghi nhận chi phí đối soát offline, không qua app</t>
  </si>
  <si>
    <t xml:space="preserve">"COST-01/BR-COST-01 — Lưu bản ghi tham khảo, KHÔNG kích hoạt thanh toán qua app"</t>
  </si>
  <si>
    <t xml:space="preserve">N/A: chưa có UI minh hoạ để phân vùng field</t>
  </si>
  <si>
    <t xml:space="preserve">N/A: chưa có UI field để áp 10-pattern</t>
  </si>
  <si>
    <t xml:space="preserve">N/A (0 applicable) — ⚠ chưa có UI, viết ở mức rule</t>
  </si>
  <si>
    <t xml:space="preserve">SC-DLV-015</t>
  </si>
  <si>
    <t xml:space="preserve">Icon quay lại tại màn Theo dõi đơn</t>
  </si>
  <si>
    <t xml:space="preserve">Total scenarios: 14 (đủ 14/14 scenario module DLV)</t>
  </si>
  <si>
    <t xml:space="preserve">Total TCs derived: 45</t>
  </si>
  <si>
    <t xml:space="preserve">Average coverage %: 100% trên 11/14 scenario có technique applicable; 3 scenario log N/A (0 applicable) kèm lý do rõ per-cột</t>
  </si>
  <si>
    <t xml:space="preserve">Most-applied technique: B1 EP (26 TC)</t>
  </si>
  <si>
    <t xml:space="preserve">Least-applied technique: B4 ST (4 TC) — B3 DT / B5 PW / B6 EG / B7 CRUD / B8 CEG N/A toàn module</t>
  </si>
  <si>
    <t xml:space="preserve">Ghi chú Step 3b: 5 TC completeness cho 5 block — Sender "Trạng thái &amp; lộ trình" (5 khối), Carrier "Liên hệ 2 phía" (2 khối), Carrier "Nút hành động theo trạng thái" (3 trạng thái), Receiver "Liên hệ &amp; nút xác nhận" (2 khối), popup "Xác nhận" đã nhận hàng (3 thành phần).</t>
  </si>
  <si>
    <t xml:space="preserve">Ghi chú scope: màn "Xác nhận đã nhận hàng (đầy đủ)" (DOC-v1.0-02 §5.3 Table 15) KHÔNG derive TC — C-DLV-03 Resolved 2026-07-27 xác nhận out of scope v1.0, UI chính thức là modal đơn giản.</t>
  </si>
  <si>
    <t xml:space="preserve">SC-CNL-001</t>
  </si>
  <si>
    <t xml:space="preserve">Huỷ đơn ở POSTED/MATCHED → popup bắt buộc nhập lý do</t>
  </si>
  <si>
    <t xml:space="preserve">"popup huỷ bắt buộc nhập lý do (nút Xác nhận khoá tới khi có lý do)" — US-D16</t>
  </si>
  <si>
    <t xml:space="preserve">✅ 5 (EP-empty-reason / EP-valid-reason / EP-cancel-dialog / EP-actor-sender / EP-actor-receiver)</t>
  </si>
  <si>
    <t xml:space="preserve">N/A: dedupe — BVA độ dài tối thiểu thuộc SC-CNL-005</t>
  </si>
  <si>
    <t xml:space="preserve">N/A: single condition (lý do có/không hợp lệ), không có ≥2 điều kiện nhân</t>
  </si>
  <si>
    <t xml:space="preserve">N/A: dedupe — transition huỷ test tại SC-CNL-003/004</t>
  </si>
  <si>
    <t xml:space="preserve">N/A: dedupe — 10-pattern trên ô Lý do huỷ gom về SC-CNL-005</t>
  </si>
  <si>
    <t xml:space="preserve">N/A: dedupe — CRUD-Delete gắn tại SC-CNL-003</t>
  </si>
  <si>
    <t xml:space="preserve">SC-CNL-005</t>
  </si>
  <si>
    <t xml:space="preserve">Lý do huỷ tối thiểu 5 ký tự mới bật nút Xác nhận (VAL-04)</t>
  </si>
  <si>
    <t xml:space="preserve">"Lý do huỷ bắt buộc tối thiểu 5 ký tự mới bật nút 'Xác nhận'" — BRD v3.2 §D8.3</t>
  </si>
  <si>
    <t xml:space="preserve">N/A: dedupe — partition rỗng/không rỗng đã cover tại SC-CNL-001</t>
  </si>
  <si>
    <t xml:space="preserve">✅ 3 (BVA-min-1 4 ký tự / BVA-min 5 ký tự / BVA-min+1 6 ký tự)</t>
  </si>
  <si>
    <t xml:space="preserve">✅ 7 (EG-whitespace-only, EG-trim, EG-unicode, EG-very-long, EG-sql-meta, EG-xss-meta, EG-control-chars; EG-null/empty dedupe sang SC-CNL-001, EG-binary-paste N/A trên UI mobile, EG-leading-zeros N/A vì không phải field số)</t>
  </si>
  <si>
    <t xml:space="preserve">N/A: không phải op CRUD</t>
  </si>
  <si>
    <t xml:space="preserve">SC-CNL-003</t>
  </si>
  <si>
    <t xml:space="preserve">Đơn huỷ ghi rõ vai trò người huỷ + lý do, đồng bộ realtime 3 bên</t>
  </si>
  <si>
    <t xml:space="preserve">"đơn huỷ ghi rõ ai huỷ (Người gửi/Người vận chuyển/Người nhận) + lý do, đồng bộ realtime cho cả 3 bên"</t>
  </si>
  <si>
    <t xml:space="preserve">✅ 3 (EP-actor-sender / EP-actor-carrier / EP-actor-receiver)</t>
  </si>
  <si>
    <t xml:space="preserve">N/A: dedupe — transition về POSTED thuộc SC-CNL-004</t>
  </si>
  <si>
    <t xml:space="preserve">N/A: dedupe sang SC-CNL-005</t>
  </si>
  <si>
    <t xml:space="preserve">✅ 1 (CRUD-Delete — op Delete của entity Đơn; C/R/U/L/S nằm ở TC-DANGTIN/TC-BANGTIN/TC-HOATDONG)</t>
  </si>
  <si>
    <t xml:space="preserve">SC-CNL-004</t>
  </si>
  <si>
    <t xml:space="preserve">Carrier huỷ khi "Đã ghép" (chưa lấy hàng) → đơn về "Chờ ghép"</t>
  </si>
  <si>
    <t xml:space="preserve">"OPR-09 — Đơn tự động về POSTED, hiển thị lại Bảng tin"</t>
  </si>
  <si>
    <t xml:space="preserve">✅ 1 (ST-matched-posted; nhánh 'tin hiện lại Bảng tin + được khớp lại' đã cover tại TC-BANGTIN/SC-ASN-012)</t>
  </si>
  <si>
    <t xml:space="preserve">N/A: dedupe sang SC-CNL-003</t>
  </si>
  <si>
    <t xml:space="preserve">SC-CNL-002</t>
  </si>
  <si>
    <t xml:space="preserve">Không cho huỷ khi đơn đã "Đang giao" trở đi</t>
  </si>
  <si>
    <t xml:space="preserve">"OPR-11 — Không có lựa chọn huỷ thường"</t>
  </si>
  <si>
    <t xml:space="preserve">✅ 2 (EP-receiver-blocked / EP-delivered-blocked; nhánh Sender/Carrier tại "Đang giao" đã cover ở TC-THEODOIDON/SC-DLV-009)</t>
  </si>
  <si>
    <t xml:space="preserve">N/A: dedupe — không phát sinh transition</t>
  </si>
  <si>
    <t xml:space="preserve">N/A: không có input field trong scope TC này</t>
  </si>
  <si>
    <t xml:space="preserve">Total scenarios: 5 (đủ 5/5 scenario module CNL)</t>
  </si>
  <si>
    <t xml:space="preserve">Total TCs derived: 28</t>
  </si>
  <si>
    <t xml:space="preserve">Average coverage %: 100% — mọi technique applicable đều đã sinh TC, không scenario nào 0-dim</t>
  </si>
  <si>
    <t xml:space="preserve">Most-applied technique: B1 EP (10 TC)</t>
  </si>
  <si>
    <t xml:space="preserve">Least-applied technique: B7 CRUD (1 TC) — B3 DT / B5 PW / B8 CEG N/A toàn module</t>
  </si>
  <si>
    <t xml:space="preserve">Ghi chú B6 EG: đây là module ĐẦU TIÊN trong project có ô nhập tự do bắt buộc ("Lý do huỷ") nên 10-pattern Error Guessing lần đầu áp dụng đầy đủ. TC quan trọng nhất là EG-whitespace-only — nếu hệ thống đếm độ dài TRƯỚC khi trim thì 5 dấu cách sẽ lọt qua VAL-04.</t>
  </si>
  <si>
    <t xml:space="preserve">Ghi chú Step 3b: 2 TC completeness — popup "Huỷ nhận đơn" (4 thành phần, verbatim Figma) và màn "Đơn đã huỷ" (2 thành phần, verbatim Figma).</t>
  </si>
  <si>
    <t xml:space="preserve">Ghi chú §10.1: ảnh Figma chỉ xác nhận verbatim biến thể popup của Carrier; biến thể Sender/Receiver chưa có ảnh → TC chỉ assert RULE (nút Xác nhận khoá tới khi có lý do), KHÔNG assert title/placeholder cụ thể.</t>
  </si>
  <si>
    <t xml:space="preserve">SC-GIFT-001</t>
  </si>
  <si>
    <t xml:space="preserve">Sau Hoàn thành, Sender chọn 1/4 loại quà tặng Carrier</t>
  </si>
  <si>
    <t xml:space="preserve">"4 lựa chọn quà: 🌷 Bông hoa · ☕ Ly cà phê · 🧸 Gấu bông · 👑 Vương miện" — §3.8 + Figma</t>
  </si>
  <si>
    <t xml:space="preserve">✅ 6 (EP-flower / EP-coffee / EP-teddy / EP-crown / EP-switch-selection / EP-invalid-none)</t>
  </si>
  <si>
    <t xml:space="preserve">N/A: single condition (đã chọn quà hay chưa)</t>
  </si>
  <si>
    <t xml:space="preserve">N/A: dedupe — đổi trạng thái nút thuộc SC-GIFT-004</t>
  </si>
  <si>
    <t xml:space="preserve">N/A: màn Tặng quà chỉ có chip chọn sẵn, không có ô nhập tự do</t>
  </si>
  <si>
    <t xml:space="preserve">N/A: quà là bản ghi 1 chiều, không có Update/Delete từ UI; List/Read đã cover tại TC-CANHAN (màn "Quà đã nhận", SC-GIFT-003/006/007)</t>
  </si>
  <si>
    <t xml:space="preserve">SC-GIFT-002</t>
  </si>
  <si>
    <t xml:space="preserve">Gửi quà không cần Carrier xác nhận → popup cảm ơn</t>
  </si>
  <si>
    <t xml:space="preserve">"Xác nhận → modal 'Đã gửi lời cảm ơn!' — tính năng tương tác xã hội, không bắt buộc"</t>
  </si>
  <si>
    <t xml:space="preserve">N/A: dedupe — partition loại quà đã cover tại SC-GIFT-001</t>
  </si>
  <si>
    <t xml:space="preserve">N/A: dedupe sang SC-GIFT-004</t>
  </si>
  <si>
    <t xml:space="preserve">SC-GIFT-004</t>
  </si>
  <si>
    <t xml:space="preserve">Nút "Cảm ơn người vận chuyển" đổi thành "Bạn đã đánh giá" sau khi gửi quà</t>
  </si>
  <si>
    <t xml:space="preserve">Ma trận nhãn nút × trạng thái × vai trò (hàng "Hoàn thành" × cột Người gửi) — quan sát app STG + Figma</t>
  </si>
  <si>
    <t xml:space="preserve">✅ 1 (EP-sender-completed-not-gifted — ô ma trận nhãn nút còn lại)</t>
  </si>
  <si>
    <t xml:space="preserve">✅ 2 (ST-gift-sent + ST-invalid-regift)</t>
  </si>
  <si>
    <t xml:space="preserve">SC-GIFT-008</t>
  </si>
  <si>
    <t xml:space="preserve">Icon quay lại tại màn Tặng quà</t>
  </si>
  <si>
    <t xml:space="preserve">Total scenarios: 3 (SC-GIFT-001/002/004 — 4 scenario GIFT còn lại SC-GIFT-003/005/006/007 đã cover tại TC-CANHAN)</t>
  </si>
  <si>
    <t xml:space="preserve">Total TCs derived: 17</t>
  </si>
  <si>
    <t xml:space="preserve">Average coverage %: 100% trên 2/3 scenario có technique applicable; SC-GIFT-002 log N/A (0 applicable) vì mọi dimension đã dedupe sang 2 scenario còn lại</t>
  </si>
  <si>
    <t xml:space="preserve">Most-applied technique: B1 EP (7 TC)</t>
  </si>
  <si>
    <t xml:space="preserve">Least-applied technique: B4 ST (2 TC) — B2 BVA / B3 DT / B5 PW / B6 EG / B7 CRUD / B8 CEG N/A toàn module</t>
  </si>
  <si>
    <t xml:space="preserve">Ghi chú Step 3b: 3 TC completeness — màn Tặng quà (5 thành phần), danh sách 4 chip loại quà, popup "Đã gửi lời cảm ơn!" (3 thành phần). Cả 3 verbatim từ ảnh Figma DOC-v1.0-04.</t>
  </si>
  <si>
    <t xml:space="preserve">Ghi chú ma trận nhãn nút: ô cuối cùng (hàng "Hoàn thành" × cột Người gửi) được cover tại đây — 14 ô còn lại đã cover ở TC-THEODOIDON (11 ô) và TC-BANGTIN (3 ô cột Carrier hàng "Chờ ghép", tại màn Chi tiết tin). Ma trận 15 ô nay đủ 15/15.</t>
  </si>
  <si>
    <t xml:space="preserve">Ghi chú out of scope: KHÔNG derive TC cho REQ-GIFT-002 (chấm sao 1-5, RAT-01/02) — C-GIFT-01 Resolved/Deferred, phase sau; màn Tặng quà xác nhận KHÔNG có UI sao.</t>
  </si>
</sst>
</file>

<file path=xl/styles.xml><?xml version="1.0" encoding="utf-8"?>
<styleSheet xmlns="http://schemas.openxmlformats.org/spreadsheetml/2006/main">
  <numFmts count="6">
    <numFmt numFmtId="164" formatCode="General"/>
    <numFmt numFmtId="165" formatCode="d\/m\/yy"/>
    <numFmt numFmtId="166" formatCode="0.0"/>
    <numFmt numFmtId="167" formatCode="0"/>
    <numFmt numFmtId="168" formatCode="0.0%"/>
    <numFmt numFmtId="169" formatCode="0%"/>
  </numFmts>
  <fonts count="61">
    <font>
      <sz val="11"/>
      <color theme="1"/>
      <name val="Calibri"/>
      <family val="0"/>
      <charset val="1"/>
    </font>
    <font>
      <sz val="10"/>
      <name val="Arial"/>
      <family val="0"/>
    </font>
    <font>
      <sz val="10"/>
      <name val="Arial"/>
      <family val="0"/>
    </font>
    <font>
      <sz val="10"/>
      <name val="Arial"/>
      <family val="0"/>
    </font>
    <font>
      <b val="true"/>
      <sz val="12"/>
      <color rgb="FF808080"/>
      <name val="Arial"/>
      <family val="0"/>
      <charset val="1"/>
    </font>
    <font>
      <b val="true"/>
      <sz val="28"/>
      <color rgb="FFED7D31"/>
      <name val="Arial"/>
      <family val="0"/>
      <charset val="1"/>
    </font>
    <font>
      <b val="true"/>
      <sz val="32"/>
      <color rgb="FF1F1F1F"/>
      <name val="Arial"/>
      <family val="0"/>
      <charset val="1"/>
    </font>
    <font>
      <i val="true"/>
      <sz val="13"/>
      <color rgb="FF2F5496"/>
      <name val="Arial"/>
      <family val="0"/>
      <charset val="1"/>
    </font>
    <font>
      <b val="true"/>
      <sz val="12"/>
      <color rgb="FFFFFFFF"/>
      <name val="Arial"/>
      <family val="0"/>
      <charset val="1"/>
    </font>
    <font>
      <b val="true"/>
      <sz val="12"/>
      <color rgb="FF2F5496"/>
      <name val="Arial"/>
      <family val="0"/>
      <charset val="1"/>
    </font>
    <font>
      <i val="true"/>
      <sz val="11"/>
      <color rgb="FF404040"/>
      <name val="Arial"/>
      <family val="0"/>
      <charset val="1"/>
    </font>
    <font>
      <i val="true"/>
      <sz val="10"/>
      <color rgb="FF808080"/>
      <name val="Arial"/>
      <family val="0"/>
      <charset val="1"/>
    </font>
    <font>
      <sz val="14"/>
      <color theme="1"/>
      <name val="Calibri"/>
      <family val="0"/>
      <charset val="1"/>
    </font>
    <font>
      <b val="true"/>
      <sz val="14"/>
      <color rgb="FFFFFFFF"/>
      <name val="Arial"/>
      <family val="0"/>
      <charset val="1"/>
    </font>
    <font>
      <b val="true"/>
      <sz val="10"/>
      <color rgb="FF1F4E79"/>
      <name val="Arial"/>
      <family val="0"/>
      <charset val="1"/>
    </font>
    <font>
      <b val="true"/>
      <sz val="10"/>
      <color rgb="FFFF9900"/>
      <name val="Arial"/>
      <family val="0"/>
      <charset val="1"/>
    </font>
    <font>
      <sz val="10"/>
      <color rgb="FF000000"/>
      <name val="Arial"/>
      <family val="0"/>
      <charset val="1"/>
    </font>
    <font>
      <b val="true"/>
      <sz val="10"/>
      <color rgb="FFFFFFFF"/>
      <name val="Arial"/>
      <family val="0"/>
      <charset val="1"/>
    </font>
    <font>
      <i val="true"/>
      <sz val="10"/>
      <color rgb="FFFFFFFF"/>
      <name val="Arial"/>
      <family val="0"/>
      <charset val="1"/>
    </font>
    <font>
      <sz val="11"/>
      <color theme="1"/>
      <name val="Arial"/>
      <family val="0"/>
      <charset val="1"/>
    </font>
    <font>
      <b val="true"/>
      <sz val="11"/>
      <color rgb="FFFFFFFF"/>
      <name val="Arial"/>
      <family val="0"/>
      <charset val="1"/>
    </font>
    <font>
      <sz val="11"/>
      <color rgb="FF000000"/>
      <name val="Arial"/>
      <family val="0"/>
      <charset val="1"/>
    </font>
    <font>
      <sz val="11"/>
      <color rgb="FF000000"/>
      <name val="Calibri"/>
      <family val="0"/>
      <charset val="1"/>
    </font>
    <font>
      <b val="true"/>
      <sz val="17"/>
      <color rgb="FF1F4E79"/>
      <name val="Arial"/>
      <family val="0"/>
      <charset val="1"/>
    </font>
    <font>
      <i val="true"/>
      <sz val="9"/>
      <color rgb="FF808080"/>
      <name val="Arial"/>
      <family val="0"/>
      <charset val="1"/>
    </font>
    <font>
      <b val="true"/>
      <sz val="11"/>
      <color rgb="FF000000"/>
      <name val="Arial"/>
      <family val="0"/>
      <charset val="1"/>
    </font>
    <font>
      <b val="true"/>
      <sz val="10"/>
      <color rgb="FF000000"/>
      <name val="Arial"/>
      <family val="0"/>
      <charset val="1"/>
    </font>
    <font>
      <i val="true"/>
      <sz val="9"/>
      <color rgb="FF595959"/>
      <name val="Arial"/>
      <family val="0"/>
      <charset val="1"/>
    </font>
    <font>
      <b val="true"/>
      <sz val="11"/>
      <color rgb="FF1F4E79"/>
      <name val="Arial"/>
      <family val="0"/>
      <charset val="1"/>
    </font>
    <font>
      <u val="single"/>
      <sz val="11"/>
      <color rgb="FF0563C1"/>
      <name val="Calibri"/>
      <family val="0"/>
      <charset val="1"/>
    </font>
    <font>
      <b val="true"/>
      <sz val="11"/>
      <color theme="1"/>
      <name val="Calibri"/>
      <family val="0"/>
      <charset val="1"/>
    </font>
    <font>
      <b val="true"/>
      <sz val="18"/>
      <color rgb="FF757575"/>
      <name val="Calibri"/>
      <family val="2"/>
    </font>
    <font>
      <sz val="10"/>
      <color rgb="FF000000"/>
      <name val="Calibri"/>
      <family val="2"/>
    </font>
    <font>
      <sz val="10"/>
      <color rgb="FF1A1A1A"/>
      <name val="Calibri"/>
      <family val="2"/>
    </font>
    <font>
      <sz val="15"/>
      <color theme="1"/>
      <name val="Calibri"/>
      <family val="0"/>
      <charset val="1"/>
    </font>
    <font>
      <b val="true"/>
      <sz val="15"/>
      <color rgb="FF1F4E79"/>
      <name val="Arial"/>
      <family val="0"/>
      <charset val="1"/>
    </font>
    <font>
      <b val="true"/>
      <sz val="9"/>
      <color rgb="FFFFFFFF"/>
      <name val="Arial"/>
      <family val="0"/>
      <charset val="1"/>
    </font>
    <font>
      <b val="true"/>
      <sz val="11"/>
      <color theme="1"/>
      <name val="Arial"/>
      <family val="0"/>
      <charset val="1"/>
    </font>
    <font>
      <b val="true"/>
      <sz val="9"/>
      <color theme="1"/>
      <name val="Arial"/>
      <family val="0"/>
      <charset val="1"/>
    </font>
    <font>
      <sz val="9"/>
      <color theme="1"/>
      <name val="Arial"/>
      <family val="0"/>
      <charset val="1"/>
    </font>
    <font>
      <sz val="10"/>
      <color theme="1"/>
      <name val="Arial"/>
      <family val="0"/>
      <charset val="1"/>
    </font>
    <font>
      <b val="true"/>
      <sz val="9"/>
      <color rgb="FF1F4E79"/>
      <name val="Arial"/>
      <family val="0"/>
      <charset val="1"/>
    </font>
    <font>
      <sz val="9"/>
      <color rgb="FF404040"/>
      <name val="Arial"/>
      <family val="0"/>
      <charset val="1"/>
    </font>
    <font>
      <b val="true"/>
      <sz val="14"/>
      <color rgb="FF1F4E79"/>
      <name val="Arial"/>
      <family val="0"/>
      <charset val="1"/>
    </font>
    <font>
      <b val="true"/>
      <sz val="13"/>
      <color rgb="FF1F4E79"/>
      <name val="Arial"/>
      <family val="0"/>
      <charset val="1"/>
    </font>
    <font>
      <i val="true"/>
      <sz val="8"/>
      <color rgb="FF808080"/>
      <name val="Arial"/>
      <family val="0"/>
      <charset val="1"/>
    </font>
    <font>
      <i val="true"/>
      <sz val="9"/>
      <color rgb="FF7F7F7F"/>
      <name val="Arial"/>
      <family val="0"/>
      <charset val="1"/>
    </font>
    <font>
      <strike val="true"/>
      <sz val="11"/>
      <color theme="1"/>
      <name val="Calibri"/>
      <family val="0"/>
      <charset val="1"/>
    </font>
    <font>
      <sz val="10"/>
      <color rgb="FF808080"/>
      <name val="Arial"/>
      <family val="0"/>
      <charset val="1"/>
    </font>
    <font>
      <sz val="11"/>
      <color rgb="FF0000FF"/>
      <name val="Arial"/>
      <family val="0"/>
      <charset val="1"/>
    </font>
    <font>
      <sz val="10"/>
      <name val="Arial"/>
      <family val="2"/>
    </font>
    <font>
      <b val="true"/>
      <sz val="10"/>
      <color rgb="FF000000"/>
      <name val="Calibri"/>
      <family val="2"/>
    </font>
    <font>
      <b val="true"/>
      <sz val="9"/>
      <color rgb="FF808080"/>
      <name val="Arial"/>
      <family val="0"/>
      <charset val="1"/>
    </font>
    <font>
      <b val="true"/>
      <sz val="10"/>
      <color rgb="FF808080"/>
      <name val="Arial"/>
      <family val="0"/>
      <charset val="1"/>
    </font>
    <font>
      <sz val="11"/>
      <color rgb="FF008000"/>
      <name val="Arial"/>
      <family val="0"/>
      <charset val="1"/>
    </font>
    <font>
      <sz val="9"/>
      <color rgb="FF808080"/>
      <name val="Arial"/>
      <family val="0"/>
      <charset val="1"/>
    </font>
    <font>
      <b val="true"/>
      <sz val="15"/>
      <color rgb="FF1F1F1F"/>
      <name val="Arial"/>
      <family val="0"/>
      <charset val="1"/>
    </font>
    <font>
      <sz val="11"/>
      <name val="Cambria"/>
      <family val="0"/>
      <charset val="1"/>
    </font>
    <font>
      <b val="true"/>
      <sz val="11"/>
      <color rgb="FFFFFFFF"/>
      <name val="Cambria"/>
      <family val="0"/>
      <charset val="1"/>
    </font>
    <font>
      <b val="true"/>
      <sz val="11"/>
      <name val="Cambria"/>
      <family val="0"/>
      <charset val="1"/>
    </font>
    <font>
      <i val="true"/>
      <sz val="11"/>
      <name val="Cambria"/>
      <family val="0"/>
      <charset val="1"/>
    </font>
  </fonts>
  <fills count="35">
    <fill>
      <patternFill patternType="none"/>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C6EFCE"/>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D18A78"/>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9AADB"/>
        <bgColor rgb="FF729FCF"/>
      </patternFill>
    </fill>
    <fill>
      <patternFill patternType="solid">
        <fgColor rgb="FFD18A78"/>
        <bgColor rgb="FFC9A66B"/>
      </patternFill>
    </fill>
    <fill>
      <patternFill patternType="solid">
        <fgColor rgb="FFD9E1F2"/>
        <bgColor rgb="FFD9E2F3"/>
      </patternFill>
    </fill>
    <fill>
      <patternFill patternType="solid">
        <fgColor rgb="FFFCE4D6"/>
        <bgColor rgb="FFFFF2CC"/>
      </patternFill>
    </fill>
    <fill>
      <patternFill patternType="solid">
        <fgColor rgb="FF729FCF"/>
        <bgColor rgb="FF89AADB"/>
      </patternFill>
    </fill>
    <fill>
      <patternFill patternType="solid">
        <fgColor rgb="FFAFD095"/>
        <bgColor rgb="FFA9D08E"/>
      </patternFill>
    </fill>
    <fill>
      <patternFill patternType="solid">
        <fgColor rgb="FFD9D9D9"/>
        <bgColor rgb="FFD9E1F2"/>
      </patternFill>
    </fill>
    <fill>
      <patternFill patternType="solid">
        <fgColor rgb="FFD9E2F3"/>
        <bgColor rgb="FFD9E1F2"/>
      </patternFill>
    </fill>
    <fill>
      <patternFill patternType="solid">
        <fgColor rgb="FFC6EFCE"/>
        <bgColor rgb="FFC5E0B3"/>
      </patternFill>
    </fill>
    <fill>
      <patternFill patternType="solid">
        <fgColor rgb="FFFFEB9C"/>
        <bgColor rgb="FFFFF2CC"/>
      </patternFill>
    </fill>
  </fills>
  <borders count="7">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right style="thin"/>
      <top style="thin"/>
      <bottom style="thin"/>
      <diagonal/>
    </border>
    <border diagonalUp="false" diagonalDown="false">
      <left style="thin">
        <color rgb="FFFFFFFF"/>
      </left>
      <right style="thin">
        <color rgb="FFFFFFFF"/>
      </right>
      <top style="thin">
        <color rgb="FFFFFFFF"/>
      </top>
      <bottom style="thin">
        <color rgb="FFFFFFFF"/>
      </bottom>
      <diagonal/>
    </border>
    <border diagonalUp="false" diagonalDown="false">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8" fillId="7"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5" fontId="21" fillId="3" borderId="2" xfId="0" applyFont="true" applyBorder="true" applyAlignment="true" applyProtection="false">
      <alignment horizontal="center" vertical="center" textRotation="0" wrapText="true" indent="0" shrinkToFit="false"/>
      <protection locked="true" hidden="false"/>
    </xf>
    <xf numFmtId="166" fontId="21" fillId="3" borderId="1" xfId="0" applyFont="true" applyBorder="true" applyAlignment="true" applyProtection="false">
      <alignment horizontal="center" vertical="bottom" textRotation="0" wrapText="false" indent="0" shrinkToFit="false"/>
      <protection locked="true" hidden="false"/>
    </xf>
    <xf numFmtId="164" fontId="21" fillId="3" borderId="1" xfId="0" applyFont="true" applyBorder="true" applyAlignment="true" applyProtection="false">
      <alignment horizontal="center" vertical="bottom" textRotation="0" wrapText="false" indent="0" shrinkToFit="false"/>
      <protection locked="true" hidden="false"/>
    </xf>
    <xf numFmtId="164" fontId="21" fillId="3" borderId="1" xfId="0" applyFont="true" applyBorder="true" applyAlignment="true" applyProtection="false">
      <alignment horizontal="general" vertical="bottom" textRotation="0" wrapText="false" indent="0" shrinkToFit="false"/>
      <protection locked="true" hidden="false"/>
    </xf>
    <xf numFmtId="164" fontId="21" fillId="3"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22" fillId="3" borderId="1" xfId="0" applyFont="true" applyBorder="true" applyAlignment="tru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general" vertical="top" textRotation="0" wrapText="false" indent="0" shrinkToFit="false"/>
      <protection locked="true" hidden="false"/>
    </xf>
    <xf numFmtId="165" fontId="21" fillId="3" borderId="2" xfId="0" applyFont="true" applyBorder="true" applyAlignment="true" applyProtection="false">
      <alignment horizontal="left" vertical="center" textRotation="0" wrapText="true" indent="0" shrinkToFit="false"/>
      <protection locked="true" hidden="false"/>
    </xf>
    <xf numFmtId="164" fontId="22" fillId="3" borderId="1"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25" fillId="6" borderId="1" xfId="0" applyFont="true" applyBorder="true" applyAlignment="true" applyProtection="false">
      <alignment horizontal="left" vertical="center" textRotation="0" wrapText="true" indent="0" shrinkToFit="false"/>
      <protection locked="true" hidden="false"/>
    </xf>
    <xf numFmtId="164" fontId="21" fillId="9" borderId="1" xfId="0" applyFont="true" applyBorder="true" applyAlignment="true" applyProtection="false">
      <alignment horizontal="left"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5" fontId="21" fillId="9" borderId="1" xfId="0" applyFont="true" applyBorder="true" applyAlignment="true" applyProtection="false">
      <alignment horizontal="left" vertical="center" textRotation="0" wrapText="tru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6" fillId="5" borderId="1" xfId="0" applyFont="true" applyBorder="true" applyAlignment="true" applyProtection="false">
      <alignment horizontal="left" vertical="center" textRotation="0" wrapText="true" indent="0" shrinkToFit="false"/>
      <protection locked="true" hidden="false"/>
    </xf>
    <xf numFmtId="167" fontId="26" fillId="6" borderId="1" xfId="0" applyFont="true" applyBorder="true" applyAlignment="true" applyProtection="false">
      <alignment horizontal="center" vertical="center" textRotation="0" wrapText="true" indent="0" shrinkToFit="false"/>
      <protection locked="true" hidden="false"/>
    </xf>
    <xf numFmtId="168" fontId="25"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7" fontId="21" fillId="0" borderId="0" xfId="0" applyFont="true" applyBorder="fals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left"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7" fontId="17" fillId="4" borderId="1" xfId="0" applyFont="true" applyBorder="true" applyAlignment="true" applyProtection="false">
      <alignment horizontal="center" vertical="center" textRotation="0" wrapText="true" indent="0" shrinkToFit="false"/>
      <protection locked="true" hidden="false"/>
    </xf>
    <xf numFmtId="168" fontId="17" fillId="4"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26" fillId="6" borderId="1" xfId="0" applyFont="true" applyBorder="true" applyAlignment="true" applyProtection="false">
      <alignment horizontal="left" vertical="center" textRotation="0" wrapText="true" indent="0" shrinkToFit="false"/>
      <protection locked="true" hidden="false"/>
    </xf>
    <xf numFmtId="168" fontId="26" fillId="6" borderId="1"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4" fontId="20" fillId="10" borderId="1" xfId="0" applyFont="true" applyBorder="true" applyAlignment="true" applyProtection="false">
      <alignment horizontal="left"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left" vertical="center" textRotation="0" wrapText="true" indent="0" shrinkToFit="false"/>
      <protection locked="true" hidden="false"/>
    </xf>
    <xf numFmtId="164" fontId="21" fillId="11" borderId="1" xfId="0" applyFont="true" applyBorder="true" applyAlignment="true" applyProtection="false">
      <alignment horizontal="center" vertical="center" textRotation="0" wrapText="false" indent="0" shrinkToFit="false"/>
      <protection locked="true" hidden="false"/>
    </xf>
    <xf numFmtId="168" fontId="21" fillId="11"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true" indent="0" shrinkToFit="false"/>
      <protection locked="true" hidden="false"/>
    </xf>
    <xf numFmtId="164" fontId="27" fillId="0" borderId="0" xfId="0" applyFont="true" applyBorder="true" applyAlignment="true" applyProtection="false">
      <alignment horizontal="general" vertical="bottom" textRotation="0" wrapText="true" indent="0" shrinkToFit="false"/>
      <protection locked="true" hidden="false"/>
    </xf>
    <xf numFmtId="164" fontId="28" fillId="5"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center" vertical="bottom" textRotation="0" wrapText="true" indent="0" shrinkToFit="false"/>
      <protection locked="true" hidden="false"/>
    </xf>
    <xf numFmtId="169" fontId="30" fillId="0" borderId="0" xfId="0" applyFont="true" applyBorder="false" applyAlignment="true" applyProtection="false">
      <alignment horizontal="center" vertical="bottom" textRotation="0" wrapText="false" indent="0" shrinkToFit="false"/>
      <protection locked="true" hidden="false"/>
    </xf>
    <xf numFmtId="169" fontId="19"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true" applyAlignment="true" applyProtection="false">
      <alignment horizontal="left" vertical="center" textRotation="0" wrapText="true" indent="0" shrinkToFit="false"/>
      <protection locked="true" hidden="false"/>
    </xf>
    <xf numFmtId="164" fontId="0" fillId="12" borderId="1" xfId="0" applyFont="false" applyBorder="true" applyAlignment="true" applyProtection="false">
      <alignment horizontal="general" vertical="bottom" textRotation="0" wrapText="false" indent="0" shrinkToFit="false"/>
      <protection locked="true" hidden="false"/>
    </xf>
    <xf numFmtId="164" fontId="17" fillId="13" borderId="2"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7" fillId="14" borderId="2" xfId="0" applyFont="true" applyBorder="true" applyAlignment="true" applyProtection="false">
      <alignment horizontal="center" vertical="center" textRotation="0" wrapText="true" indent="0" shrinkToFit="false"/>
      <protection locked="true" hidden="false"/>
    </xf>
    <xf numFmtId="164" fontId="17" fillId="10" borderId="2"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false">
      <alignment horizontal="center" vertical="center" textRotation="0" wrapText="true" indent="0" shrinkToFit="false"/>
      <protection locked="true" hidden="false"/>
    </xf>
    <xf numFmtId="164" fontId="36" fillId="15" borderId="1"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true" applyAlignment="true" applyProtection="false">
      <alignment horizontal="center" vertical="bottom" textRotation="0" wrapText="false" indent="0" shrinkToFit="false"/>
      <protection locked="true" hidden="false"/>
    </xf>
    <xf numFmtId="164" fontId="36" fillId="16" borderId="1" xfId="0" applyFont="true" applyBorder="true" applyAlignment="true" applyProtection="false">
      <alignment horizontal="center" vertical="center" textRotation="0" wrapText="true" indent="0" shrinkToFit="false"/>
      <protection locked="true" hidden="false"/>
    </xf>
    <xf numFmtId="164" fontId="36" fillId="2" borderId="1" xfId="0" applyFont="true" applyBorder="true" applyAlignment="true" applyProtection="false">
      <alignment horizontal="center" vertical="center" textRotation="0" wrapText="true" indent="0" shrinkToFit="false"/>
      <protection locked="true" hidden="false"/>
    </xf>
    <xf numFmtId="164" fontId="36" fillId="14" borderId="1" xfId="0" applyFont="true" applyBorder="true" applyAlignment="true" applyProtection="false">
      <alignment horizontal="center" vertical="center" textRotation="0" wrapText="true" indent="0" shrinkToFit="false"/>
      <protection locked="true" hidden="false"/>
    </xf>
    <xf numFmtId="164" fontId="36" fillId="10" borderId="1" xfId="0" applyFont="true" applyBorder="true" applyAlignment="true" applyProtection="false">
      <alignment horizontal="center" vertical="center" textRotation="0" wrapText="true" indent="0" shrinkToFit="false"/>
      <protection locked="true" hidden="false"/>
    </xf>
    <xf numFmtId="164" fontId="36" fillId="4" borderId="1" xfId="0" applyFont="true" applyBorder="true" applyAlignment="true" applyProtection="false">
      <alignment horizontal="center" vertical="center" textRotation="0" wrapText="true" indent="0" shrinkToFit="false"/>
      <protection locked="true" hidden="false"/>
    </xf>
    <xf numFmtId="164" fontId="38" fillId="17" borderId="3" xfId="0" applyFont="true" applyBorder="true" applyAlignment="true" applyProtection="false">
      <alignment horizontal="center" vertical="bottom" textRotation="0" wrapText="true" indent="0" shrinkToFit="false"/>
      <protection locked="true" hidden="false"/>
    </xf>
    <xf numFmtId="164" fontId="39" fillId="0" borderId="1" xfId="0" applyFont="true" applyBorder="true" applyAlignment="true" applyProtection="false">
      <alignment horizontal="center" vertical="center" textRotation="0" wrapText="true" indent="0" shrinkToFit="false"/>
      <protection locked="true" hidden="false"/>
    </xf>
    <xf numFmtId="164" fontId="39" fillId="9" borderId="1" xfId="0" applyFont="true" applyBorder="true" applyAlignment="true" applyProtection="false">
      <alignment horizontal="center" vertical="center" textRotation="0" wrapText="true" indent="0" shrinkToFit="false"/>
      <protection locked="true" hidden="false"/>
    </xf>
    <xf numFmtId="164" fontId="39" fillId="9" borderId="1" xfId="0" applyFont="true" applyBorder="true" applyAlignment="true" applyProtection="false">
      <alignment horizontal="left" vertical="center" textRotation="0" wrapText="true" indent="0" shrinkToFit="false"/>
      <protection locked="true" hidden="false"/>
    </xf>
    <xf numFmtId="168" fontId="39" fillId="0" borderId="1" xfId="0" applyFont="true" applyBorder="true" applyAlignment="true" applyProtection="false">
      <alignment horizontal="center" vertical="center" textRotation="0" wrapText="true" indent="0" shrinkToFit="false"/>
      <protection locked="true" hidden="false"/>
    </xf>
    <xf numFmtId="164" fontId="40" fillId="0" borderId="1" xfId="0" applyFont="true" applyBorder="true" applyAlignment="true" applyProtection="false">
      <alignment horizontal="center" vertical="center" textRotation="0" wrapText="false" indent="0" shrinkToFit="false"/>
      <protection locked="true" hidden="false"/>
    </xf>
    <xf numFmtId="164" fontId="40" fillId="0" borderId="0" xfId="0" applyFont="true" applyBorder="false" applyAlignment="true" applyProtection="false">
      <alignment horizontal="center" vertical="center" textRotation="0" wrapText="false" indent="0" shrinkToFit="false"/>
      <protection locked="true" hidden="false"/>
    </xf>
    <xf numFmtId="164" fontId="38" fillId="6" borderId="1" xfId="0" applyFont="true" applyBorder="true" applyAlignment="true" applyProtection="false">
      <alignment horizontal="center" vertical="center" textRotation="0" wrapText="true" indent="0" shrinkToFit="false"/>
      <protection locked="true" hidden="false"/>
    </xf>
    <xf numFmtId="164" fontId="38" fillId="6" borderId="1" xfId="0" applyFont="true" applyBorder="true" applyAlignment="true" applyProtection="false">
      <alignment horizontal="left" vertical="center" textRotation="0" wrapText="true" indent="0" shrinkToFit="false"/>
      <protection locked="true" hidden="false"/>
    </xf>
    <xf numFmtId="168" fontId="38" fillId="6" borderId="1" xfId="0" applyFont="true" applyBorder="true" applyAlignment="true" applyProtection="false">
      <alignment horizontal="center" vertical="center" textRotation="0" wrapText="true" indent="0" shrinkToFit="false"/>
      <protection locked="true" hidden="false"/>
    </xf>
    <xf numFmtId="164" fontId="26" fillId="6" borderId="1"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true" applyAlignment="true" applyProtection="false">
      <alignment horizontal="left" vertical="center" textRotation="0" wrapText="true" indent="0" shrinkToFit="false"/>
      <protection locked="true" hidden="false"/>
    </xf>
    <xf numFmtId="164" fontId="42" fillId="0" borderId="0" xfId="0" applyFont="true" applyBorder="true" applyAlignment="true" applyProtection="false">
      <alignment horizontal="left" vertical="center" textRotation="0" wrapText="tru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25" fillId="5" borderId="1" xfId="0" applyFont="true" applyBorder="true" applyAlignment="true" applyProtection="false">
      <alignment horizontal="left" vertical="center" textRotation="0" wrapText="true" indent="0" shrinkToFit="false"/>
      <protection locked="true" hidden="false"/>
    </xf>
    <xf numFmtId="164" fontId="17" fillId="13" borderId="1" xfId="0" applyFont="true" applyBorder="true" applyAlignment="true" applyProtection="false">
      <alignment horizontal="left" vertical="center" textRotation="0" wrapText="true" indent="0" shrinkToFit="false"/>
      <protection locked="true" hidden="false"/>
    </xf>
    <xf numFmtId="167" fontId="44" fillId="3" borderId="1" xfId="0" applyFont="true" applyBorder="true" applyAlignment="true" applyProtection="false">
      <alignment horizontal="center" vertical="center" textRotation="0" wrapText="false" indent="0" shrinkToFit="false"/>
      <protection locked="true" hidden="false"/>
    </xf>
    <xf numFmtId="164" fontId="17" fillId="18"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left" vertical="center" textRotation="0" wrapText="true" indent="0" shrinkToFit="false"/>
      <protection locked="true" hidden="false"/>
    </xf>
    <xf numFmtId="168" fontId="44" fillId="3" borderId="1" xfId="0" applyFont="true" applyBorder="true" applyAlignment="true" applyProtection="false">
      <alignment horizontal="center" vertical="center" textRotation="0" wrapText="false" indent="0" shrinkToFit="false"/>
      <protection locked="true" hidden="false"/>
    </xf>
    <xf numFmtId="164" fontId="17" fillId="2"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4" fontId="17" fillId="10"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left" vertical="center" textRotation="0" wrapText="true" indent="0" shrinkToFit="false"/>
      <protection locked="true" hidden="false"/>
    </xf>
    <xf numFmtId="164" fontId="17" fillId="15" borderId="1" xfId="0" applyFont="true" applyBorder="true" applyAlignment="true" applyProtection="false">
      <alignment horizontal="left" vertical="center" textRotation="0" wrapText="true" indent="0" shrinkToFit="false"/>
      <protection locked="true" hidden="false"/>
    </xf>
    <xf numFmtId="164" fontId="45" fillId="0" borderId="0" xfId="0" applyFont="true" applyBorder="true" applyAlignment="true" applyProtection="false">
      <alignment horizontal="general" vertical="bottom"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25" fillId="21" borderId="1" xfId="0" applyFont="true" applyBorder="true" applyAlignment="true" applyProtection="false">
      <alignment horizontal="center" vertical="center" textRotation="0" wrapText="true" indent="0" shrinkToFit="false"/>
      <protection locked="true" hidden="false"/>
    </xf>
    <xf numFmtId="164" fontId="25" fillId="6" borderId="1" xfId="0" applyFont="true" applyBorder="true" applyAlignment="true" applyProtection="false">
      <alignment horizontal="center" vertical="center" textRotation="0" wrapText="true" indent="0" shrinkToFit="false"/>
      <protection locked="true" hidden="false"/>
    </xf>
    <xf numFmtId="167" fontId="21" fillId="0" borderId="1" xfId="0" applyFont="true" applyBorder="true" applyAlignment="true" applyProtection="false">
      <alignment horizontal="center" vertical="center" textRotation="0" wrapText="false" indent="0" shrinkToFit="false"/>
      <protection locked="true" hidden="false"/>
    </xf>
    <xf numFmtId="167" fontId="21" fillId="5" borderId="1" xfId="0" applyFont="true" applyBorder="true" applyAlignment="true" applyProtection="false">
      <alignment horizontal="center" vertical="center" textRotation="0" wrapText="false" indent="0" shrinkToFit="false"/>
      <protection locked="true" hidden="false"/>
    </xf>
    <xf numFmtId="167" fontId="21" fillId="6"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7" fontId="16" fillId="5" borderId="1" xfId="0" applyFont="true" applyBorder="true" applyAlignment="true" applyProtection="false">
      <alignment horizontal="center" vertical="center" textRotation="0" wrapText="true" indent="0" shrinkToFit="false"/>
      <protection locked="true" hidden="false"/>
    </xf>
    <xf numFmtId="164" fontId="26" fillId="6"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27" fillId="0" borderId="4" xfId="0" applyFont="true" applyBorder="true" applyAlignment="true" applyProtection="false">
      <alignment horizontal="left"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8" fontId="21" fillId="0" borderId="1" xfId="0" applyFont="true" applyBorder="true" applyAlignment="true" applyProtection="false">
      <alignment horizontal="center" vertical="center" textRotation="0" wrapText="false" indent="0" shrinkToFit="false"/>
      <protection locked="true" hidden="false"/>
    </xf>
    <xf numFmtId="164" fontId="21" fillId="6" borderId="1" xfId="0" applyFont="true" applyBorder="true" applyAlignment="true" applyProtection="false">
      <alignment horizontal="general" vertical="bottom" textRotation="0" wrapText="false" indent="0" shrinkToFit="false"/>
      <protection locked="true" hidden="false"/>
    </xf>
    <xf numFmtId="168" fontId="21" fillId="6" borderId="1" xfId="0" applyFont="true" applyBorder="true" applyAlignment="true" applyProtection="false">
      <alignment horizontal="center" vertical="center" textRotation="0" wrapText="false" indent="0" shrinkToFit="false"/>
      <protection locked="true" hidden="false"/>
    </xf>
    <xf numFmtId="164" fontId="46" fillId="0" borderId="0" xfId="0" applyFont="true" applyBorder="true" applyAlignment="true" applyProtection="false">
      <alignment horizontal="left" vertical="center" textRotation="0" wrapText="true" indent="0" shrinkToFit="false"/>
      <protection locked="true" hidden="false"/>
    </xf>
    <xf numFmtId="164" fontId="46" fillId="0" borderId="0" xfId="0" applyFont="true" applyBorder="false" applyAlignment="true" applyProtection="false">
      <alignment horizontal="left" vertical="center" textRotation="0" wrapText="tru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25" fillId="5" borderId="1" xfId="0" applyFont="true" applyBorder="true" applyAlignment="true" applyProtection="false">
      <alignment horizontal="center" vertical="center" textRotation="0" wrapText="fals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17" fillId="15"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left" vertical="center" textRotation="0" wrapText="true" indent="0" shrinkToFit="false"/>
      <protection locked="true" hidden="false"/>
    </xf>
    <xf numFmtId="168" fontId="48" fillId="9" borderId="1" xfId="0" applyFont="true" applyBorder="true" applyAlignment="true" applyProtection="false">
      <alignment horizontal="center" vertical="center" textRotation="0" wrapText="true" indent="0" shrinkToFit="false"/>
      <protection locked="true" hidden="false"/>
    </xf>
    <xf numFmtId="168" fontId="16" fillId="9" borderId="1" xfId="0" applyFont="true" applyBorder="true" applyAlignment="true" applyProtection="false">
      <alignment horizontal="center" vertical="center" textRotation="0" wrapText="true" indent="0" shrinkToFit="false"/>
      <protection locked="true" hidden="false"/>
    </xf>
    <xf numFmtId="167" fontId="16" fillId="9" borderId="1"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7" fontId="49"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bottom" textRotation="0" wrapText="true" indent="0" shrinkToFit="false"/>
      <protection locked="true" hidden="false"/>
    </xf>
    <xf numFmtId="164" fontId="44" fillId="0" borderId="0" xfId="0" applyFont="true" applyBorder="true" applyAlignment="true" applyProtection="false">
      <alignment horizontal="left" vertical="center" textRotation="0" wrapText="true" indent="0" shrinkToFit="false"/>
      <protection locked="true" hidden="false"/>
    </xf>
    <xf numFmtId="164" fontId="37" fillId="22" borderId="3" xfId="0" applyFont="true" applyBorder="true" applyAlignment="true" applyProtection="false">
      <alignment horizontal="center" vertical="center" textRotation="0" wrapText="true" indent="0" shrinkToFit="false"/>
      <protection locked="true" hidden="false"/>
    </xf>
    <xf numFmtId="164" fontId="37" fillId="6" borderId="3" xfId="0" applyFont="true" applyBorder="true" applyAlignment="true" applyProtection="false">
      <alignment horizontal="center" vertical="center" textRotation="0" wrapText="true" indent="0" shrinkToFit="false"/>
      <protection locked="true" hidden="false"/>
    </xf>
    <xf numFmtId="167" fontId="37" fillId="6" borderId="3" xfId="0" applyFont="true" applyBorder="true" applyAlignment="true" applyProtection="false">
      <alignment horizontal="center" vertical="center" textRotation="0" wrapText="true" indent="0" shrinkToFit="false"/>
      <protection locked="true" hidden="false"/>
    </xf>
    <xf numFmtId="168" fontId="37" fillId="6" borderId="3" xfId="0" applyFont="true" applyBorder="true" applyAlignment="true" applyProtection="false">
      <alignment horizontal="center" vertical="center" textRotation="0" wrapText="true" indent="0" shrinkToFit="false"/>
      <protection locked="true" hidden="false"/>
    </xf>
    <xf numFmtId="164" fontId="37" fillId="11" borderId="3" xfId="0" applyFont="true" applyBorder="true" applyAlignment="true" applyProtection="false">
      <alignment horizontal="left" vertical="center" textRotation="0" wrapText="true" indent="0" shrinkToFit="false"/>
      <protection locked="true" hidden="false"/>
    </xf>
    <xf numFmtId="167" fontId="21" fillId="9" borderId="3" xfId="0" applyFont="true" applyBorder="true" applyAlignment="true" applyProtection="false">
      <alignment horizontal="left" vertical="center" textRotation="0" wrapText="true" indent="0" shrinkToFit="false"/>
      <protection locked="true" hidden="false"/>
    </xf>
    <xf numFmtId="167" fontId="21" fillId="0" borderId="3" xfId="0" applyFont="true" applyBorder="true" applyAlignment="true" applyProtection="false">
      <alignment horizontal="center" vertical="center" textRotation="0" wrapText="true" indent="0" shrinkToFit="false"/>
      <protection locked="true" hidden="false"/>
    </xf>
    <xf numFmtId="168" fontId="21" fillId="0" borderId="3" xfId="0" applyFont="true" applyBorder="true" applyAlignment="true" applyProtection="false">
      <alignment horizontal="center" vertical="center" textRotation="0" wrapText="true" indent="0" shrinkToFit="false"/>
      <protection locked="true" hidden="false"/>
    </xf>
    <xf numFmtId="164" fontId="37" fillId="23" borderId="3" xfId="0" applyFont="true" applyBorder="true" applyAlignment="true" applyProtection="false">
      <alignment horizontal="left" vertical="center" textRotation="0" wrapText="true" indent="0" shrinkToFit="false"/>
      <protection locked="true" hidden="false"/>
    </xf>
    <xf numFmtId="167" fontId="21" fillId="23" borderId="3" xfId="0" applyFont="true" applyBorder="true" applyAlignment="true" applyProtection="false">
      <alignment horizontal="center" vertical="center" textRotation="0" wrapText="true" indent="0" shrinkToFit="false"/>
      <protection locked="true" hidden="false"/>
    </xf>
    <xf numFmtId="168" fontId="21" fillId="23" borderId="3"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7" fontId="19" fillId="0" borderId="0" xfId="0" applyFont="true" applyBorder="false" applyAlignment="true" applyProtection="false">
      <alignment horizontal="center" vertical="center" textRotation="0" wrapText="true" indent="0" shrinkToFit="false"/>
      <protection locked="true" hidden="false"/>
    </xf>
    <xf numFmtId="168" fontId="19" fillId="0" borderId="0" xfId="0" applyFont="true" applyBorder="false" applyAlignment="true" applyProtection="false">
      <alignment horizontal="center" vertical="center" textRotation="0" wrapText="true" indent="0" shrinkToFit="false"/>
      <protection locked="true" hidden="false"/>
    </xf>
    <xf numFmtId="164" fontId="37" fillId="11" borderId="3" xfId="0" applyFont="true" applyBorder="true" applyAlignment="true" applyProtection="false">
      <alignment horizontal="center" vertical="center" textRotation="0" wrapText="true" indent="0" shrinkToFit="false"/>
      <protection locked="true" hidden="false"/>
    </xf>
    <xf numFmtId="164" fontId="21" fillId="0" borderId="3" xfId="0" applyFont="true" applyBorder="true" applyAlignment="true" applyProtection="false">
      <alignment horizontal="center" vertical="center" textRotation="0" wrapText="true" indent="0" shrinkToFit="false"/>
      <protection locked="true" hidden="false"/>
    </xf>
    <xf numFmtId="167" fontId="37" fillId="11" borderId="3" xfId="0" applyFont="true" applyBorder="true" applyAlignment="true" applyProtection="false">
      <alignment horizontal="center" vertical="center" textRotation="0" wrapText="true" indent="0" shrinkToFit="false"/>
      <protection locked="true" hidden="false"/>
    </xf>
    <xf numFmtId="167" fontId="37" fillId="23" borderId="3" xfId="0" applyFont="true" applyBorder="true" applyAlignment="true" applyProtection="false">
      <alignment horizontal="center" vertical="center" textRotation="0" wrapText="true" indent="0" shrinkToFit="false"/>
      <protection locked="true" hidden="false"/>
    </xf>
    <xf numFmtId="164" fontId="37" fillId="23" borderId="3" xfId="0" applyFont="true" applyBorder="true" applyAlignment="true" applyProtection="false">
      <alignment horizontal="center" vertical="center" textRotation="0" wrapText="true" indent="0" shrinkToFit="false"/>
      <protection locked="true" hidden="false"/>
    </xf>
    <xf numFmtId="167" fontId="24"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4" borderId="0" xfId="0" applyFont="true" applyBorder="false" applyAlignment="true" applyProtection="false">
      <alignment horizontal="center" vertical="center" textRotation="0" wrapText="true" indent="0" shrinkToFit="false"/>
      <protection locked="true" hidden="false"/>
    </xf>
    <xf numFmtId="164" fontId="20" fillId="13" borderId="0" xfId="0" applyFont="true" applyBorder="false" applyAlignment="true" applyProtection="false">
      <alignment horizontal="center" vertical="center" textRotation="0" wrapText="tru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21" fillId="9" borderId="1" xfId="0" applyFont="true" applyBorder="true" applyAlignment="true" applyProtection="false">
      <alignment horizontal="center" vertical="center" textRotation="0" wrapText="false" indent="0" shrinkToFit="false"/>
      <protection locked="true" hidden="false"/>
    </xf>
    <xf numFmtId="164" fontId="54" fillId="0" borderId="0" xfId="0" applyFont="true" applyBorder="false" applyAlignment="true" applyProtection="false">
      <alignment horizontal="center" vertical="center"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26" fillId="11" borderId="1"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true" applyAlignment="true" applyProtection="false">
      <alignment horizontal="left" vertical="center" textRotation="0" wrapText="false" indent="0" shrinkToFit="false"/>
      <protection locked="true" hidden="false"/>
    </xf>
    <xf numFmtId="164" fontId="26" fillId="0" borderId="0" xfId="0" applyFont="true" applyBorder="false" applyAlignment="true" applyProtection="false">
      <alignment horizontal="left" vertical="center" textRotation="0" wrapText="false" indent="0" shrinkToFit="false"/>
      <protection locked="true" hidden="false"/>
    </xf>
    <xf numFmtId="164" fontId="20" fillId="24" borderId="1" xfId="0" applyFont="true" applyBorder="true" applyAlignment="true" applyProtection="false">
      <alignment horizontal="left" vertical="center" textRotation="0" wrapText="true" indent="0" shrinkToFit="false"/>
      <protection locked="true" hidden="false"/>
    </xf>
    <xf numFmtId="164" fontId="21" fillId="3" borderId="1" xfId="0" applyFont="true" applyBorder="true" applyAlignment="true" applyProtection="false">
      <alignment horizontal="left" vertical="center" textRotation="0" wrapText="true" indent="0" shrinkToFit="false"/>
      <protection locked="true" hidden="false"/>
    </xf>
    <xf numFmtId="164" fontId="20" fillId="25" borderId="1" xfId="0" applyFont="true" applyBorder="true" applyAlignment="true" applyProtection="false">
      <alignment horizontal="center" vertical="center" textRotation="0" wrapText="true" indent="0" shrinkToFit="false"/>
      <protection locked="true" hidden="false"/>
    </xf>
    <xf numFmtId="164" fontId="20" fillId="14" borderId="3" xfId="0" applyFont="true" applyBorder="true" applyAlignment="true" applyProtection="false">
      <alignment horizontal="center" vertical="center" textRotation="0" wrapText="true" indent="0" shrinkToFit="false"/>
      <protection locked="true" hidden="false"/>
    </xf>
    <xf numFmtId="164" fontId="20" fillId="26" borderId="3" xfId="0" applyFont="true" applyBorder="true" applyAlignment="true" applyProtection="false">
      <alignment horizontal="center" vertical="center" textRotation="0" wrapText="true" indent="0" shrinkToFit="false"/>
      <protection locked="true" hidden="false"/>
    </xf>
    <xf numFmtId="164" fontId="20" fillId="19" borderId="3" xfId="0" applyFont="true" applyBorder="true" applyAlignment="true" applyProtection="false">
      <alignment horizontal="center" vertical="center" textRotation="0" wrapText="true" indent="0" shrinkToFit="false"/>
      <protection locked="true" hidden="false"/>
    </xf>
    <xf numFmtId="164" fontId="26" fillId="27" borderId="1" xfId="0" applyFont="true" applyBorder="true" applyAlignment="true" applyProtection="false">
      <alignment horizontal="center" vertical="center" textRotation="0" wrapText="true" indent="0" shrinkToFit="false"/>
      <protection locked="true" hidden="false"/>
    </xf>
    <xf numFmtId="164" fontId="26" fillId="28" borderId="3" xfId="0" applyFont="true" applyBorder="true" applyAlignment="true" applyProtection="false">
      <alignment horizontal="center" vertical="center" textRotation="0" wrapText="true" indent="0" shrinkToFit="false"/>
      <protection locked="true" hidden="false"/>
    </xf>
    <xf numFmtId="164" fontId="26" fillId="23" borderId="3" xfId="0" applyFont="true" applyBorder="true" applyAlignment="true" applyProtection="false">
      <alignment horizontal="center" vertical="center" textRotation="0" wrapText="true" indent="0" shrinkToFit="false"/>
      <protection locked="true" hidden="false"/>
    </xf>
    <xf numFmtId="164" fontId="26" fillId="29" borderId="1" xfId="0" applyFont="true" applyBorder="true" applyAlignment="true" applyProtection="false">
      <alignment horizontal="left" vertical="center" textRotation="0" wrapText="true" indent="0" shrinkToFit="false"/>
      <protection locked="true" hidden="false"/>
    </xf>
    <xf numFmtId="164" fontId="26" fillId="3" borderId="1" xfId="0" applyFont="true" applyBorder="true" applyAlignment="true" applyProtection="false">
      <alignment horizontal="center" vertical="center" textRotation="0" wrapText="true" indent="0" shrinkToFit="false"/>
      <protection locked="true" hidden="false"/>
    </xf>
    <xf numFmtId="164" fontId="26" fillId="3" borderId="3" xfId="0" applyFont="true" applyBorder="true" applyAlignment="true" applyProtection="false">
      <alignment horizontal="center"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4" fontId="16" fillId="3" borderId="3" xfId="0" applyFont="true" applyBorder="true" applyAlignment="true" applyProtection="false">
      <alignment horizontal="center" vertical="center" textRotation="0" wrapText="false" indent="0" shrinkToFit="false"/>
      <protection locked="true" hidden="false"/>
    </xf>
    <xf numFmtId="164" fontId="16" fillId="9" borderId="3" xfId="0" applyFont="true" applyBorder="true" applyAlignment="true" applyProtection="false">
      <alignment horizontal="center" vertical="center" textRotation="0" wrapText="false" indent="0" shrinkToFit="false"/>
      <protection locked="true" hidden="false"/>
    </xf>
    <xf numFmtId="164" fontId="26" fillId="12" borderId="3" xfId="0" applyFont="true" applyBorder="true" applyAlignment="true" applyProtection="false">
      <alignment horizontal="center" vertical="center" textRotation="0" wrapText="false" indent="0" shrinkToFit="false"/>
      <protection locked="true" hidden="false"/>
    </xf>
    <xf numFmtId="164" fontId="16" fillId="9" borderId="3" xfId="0" applyFont="true" applyBorder="true" applyAlignment="true" applyProtection="false">
      <alignment horizontal="left" vertical="top" textRotation="0" wrapText="true" indent="0" shrinkToFit="false"/>
      <protection locked="true" hidden="false"/>
    </xf>
    <xf numFmtId="164" fontId="57" fillId="30" borderId="1" xfId="0" applyFont="true" applyBorder="tru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57" fillId="30" borderId="1" xfId="0" applyFont="true" applyBorder="true" applyAlignment="true" applyProtection="false">
      <alignment horizontal="center" vertical="center" textRotation="0" wrapText="false" indent="0" shrinkToFit="false"/>
      <protection locked="true" hidden="false"/>
    </xf>
    <xf numFmtId="164" fontId="16" fillId="30" borderId="1"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58"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1" borderId="0" xfId="0" applyFont="true" applyBorder="false" applyAlignment="true" applyProtection="false">
      <alignment horizontal="general" vertical="bottom" textRotation="0" wrapText="false" indent="0" shrinkToFit="false"/>
      <protection locked="true" hidden="false"/>
    </xf>
    <xf numFmtId="164" fontId="0" fillId="32" borderId="0" xfId="0" applyFont="true" applyBorder="false" applyAlignment="true" applyProtection="false">
      <alignment horizontal="general" vertical="bottom" textRotation="0" wrapText="false" indent="0" shrinkToFit="false"/>
      <protection locked="true" hidden="false"/>
    </xf>
    <xf numFmtId="164" fontId="0" fillId="32" borderId="0" xfId="0" applyFont="true" applyBorder="false" applyAlignment="true" applyProtection="false">
      <alignment horizontal="general" vertical="top" textRotation="0" wrapText="true" indent="0" shrinkToFit="false"/>
      <protection locked="true" hidden="false"/>
    </xf>
    <xf numFmtId="164" fontId="0" fillId="33"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center" vertical="center" textRotation="0" wrapText="true" indent="0" shrinkToFit="false"/>
      <protection locked="true" hidden="false"/>
    </xf>
    <xf numFmtId="164" fontId="0" fillId="32" borderId="0" xfId="0" applyFont="true" applyBorder="false" applyAlignment="true" applyProtection="false">
      <alignment horizontal="general" vertical="top" textRotation="0" wrapText="false" indent="0" shrinkToFit="false"/>
      <protection locked="true" hidden="false"/>
    </xf>
    <xf numFmtId="164" fontId="0" fillId="33" borderId="0" xfId="0" applyFont="true" applyBorder="false" applyAlignment="true" applyProtection="false">
      <alignment horizontal="general" vertical="top" textRotation="0" wrapText="false" indent="0" shrinkToFit="false"/>
      <protection locked="true" hidden="false"/>
    </xf>
    <xf numFmtId="164" fontId="0" fillId="31"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58" fillId="2" borderId="0" xfId="0" applyFont="true" applyBorder="false" applyAlignment="true" applyProtection="false">
      <alignment horizontal="general" vertical="center" textRotation="0" wrapText="true" indent="0" shrinkToFit="false"/>
      <protection locked="true" hidden="false"/>
    </xf>
    <xf numFmtId="164" fontId="0" fillId="33" borderId="0" xfId="0" applyFont="true" applyBorder="false" applyAlignment="true" applyProtection="false">
      <alignment horizontal="general" vertical="top" textRotation="0" wrapText="true" indent="0" shrinkToFit="false"/>
      <protection locked="true" hidden="false"/>
    </xf>
    <xf numFmtId="164" fontId="0" fillId="31" borderId="0" xfId="0" applyFont="true" applyBorder="false" applyAlignment="true" applyProtection="false">
      <alignment horizontal="general" vertical="top" textRotation="0" wrapText="true" indent="0" shrinkToFit="false"/>
      <protection locked="true" hidden="false"/>
    </xf>
    <xf numFmtId="164" fontId="0" fillId="3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bgColor rgb="FFF4CCCC"/>
        </patternFill>
      </fill>
    </dxf>
    <dxf>
      <fill>
        <patternFill patternType="solid">
          <fgColor rgb="FF2F5496"/>
          <bgColor rgb="FF000000"/>
        </patternFill>
      </fill>
    </dxf>
    <dxf>
      <fill>
        <patternFill patternType="solid">
          <fgColor rgb="FF89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4472C4"/>
          <bgColor rgb="FF000000"/>
        </patternFill>
      </fill>
    </dxf>
    <dxf>
      <fill>
        <patternFill patternType="solid">
          <fgColor rgb="FFFFFFFF"/>
          <bgColor rgb="FF000000"/>
        </patternFill>
      </fill>
    </dxf>
    <dxf>
      <fill>
        <patternFill patternType="solid">
          <fgColor rgb="FFD9E2F3"/>
          <bgColor rgb="FF000000"/>
        </patternFill>
      </fill>
    </dxf>
    <dxf>
      <fill>
        <patternFill patternType="solid">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EB9C"/>
          <bgColor rgb="FF000000"/>
        </patternFill>
      </fill>
    </dxf>
  </dxfs>
  <colors>
    <indexedColors>
      <rgbColor rgb="FF000000"/>
      <rgbColor rgb="FFFFFFFF"/>
      <rgbColor rgb="FFC00000"/>
      <rgbColor rgb="FF70AD47"/>
      <rgbColor rgb="FF0000FF"/>
      <rgbColor rgb="FFC5E0B3"/>
      <rgbColor rgb="FFD9E1F2"/>
      <rgbColor rgb="FFA8D08D"/>
      <rgbColor rgb="FFAFD095"/>
      <rgbColor rgb="FF008000"/>
      <rgbColor rgb="FF2F5496"/>
      <rgbColor rgb="FF548235"/>
      <rgbColor rgb="FF757575"/>
      <rgbColor rgb="FF1F6E7B"/>
      <rgbColor rgb="FFBFBFBF"/>
      <rgbColor rgb="FF808080"/>
      <rgbColor rgb="FF89AADB"/>
      <rgbColor rgb="FF7030A0"/>
      <rgbColor rgb="FFFFF2CC"/>
      <rgbColor rgb="FFDAEEF3"/>
      <rgbColor rgb="FF4D81BE"/>
      <rgbColor rgb="FFF79646"/>
      <rgbColor rgb="FF0563C1"/>
      <rgbColor rgb="FFD9D9D9"/>
      <rgbColor rgb="FFF2F2F2"/>
      <rgbColor rgb="FFD9E2F3"/>
      <rgbColor rgb="FFFCE4D6"/>
      <rgbColor rgb="FFA9D08E"/>
      <rgbColor rgb="FF7F7F7F"/>
      <rgbColor rgb="FFE2EFD9"/>
      <rgbColor rgb="FF2E75B6"/>
      <rgbColor rgb="FFE2EFDA"/>
      <rgbColor rgb="FF729FCF"/>
      <rgbColor rgb="FFDDEBF7"/>
      <rgbColor rgb="FFC6EFCE"/>
      <rgbColor rgb="FFFFEB9C"/>
      <rgbColor rgb="FFB7B7B7"/>
      <rgbColor rgb="FFD18A78"/>
      <rgbColor rgb="FFC9A66B"/>
      <rgbColor rgb="FFF4CCCC"/>
      <rgbColor rgb="FF4472C4"/>
      <rgbColor rgb="FF4BACC6"/>
      <rgbColor rgb="FF9BBB59"/>
      <rgbColor rgb="FFFFC000"/>
      <rgbColor rgb="FFFF9900"/>
      <rgbColor rgb="FFED7D31"/>
      <rgbColor rgb="FF8064A2"/>
      <rgbColor rgb="FFA69DB2"/>
      <rgbColor rgb="FF1F4E79"/>
      <rgbColor rgb="FF31859C"/>
      <rgbColor rgb="FF1A1A1A"/>
      <rgbColor rgb="FF1F1F1F"/>
      <rgbColor rgb="FF595959"/>
      <rgbColor rgb="FFC0504D"/>
      <rgbColor rgb="FF30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Tiến độ thực thi theo ưu tiên (Tổng vs Đã chạy)</a:t>
            </a:r>
          </a:p>
        </c:rich>
      </c:tx>
      <c:overlay val="0"/>
      <c:spPr>
        <a:noFill/>
        <a:ln w="0">
          <a:noFill/>
        </a:ln>
      </c:spPr>
    </c:title>
    <c:autoTitleDeleted val="0"/>
    <c:plotArea>
      <c:layout>
        <c:manualLayout>
          <c:xMode val="edge"/>
          <c:yMode val="edge"/>
          <c:x val="0.0679918261192644"/>
          <c:y val="0.157245521827738"/>
          <c:w val="0.775280203108552"/>
          <c:h val="0.742143086989167"/>
        </c:manualLayout>
      </c:layout>
      <c:barChart>
        <c:barDir val="col"/>
        <c:grouping val="clustered"/>
        <c:varyColors val="0"/>
        <c:ser>
          <c:idx val="0"/>
          <c:order val="0"/>
          <c:tx>
            <c:strRef>
              <c:f>Summary!$C$18</c:f>
              <c:strCache>
                <c:ptCount val="1"/>
                <c:pt idx="0">
                  <c:v>Tổng TC</c:v>
                </c:pt>
              </c:strCache>
            </c:strRef>
          </c:tx>
          <c:spPr>
            <a:solidFill>
              <a:srgbClr val="A9D08E"/>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Summary!$B$19:$B$21</c:f>
              <c:strCache>
                <c:ptCount val="3"/>
                <c:pt idx="0">
                  <c:v>High (P1)</c:v>
                </c:pt>
                <c:pt idx="1">
                  <c:v>Medium (P2)</c:v>
                </c:pt>
                <c:pt idx="2">
                  <c:v>Low (P3)</c:v>
                </c:pt>
              </c:strCache>
            </c:strRef>
          </c:cat>
          <c:val>
            <c:numRef>
              <c:f>Summary!$C$19:$C$21</c:f>
              <c:numCache>
                <c:formatCode>0</c:formatCode>
                <c:ptCount val="3"/>
                <c:pt idx="0">
                  <c:v>50</c:v>
                </c:pt>
                <c:pt idx="1">
                  <c:v>196</c:v>
                </c:pt>
                <c:pt idx="2">
                  <c:v>101</c:v>
                </c:pt>
              </c:numCache>
            </c:numRef>
          </c:val>
        </c:ser>
        <c:ser>
          <c:idx val="1"/>
          <c:order val="1"/>
          <c:tx>
            <c:strRef>
              <c:f>Summary!$E$18</c:f>
              <c:strCache>
                <c:ptCount val="1"/>
                <c:pt idx="0">
                  <c:v>Đã chạy</c:v>
                </c:pt>
              </c:strCache>
            </c:strRef>
          </c:tx>
          <c:spPr>
            <a:solidFill>
              <a:srgbClr val="3D85C6"/>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Summary!$B$19:$B$21</c:f>
              <c:strCache>
                <c:ptCount val="3"/>
                <c:pt idx="0">
                  <c:v>High (P1)</c:v>
                </c:pt>
                <c:pt idx="1">
                  <c:v>Medium (P2)</c:v>
                </c:pt>
                <c:pt idx="2">
                  <c:v>Low (P3)</c:v>
                </c:pt>
              </c:strCache>
            </c:strRef>
          </c:cat>
          <c:val>
            <c:numRef>
              <c:f>Summary!$E$19:$E$21</c:f>
              <c:numCache>
                <c:formatCode>0</c:formatCode>
                <c:ptCount val="3"/>
                <c:pt idx="0">
                  <c:v>3</c:v>
                </c:pt>
                <c:pt idx="1">
                  <c:v>48</c:v>
                </c:pt>
                <c:pt idx="2">
                  <c:v>34</c:v>
                </c:pt>
              </c:numCache>
            </c:numRef>
          </c:val>
        </c:ser>
        <c:gapWidth val="150"/>
        <c:overlap val="0"/>
        <c:axId val="50465902"/>
        <c:axId val="35180358"/>
      </c:barChart>
      <c:catAx>
        <c:axId val="50465902"/>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35180358"/>
        <c:crosses val="autoZero"/>
        <c:auto val="1"/>
        <c:lblAlgn val="ctr"/>
        <c:lblOffset val="100"/>
        <c:noMultiLvlLbl val="0"/>
      </c:catAx>
      <c:valAx>
        <c:axId val="35180358"/>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cross"/>
        <c:minorTickMark val="none"/>
        <c:tickLblPos val="nextTo"/>
        <c:spPr>
          <a:ln w="6480">
            <a:solidFill>
              <a:srgbClr val="8B8B8B"/>
            </a:solidFill>
            <a:round/>
          </a:ln>
        </c:spPr>
        <c:txPr>
          <a:bodyPr/>
          <a:lstStyle/>
          <a:p>
            <a:pPr>
              <a:defRPr sz="1000" b="0" u="none" strike="noStrike">
                <a:solidFill>
                  <a:srgbClr val="000000"/>
                </a:solidFill>
                <a:uFillTx/>
                <a:latin typeface="Calibri"/>
                <a:ea typeface="Calibri"/>
              </a:defRPr>
            </a:pPr>
          </a:p>
        </c:txPr>
        <c:crossAx val="5046590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Số Test Case theo nhóm (Group)</a:t>
            </a:r>
          </a:p>
        </c:rich>
      </c:tx>
      <c:overlay val="0"/>
      <c:spPr>
        <a:noFill/>
        <a:ln w="0">
          <a:noFill/>
        </a:ln>
      </c:spPr>
    </c:title>
    <c:autoTitleDeleted val="0"/>
    <c:plotArea>
      <c:barChart>
        <c:barDir val="col"/>
        <c:grouping val="clustered"/>
        <c:varyColors val="0"/>
        <c:ser>
          <c:idx val="0"/>
          <c:order val="0"/>
          <c:tx>
            <c:strRef>
              <c:f>Summary!$J$18</c:f>
              <c:strCache>
                <c:ptCount val="1"/>
                <c:pt idx="0">
                  <c:v>Số TC</c:v>
                </c:pt>
              </c:strCache>
            </c:strRef>
          </c:tx>
          <c:spPr>
            <a:solidFill>
              <a:srgbClr val="548235"/>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Summary!$I$19:$I$22</c:f>
              <c:strCache>
                <c:ptCount val="4"/>
                <c:pt idx="0">
                  <c:v>Functional</c:v>
                </c:pt>
                <c:pt idx="1">
                  <c:v>UI</c:v>
                </c:pt>
                <c:pt idx="2">
                  <c:v>Integration</c:v>
                </c:pt>
                <c:pt idx="3">
                  <c:v>Database</c:v>
                </c:pt>
              </c:strCache>
            </c:strRef>
          </c:cat>
          <c:val>
            <c:numRef>
              <c:f>Summary!$J$19:$J$22</c:f>
              <c:numCache>
                <c:formatCode>0</c:formatCode>
                <c:ptCount val="4"/>
                <c:pt idx="0">
                  <c:v>216</c:v>
                </c:pt>
                <c:pt idx="1">
                  <c:v>130</c:v>
                </c:pt>
                <c:pt idx="2">
                  <c:v>1</c:v>
                </c:pt>
                <c:pt idx="3">
                  <c:v>0</c:v>
                </c:pt>
              </c:numCache>
            </c:numRef>
          </c:val>
        </c:ser>
        <c:gapWidth val="150"/>
        <c:overlap val="0"/>
        <c:axId val="81713016"/>
        <c:axId val="72909590"/>
      </c:barChart>
      <c:catAx>
        <c:axId val="81713016"/>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72909590"/>
        <c:crosses val="autoZero"/>
        <c:auto val="1"/>
        <c:lblAlgn val="ctr"/>
        <c:lblOffset val="100"/>
        <c:noMultiLvlLbl val="0"/>
      </c:catAx>
      <c:valAx>
        <c:axId val="72909590"/>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81713016"/>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Mức độ áp dụng SDLC (% trên tổng TC)</a:t>
            </a:r>
          </a:p>
        </c:rich>
      </c:tx>
      <c:overlay val="0"/>
      <c:spPr>
        <a:noFill/>
        <a:ln w="0">
          <a:noFill/>
        </a:ln>
      </c:spPr>
    </c:title>
    <c:autoTitleDeleted val="0"/>
    <c:plotArea>
      <c:barChart>
        <c:barDir val="bar"/>
        <c:grouping val="clustered"/>
        <c:varyColors val="0"/>
        <c:ser>
          <c:idx val="0"/>
          <c:order val="0"/>
          <c:spPr>
            <a:solidFill>
              <a:srgbClr val="548235"/>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Summary!$B$44:$B$49</c:f>
              <c:strCache>
                <c:ptCount val="6"/>
                <c:pt idx="0">
                  <c:v>TC do AI sinh (Origin=AI)</c:v>
                </c:pt>
                <c:pt idx="1">
                  <c:v>TC do QC viết (Origin=QC)</c:v>
                </c:pt>
                <c:pt idx="2">
                  <c:v>TC đã automation (Automated=Yes)</c:v>
                </c:pt>
                <c:pt idx="3">
                  <c:v>TC Vibe-test (Yes)</c:v>
                </c:pt>
                <c:pt idx="4">
                  <c:v>TC script auto chạy Pass</c:v>
                </c:pt>
                <c:pt idx="5">
                  <c:v>TC đã TL review</c:v>
                </c:pt>
              </c:strCache>
            </c:strRef>
          </c:cat>
          <c:val>
            <c:numRef>
              <c:f>Summary!$D$44:$D$49</c:f>
              <c:numCache>
                <c:formatCode>0.0%</c:formatCode>
                <c:ptCount val="6"/>
                <c:pt idx="0">
                  <c:v>1</c:v>
                </c:pt>
                <c:pt idx="1">
                  <c:v>0</c:v>
                </c:pt>
                <c:pt idx="2">
                  <c:v>0</c:v>
                </c:pt>
                <c:pt idx="3">
                  <c:v>0.244956772334294</c:v>
                </c:pt>
                <c:pt idx="4">
                  <c:v>0</c:v>
                </c:pt>
                <c:pt idx="5">
                  <c:v>0</c:v>
                </c:pt>
              </c:numCache>
            </c:numRef>
          </c:val>
        </c:ser>
        <c:gapWidth val="150"/>
        <c:overlap val="0"/>
        <c:axId val="58860570"/>
        <c:axId val="13655084"/>
      </c:barChart>
      <c:catAx>
        <c:axId val="58860570"/>
        <c:scaling>
          <c:orientation val="maxMin"/>
        </c:scaling>
        <c:delete val="0"/>
        <c:axPos val="b"/>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0%"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13655084"/>
        <c:crosses val="autoZero"/>
        <c:auto val="1"/>
        <c:lblAlgn val="ctr"/>
        <c:lblOffset val="100"/>
        <c:noMultiLvlLbl val="0"/>
      </c:catAx>
      <c:valAx>
        <c:axId val="13655084"/>
        <c:scaling>
          <c:orientation val="minMax"/>
          <c:max val="1"/>
        </c:scaling>
        <c:delete val="0"/>
        <c:axPos val="l"/>
        <c:majorGridlines>
          <c:spPr>
            <a:ln w="6480">
              <a:solidFill>
                <a:srgbClr val="B7B7B7"/>
              </a:solidFill>
              <a:round/>
            </a:ln>
          </c:spPr>
        </c:majorGridlines>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58860570"/>
        <c:crosses val="max"/>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1a. Bug Status theo nền tảng</a:t>
            </a:r>
          </a:p>
        </c:rich>
      </c:tx>
      <c:overlay val="0"/>
      <c:spPr>
        <a:noFill/>
        <a:ln w="0">
          <a:noFill/>
        </a:ln>
      </c:spPr>
    </c:title>
    <c:autoTitleDeleted val="0"/>
    <c:plotArea>
      <c:barChart>
        <c:barDir val="col"/>
        <c:grouping val="stacked"/>
        <c:varyColors val="0"/>
        <c:ser>
          <c:idx val="0"/>
          <c:order val="0"/>
          <c:tx>
            <c:strRef>
              <c:f>"Open"</c:f>
              <c:strCache>
                <c:ptCount val="1"/>
                <c:pt idx="0">
                  <c:v>Open</c:v>
                </c:pt>
              </c:strCache>
            </c:strRef>
          </c:tx>
          <c:spPr>
            <a:solidFill>
              <a:srgbClr val="ED7D31"/>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Test'!$B$18:$B$19</c:f>
              <c:strCache>
                <c:ptCount val="2"/>
                <c:pt idx="0">
                  <c:v>Web</c:v>
                </c:pt>
                <c:pt idx="1">
                  <c:v>Mobile</c:v>
                </c:pt>
              </c:strCache>
            </c:strRef>
          </c:cat>
          <c:val>
            <c:numRef>
              <c:f>'Report Test'!$C$18:$C$19</c:f>
              <c:numCache>
                <c:formatCode>0</c:formatCode>
                <c:ptCount val="2"/>
                <c:pt idx="0">
                  <c:v>1</c:v>
                </c:pt>
                <c:pt idx="1">
                  <c:v>4</c:v>
                </c:pt>
              </c:numCache>
            </c:numRef>
          </c:val>
        </c:ser>
        <c:ser>
          <c:idx val="1"/>
          <c:order val="1"/>
          <c:tx>
            <c:strRef>
              <c:f>"Cancel"</c:f>
              <c:strCache>
                <c:ptCount val="1"/>
                <c:pt idx="0">
                  <c:v>Cancel</c:v>
                </c:pt>
              </c:strCache>
            </c:strRef>
          </c:tx>
          <c:spPr>
            <a:solidFill>
              <a:srgbClr val="A6A6A6"/>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Test'!$B$18:$B$19</c:f>
              <c:strCache>
                <c:ptCount val="2"/>
                <c:pt idx="0">
                  <c:v>Web</c:v>
                </c:pt>
                <c:pt idx="1">
                  <c:v>Mobile</c:v>
                </c:pt>
              </c:strCache>
            </c:strRef>
          </c:cat>
          <c:val>
            <c:numRef>
              <c:f>'Report Test'!$D$18:$D$19</c:f>
              <c:numCache>
                <c:formatCode>0</c:formatCode>
                <c:ptCount val="2"/>
                <c:pt idx="0">
                  <c:v>0</c:v>
                </c:pt>
                <c:pt idx="1">
                  <c:v>1</c:v>
                </c:pt>
              </c:numCache>
            </c:numRef>
          </c:val>
        </c:ser>
        <c:ser>
          <c:idx val="2"/>
          <c:order val="2"/>
          <c:tx>
            <c:strRef>
              <c:f>"Pending"</c:f>
              <c:strCache>
                <c:ptCount val="1"/>
                <c:pt idx="0">
                  <c:v>Pending</c:v>
                </c:pt>
              </c:strCache>
            </c:strRef>
          </c:tx>
          <c:spPr>
            <a:solidFill>
              <a:srgbClr val="FFC000"/>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Test'!$B$18:$B$19</c:f>
              <c:strCache>
                <c:ptCount val="2"/>
                <c:pt idx="0">
                  <c:v>Web</c:v>
                </c:pt>
                <c:pt idx="1">
                  <c:v>Mobile</c:v>
                </c:pt>
              </c:strCache>
            </c:strRef>
          </c:cat>
          <c:val>
            <c:numRef>
              <c:f>'Report Test'!$E$18:$E$19</c:f>
              <c:numCache>
                <c:formatCode>0</c:formatCode>
                <c:ptCount val="2"/>
                <c:pt idx="0">
                  <c:v>0</c:v>
                </c:pt>
                <c:pt idx="1">
                  <c:v>2</c:v>
                </c:pt>
              </c:numCache>
            </c:numRef>
          </c:val>
        </c:ser>
        <c:ser>
          <c:idx val="3"/>
          <c:order val="3"/>
          <c:tx>
            <c:strRef>
              <c:f>"Done"</c:f>
              <c:strCache>
                <c:ptCount val="1"/>
                <c:pt idx="0">
                  <c:v>Done</c:v>
                </c:pt>
              </c:strCache>
            </c:strRef>
          </c:tx>
          <c:spPr>
            <a:solidFill>
              <a:srgbClr val="70AD47"/>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Test'!$B$18:$B$19</c:f>
              <c:strCache>
                <c:ptCount val="2"/>
                <c:pt idx="0">
                  <c:v>Web</c:v>
                </c:pt>
                <c:pt idx="1">
                  <c:v>Mobile</c:v>
                </c:pt>
              </c:strCache>
            </c:strRef>
          </c:cat>
          <c:val>
            <c:numRef>
              <c:f>'Report Test'!$F$18:$F$19</c:f>
              <c:numCache>
                <c:formatCode>0</c:formatCode>
                <c:ptCount val="2"/>
                <c:pt idx="0">
                  <c:v>6</c:v>
                </c:pt>
                <c:pt idx="1">
                  <c:v>0</c:v>
                </c:pt>
              </c:numCache>
            </c:numRef>
          </c:val>
        </c:ser>
        <c:gapWidth val="150"/>
        <c:overlap val="100"/>
        <c:axId val="48599615"/>
        <c:axId val="50430450"/>
      </c:barChart>
      <c:catAx>
        <c:axId val="4859961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Calibri"/>
                  </a:rPr>
                  <a:t>Nền tảng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50430450"/>
        <c:crosses val="autoZero"/>
        <c:auto val="1"/>
        <c:lblAlgn val="ctr"/>
        <c:lblOffset val="100"/>
        <c:noMultiLvlLbl val="0"/>
      </c:catAx>
      <c:valAx>
        <c:axId val="50430450"/>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4859961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2. Coverage theo chức năng</a:t>
            </a:r>
          </a:p>
        </c:rich>
      </c:tx>
      <c:overlay val="0"/>
      <c:spPr>
        <a:noFill/>
        <a:ln w="0">
          <a:noFill/>
        </a:ln>
      </c:spPr>
    </c:title>
    <c:autoTitleDeleted val="0"/>
    <c:plotArea>
      <c:barChart>
        <c:barDir val="col"/>
        <c:grouping val="clustered"/>
        <c:varyColors val="0"/>
        <c:ser>
          <c:idx val="0"/>
          <c:order val="0"/>
          <c:tx>
            <c:strRef>
              <c:f>"Total TC"</c:f>
              <c:strCache>
                <c:ptCount val="1"/>
                <c:pt idx="0">
                  <c:v>Total TC</c:v>
                </c:pt>
              </c:strCache>
            </c:strRef>
          </c:tx>
          <c:spPr>
            <a:solidFill>
              <a:srgbClr val="A8D08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Test'!$C$59:$C$61</c:f>
              <c:strCache>
                <c:ptCount val="3"/>
                <c:pt idx="0">
                  <c:v>Hoạt động (Đơn của tôi)</c:v>
                </c:pt>
                <c:pt idx="1">
                  <c:v>Cá nhân</c:v>
                </c:pt>
                <c:pt idx="2">
                  <c:v>Thông báo</c:v>
                </c:pt>
              </c:strCache>
            </c:strRef>
          </c:cat>
          <c:val>
            <c:numRef>
              <c:f>'Report Test'!$D$59:$D$61</c:f>
              <c:numCache>
                <c:formatCode>0</c:formatCode>
                <c:ptCount val="3"/>
                <c:pt idx="0">
                  <c:v>21</c:v>
                </c:pt>
                <c:pt idx="1">
                  <c:v>17</c:v>
                </c:pt>
                <c:pt idx="2">
                  <c:v>39</c:v>
                </c:pt>
              </c:numCache>
            </c:numRef>
          </c:val>
        </c:ser>
        <c:ser>
          <c:idx val="1"/>
          <c:order val="1"/>
          <c:tx>
            <c:strRef>
              <c:f>"Executed TC"</c:f>
              <c:strCache>
                <c:ptCount val="1"/>
                <c:pt idx="0">
                  <c:v>Executed TC</c:v>
                </c:pt>
              </c:strCache>
            </c:strRef>
          </c:tx>
          <c:spPr>
            <a:solidFill>
              <a:srgbClr val="ED7D31"/>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Test'!$C$59:$C$61</c:f>
              <c:strCache>
                <c:ptCount val="3"/>
                <c:pt idx="0">
                  <c:v>Hoạt động (Đơn của tôi)</c:v>
                </c:pt>
                <c:pt idx="1">
                  <c:v>Cá nhân</c:v>
                </c:pt>
                <c:pt idx="2">
                  <c:v>Thông báo</c:v>
                </c:pt>
              </c:strCache>
            </c:strRef>
          </c:cat>
          <c:val>
            <c:numRef>
              <c:f>'Report Test'!$E$59:$E$61</c:f>
              <c:numCache>
                <c:formatCode>0</c:formatCode>
                <c:ptCount val="3"/>
                <c:pt idx="0">
                  <c:v>21</c:v>
                </c:pt>
                <c:pt idx="1">
                  <c:v>17</c:v>
                </c:pt>
                <c:pt idx="2">
                  <c:v>39</c:v>
                </c:pt>
              </c:numCache>
            </c:numRef>
          </c:val>
        </c:ser>
        <c:gapWidth val="150"/>
        <c:overlap val="0"/>
        <c:axId val="27515359"/>
        <c:axId val="59723539"/>
      </c:barChart>
      <c:catAx>
        <c:axId val="2751535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Calibri"/>
                  </a:rPr>
                  <a:t>Chức năng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59723539"/>
        <c:crosses val="autoZero"/>
        <c:auto val="1"/>
        <c:lblAlgn val="ctr"/>
        <c:lblOffset val="100"/>
        <c:noMultiLvlLbl val="0"/>
      </c:catAx>
      <c:valAx>
        <c:axId val="59723539"/>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2751535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3. Bug Severity (% theo mức độ)</a:t>
            </a:r>
          </a:p>
        </c:rich>
      </c:tx>
      <c:overlay val="0"/>
      <c:spPr>
        <a:noFill/>
        <a:ln w="0">
          <a:noFill/>
        </a:ln>
      </c:spPr>
    </c:title>
    <c:autoTitleDeleted val="0"/>
    <c:plotArea>
      <c:pieChart>
        <c:varyColors val="1"/>
        <c:ser>
          <c:idx val="0"/>
          <c:order val="0"/>
          <c:tx>
            <c:strRef>
              <c:f>'Report Test'!$C$100</c:f>
              <c:strCache>
                <c:ptCount val="1"/>
                <c:pt idx="0">
                  <c:v>Số lượng</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'Report Test'!$B$101:$B$104</c:f>
              <c:strCache>
                <c:ptCount val="4"/>
                <c:pt idx="0">
                  <c:v>Critical Bug</c:v>
                </c:pt>
                <c:pt idx="1">
                  <c:v>Major Bug</c:v>
                </c:pt>
                <c:pt idx="2">
                  <c:v>Medium Bug</c:v>
                </c:pt>
                <c:pt idx="3">
                  <c:v>Low Bug</c:v>
                </c:pt>
              </c:strCache>
            </c:strRef>
          </c:cat>
          <c:val>
            <c:numRef>
              <c:f>'Report Test'!$C$101:$C$104</c:f>
              <c:numCache>
                <c:formatCode>0</c:formatCode>
                <c:ptCount val="4"/>
                <c:pt idx="0">
                  <c:v>3</c:v>
                </c:pt>
                <c:pt idx="1">
                  <c:v>6</c:v>
                </c:pt>
                <c:pt idx="2">
                  <c:v>5</c:v>
                </c:pt>
                <c:pt idx="3">
                  <c:v>2</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2b. Kết quả thực thi TC (%)</a:t>
            </a:r>
          </a:p>
        </c:rich>
      </c:tx>
      <c:overlay val="0"/>
      <c:spPr>
        <a:noFill/>
        <a:ln w="0">
          <a:noFill/>
        </a:ln>
      </c:spPr>
    </c:title>
    <c:autoTitleDeleted val="0"/>
    <c:plotArea>
      <c:pieChart>
        <c:varyColors val="1"/>
        <c:ser>
          <c:idx val="0"/>
          <c:order val="0"/>
          <c:tx>
            <c:strRef>
              <c:f>'Report Test'!$C$83</c:f>
              <c:strCache>
                <c:ptCount val="1"/>
                <c:pt idx="0">
                  <c:v>Số lượng</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'Report Test'!$B$84:$B$88</c:f>
              <c:strCache>
                <c:ptCount val="5"/>
                <c:pt idx="0">
                  <c:v>Pass</c:v>
                </c:pt>
                <c:pt idx="1">
                  <c:v>Fail</c:v>
                </c:pt>
                <c:pt idx="2">
                  <c:v>Block</c:v>
                </c:pt>
                <c:pt idx="3">
                  <c:v>N/A</c:v>
                </c:pt>
                <c:pt idx="4">
                  <c:v>Chưa thực hiện</c:v>
                </c:pt>
              </c:strCache>
            </c:strRef>
          </c:cat>
          <c:val>
            <c:numRef>
              <c:f>'Report Test'!$C$84:$C$88</c:f>
              <c:numCache>
                <c:formatCode>0</c:formatCode>
                <c:ptCount val="5"/>
                <c:pt idx="0">
                  <c:v>38</c:v>
                </c:pt>
                <c:pt idx="1">
                  <c:v>7</c:v>
                </c:pt>
                <c:pt idx="2">
                  <c:v>40</c:v>
                </c:pt>
                <c:pt idx="3">
                  <c:v>0</c:v>
                </c:pt>
                <c:pt idx="4">
                  <c:v>262</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4. Bug Resolution (%)</a:t>
            </a:r>
          </a:p>
        </c:rich>
      </c:tx>
      <c:overlay val="0"/>
      <c:spPr>
        <a:noFill/>
        <a:ln w="0">
          <a:noFill/>
        </a:ln>
      </c:spPr>
    </c:title>
    <c:autoTitleDeleted val="0"/>
    <c:plotArea>
      <c:pieChart>
        <c:varyColors val="1"/>
        <c:ser>
          <c:idx val="0"/>
          <c:order val="0"/>
          <c:tx>
            <c:strRef>
              <c:f>'Report Test'!$C$118</c:f>
              <c:strCache>
                <c:ptCount val="1"/>
                <c:pt idx="0">
                  <c:v>Số lượng</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'Report Test'!$B$119:$B$120</c:f>
              <c:strCache>
                <c:ptCount val="2"/>
                <c:pt idx="0">
                  <c:v>Fixed</c:v>
                </c:pt>
                <c:pt idx="1">
                  <c:v>Won't fix</c:v>
                </c:pt>
              </c:strCache>
            </c:strRef>
          </c:cat>
          <c:val>
            <c:numRef>
              <c:f>'Report Test'!$C$119:$C$120</c:f>
              <c:numCache>
                <c:formatCode>0</c:formatCode>
                <c:ptCount val="2"/>
                <c:pt idx="0">
                  <c:v>6</c:v>
                </c:pt>
                <c:pt idx="1">
                  <c:v>2</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5. Bug Won't fix theo Lý do</a:t>
            </a:r>
          </a:p>
        </c:rich>
      </c:tx>
      <c:overlay val="0"/>
      <c:spPr>
        <a:noFill/>
        <a:ln w="0">
          <a:noFill/>
        </a:ln>
      </c:spPr>
    </c:title>
    <c:autoTitleDeleted val="0"/>
    <c:plotArea>
      <c:barChart>
        <c:barDir val="col"/>
        <c:grouping val="clustered"/>
        <c:varyColors val="0"/>
        <c:ser>
          <c:idx val="0"/>
          <c:order val="0"/>
          <c:tx>
            <c:strRef>
              <c:f>"Số lượng"</c:f>
              <c:strCache>
                <c:ptCount val="1"/>
                <c:pt idx="0">
                  <c:v>Số lượng</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Test'!$B$135:$B$144</c:f>
              <c:strCache>
                <c:ptCount val="10"/>
                <c:pt idx="0">
                  <c:v>1.1</c:v>
                </c:pt>
                <c:pt idx="1">
                  <c:v>1.2</c:v>
                </c:pt>
                <c:pt idx="2">
                  <c:v>1.3</c:v>
                </c:pt>
                <c:pt idx="3">
                  <c:v>2.1</c:v>
                </c:pt>
                <c:pt idx="4">
                  <c:v>2.2</c:v>
                </c:pt>
                <c:pt idx="5">
                  <c:v>3.1</c:v>
                </c:pt>
                <c:pt idx="6">
                  <c:v>3.2</c:v>
                </c:pt>
                <c:pt idx="7">
                  <c:v>3.3</c:v>
                </c:pt>
                <c:pt idx="8">
                  <c:v>3.4</c:v>
                </c:pt>
                <c:pt idx="9">
                  <c:v>4.1</c:v>
                </c:pt>
              </c:strCache>
            </c:strRef>
          </c:cat>
          <c:val>
            <c:numRef>
              <c:f>'Report Test'!$E$135:$E$144</c:f>
              <c:numCache>
                <c:formatCode>0</c:formatCode>
                <c:ptCount val="10"/>
                <c:pt idx="0">
                  <c:v>0</c:v>
                </c:pt>
                <c:pt idx="1">
                  <c:v>0</c:v>
                </c:pt>
                <c:pt idx="2">
                  <c:v>1</c:v>
                </c:pt>
                <c:pt idx="3">
                  <c:v>0</c:v>
                </c:pt>
                <c:pt idx="4">
                  <c:v>0</c:v>
                </c:pt>
                <c:pt idx="5">
                  <c:v>0</c:v>
                </c:pt>
                <c:pt idx="6">
                  <c:v>1</c:v>
                </c:pt>
                <c:pt idx="7">
                  <c:v>0</c:v>
                </c:pt>
                <c:pt idx="8">
                  <c:v>0</c:v>
                </c:pt>
                <c:pt idx="9">
                  <c:v>0</c:v>
                </c:pt>
              </c:numCache>
            </c:numRef>
          </c:val>
        </c:ser>
        <c:gapWidth val="150"/>
        <c:overlap val="0"/>
        <c:axId val="60692639"/>
        <c:axId val="88637665"/>
      </c:barChart>
      <c:catAx>
        <c:axId val="60692639"/>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88637665"/>
        <c:crosses val="autoZero"/>
        <c:auto val="1"/>
        <c:lblAlgn val="ctr"/>
        <c:lblOffset val="100"/>
        <c:noMultiLvlLbl val="0"/>
      </c:catAx>
      <c:valAx>
        <c:axId val="88637665"/>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60692639"/>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6. Defect Type</a:t>
            </a:r>
          </a:p>
        </c:rich>
      </c:tx>
      <c:overlay val="0"/>
      <c:spPr>
        <a:noFill/>
        <a:ln w="0">
          <a:noFill/>
        </a:ln>
      </c:spPr>
    </c:title>
    <c:autoTitleDeleted val="0"/>
    <c:plotArea>
      <c:barChart>
        <c:barDir val="col"/>
        <c:grouping val="clustered"/>
        <c:varyColors val="0"/>
        <c:ser>
          <c:idx val="0"/>
          <c:order val="0"/>
          <c:tx>
            <c:strRef>
              <c:f>"SL"</c:f>
              <c:strCache>
                <c:ptCount val="1"/>
                <c:pt idx="0">
                  <c:v>SL</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Test'!$B$151:$B$156</c:f>
              <c:strCache>
                <c:ptCount val="6"/>
                <c:pt idx="0">
                  <c:v>Data</c:v>
                </c:pt>
                <c:pt idx="1">
                  <c:v>Interface</c:v>
                </c:pt>
                <c:pt idx="2">
                  <c:v>Logic</c:v>
                </c:pt>
                <c:pt idx="3">
                  <c:v>Requirement</c:v>
                </c:pt>
                <c:pt idx="4">
                  <c:v>Server</c:v>
                </c:pt>
                <c:pt idx="5">
                  <c:v>Other</c:v>
                </c:pt>
              </c:strCache>
            </c:strRef>
          </c:cat>
          <c:val>
            <c:numRef>
              <c:f>'Report Test'!$C$151:$C$156</c:f>
              <c:numCache>
                <c:formatCode>0</c:formatCode>
                <c:ptCount val="6"/>
                <c:pt idx="0">
                  <c:v>2</c:v>
                </c:pt>
                <c:pt idx="1">
                  <c:v>5</c:v>
                </c:pt>
                <c:pt idx="2">
                  <c:v>5</c:v>
                </c:pt>
                <c:pt idx="3">
                  <c:v>0</c:v>
                </c:pt>
                <c:pt idx="4">
                  <c:v>3</c:v>
                </c:pt>
                <c:pt idx="5">
                  <c:v>1</c:v>
                </c:pt>
              </c:numCache>
            </c:numRef>
          </c:val>
        </c:ser>
        <c:gapWidth val="150"/>
        <c:overlap val="0"/>
        <c:axId val="85827863"/>
        <c:axId val="16976793"/>
      </c:barChart>
      <c:catAx>
        <c:axId val="85827863"/>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16976793"/>
        <c:crosses val="autoZero"/>
        <c:auto val="1"/>
        <c:lblAlgn val="ctr"/>
        <c:lblOffset val="100"/>
        <c:noMultiLvlLbl val="0"/>
      </c:catAx>
      <c:valAx>
        <c:axId val="16976793"/>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85827863"/>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7. Effect</a:t>
            </a:r>
          </a:p>
        </c:rich>
      </c:tx>
      <c:overlay val="0"/>
      <c:spPr>
        <a:noFill/>
        <a:ln w="0">
          <a:noFill/>
        </a:ln>
      </c:spPr>
    </c:title>
    <c:autoTitleDeleted val="0"/>
    <c:plotArea>
      <c:barChart>
        <c:barDir val="col"/>
        <c:grouping val="clustered"/>
        <c:varyColors val="0"/>
        <c:ser>
          <c:idx val="0"/>
          <c:order val="0"/>
          <c:tx>
            <c:strRef>
              <c:f>"SL"</c:f>
              <c:strCache>
                <c:ptCount val="1"/>
                <c:pt idx="0">
                  <c:v>SL</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Test'!$B$167:$B$171</c:f>
              <c:strCache>
                <c:ptCount val="5"/>
                <c:pt idx="0">
                  <c:v>Functionality</c:v>
                </c:pt>
                <c:pt idx="1">
                  <c:v>Performance</c:v>
                </c:pt>
                <c:pt idx="2">
                  <c:v>Security</c:v>
                </c:pt>
                <c:pt idx="3">
                  <c:v>Serviceability</c:v>
                </c:pt>
                <c:pt idx="4">
                  <c:v>Usability</c:v>
                </c:pt>
              </c:strCache>
            </c:strRef>
          </c:cat>
          <c:val>
            <c:numRef>
              <c:f>'Report Test'!$C$167:$C$171</c:f>
              <c:numCache>
                <c:formatCode>0</c:formatCode>
                <c:ptCount val="5"/>
                <c:pt idx="0">
                  <c:v>6</c:v>
                </c:pt>
                <c:pt idx="1">
                  <c:v>2</c:v>
                </c:pt>
                <c:pt idx="2">
                  <c:v>2</c:v>
                </c:pt>
                <c:pt idx="3">
                  <c:v>1</c:v>
                </c:pt>
                <c:pt idx="4">
                  <c:v>5</c:v>
                </c:pt>
              </c:numCache>
            </c:numRef>
          </c:val>
        </c:ser>
        <c:gapWidth val="150"/>
        <c:overlap val="0"/>
        <c:axId val="96253000"/>
        <c:axId val="79078810"/>
      </c:barChart>
      <c:catAx>
        <c:axId val="96253000"/>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79078810"/>
        <c:crosses val="autoZero"/>
        <c:auto val="1"/>
        <c:lblAlgn val="ctr"/>
        <c:lblOffset val="100"/>
        <c:noMultiLvlLbl val="0"/>
      </c:catAx>
      <c:valAx>
        <c:axId val="79078810"/>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96253000"/>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8. Bug Rework</a:t>
            </a:r>
          </a:p>
        </c:rich>
      </c:tx>
      <c:overlay val="0"/>
      <c:spPr>
        <a:noFill/>
        <a:ln w="0">
          <a:noFill/>
        </a:ln>
      </c:spPr>
    </c:title>
    <c:autoTitleDeleted val="0"/>
    <c:plotArea>
      <c:barChart>
        <c:barDir val="col"/>
        <c:grouping val="clustered"/>
        <c:varyColors val="0"/>
        <c:ser>
          <c:idx val="0"/>
          <c:order val="0"/>
          <c:tx>
            <c:strRef>
              <c:f>"SL"</c:f>
              <c:strCache>
                <c:ptCount val="1"/>
                <c:pt idx="0">
                  <c:v>SL</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Test'!$B$183:$B$186</c:f>
              <c:strCache>
                <c:ptCount val="4"/>
                <c:pt idx="0">
                  <c:v>1-2 lần</c:v>
                </c:pt>
                <c:pt idx="1">
                  <c:v>3-5 lần</c:v>
                </c:pt>
                <c:pt idx="2">
                  <c:v>6-7 lần</c:v>
                </c:pt>
                <c:pt idx="3">
                  <c:v>8-10 lần</c:v>
                </c:pt>
              </c:strCache>
            </c:strRef>
          </c:cat>
          <c:val>
            <c:numRef>
              <c:f>'Report Test'!$C$183:$C$186</c:f>
              <c:numCache>
                <c:formatCode>0</c:formatCode>
                <c:ptCount val="4"/>
                <c:pt idx="0">
                  <c:v>13</c:v>
                </c:pt>
                <c:pt idx="1">
                  <c:v>3</c:v>
                </c:pt>
                <c:pt idx="2">
                  <c:v>0</c:v>
                </c:pt>
                <c:pt idx="3">
                  <c:v>0</c:v>
                </c:pt>
              </c:numCache>
            </c:numRef>
          </c:val>
        </c:ser>
        <c:gapWidth val="150"/>
        <c:overlap val="0"/>
        <c:axId val="11371968"/>
        <c:axId val="48248357"/>
      </c:barChart>
      <c:catAx>
        <c:axId val="11371968"/>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48248357"/>
        <c:crosses val="autoZero"/>
        <c:auto val="1"/>
        <c:lblAlgn val="ctr"/>
        <c:lblOffset val="100"/>
        <c:noMultiLvlLbl val="0"/>
      </c:catAx>
      <c:valAx>
        <c:axId val="48248357"/>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11371968"/>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1b. Tỷ lệ Bug theo chức năng (%)</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Pt>
            <c:idx val="6"/>
            <c:spPr>
              <a:solidFill>
                <a:srgbClr val="84A7D1"/>
              </a:solidFill>
              <a:ln w="0">
                <a:noFill/>
              </a:ln>
            </c:spPr>
          </c:dPt>
          <c:dPt>
            <c:idx val="7"/>
            <c:spPr>
              <a:solidFill>
                <a:srgbClr val="D38582"/>
              </a:solidFill>
              <a:ln w="0">
                <a:noFill/>
              </a:ln>
            </c:spPr>
          </c:dPt>
          <c:dPt>
            <c:idx val="8"/>
            <c:spPr>
              <a:solidFill>
                <a:srgbClr val="B9CF8B"/>
              </a:solidFill>
              <a:ln w="0">
                <a:noFill/>
              </a:ln>
            </c:spPr>
          </c:dPt>
          <c:dPt>
            <c:idx val="9"/>
            <c:spPr>
              <a:solidFill>
                <a:srgbClr val="A693BE"/>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8"/>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9"/>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'Report Test'!$C$42:$C$51</c:f>
              <c:strCache>
                <c:ptCount val="10"/>
                <c:pt idx="0">
                  <c:v>Function A</c:v>
                </c:pt>
                <c:pt idx="1">
                  <c:v>Function B</c:v>
                </c:pt>
                <c:pt idx="2">
                  <c:v>Function C</c:v>
                </c:pt>
                <c:pt idx="3">
                  <c:v/>
                </c:pt>
                <c:pt idx="4">
                  <c:v/>
                </c:pt>
                <c:pt idx="5">
                  <c:v/>
                </c:pt>
                <c:pt idx="6">
                  <c:v/>
                </c:pt>
                <c:pt idx="7">
                  <c:v/>
                </c:pt>
                <c:pt idx="8">
                  <c:v/>
                </c:pt>
                <c:pt idx="9">
                  <c:v/>
                </c:pt>
              </c:strCache>
            </c:strRef>
          </c:cat>
          <c:val>
            <c:numRef>
              <c:f>'Report Test'!$H$42:$H$51</c:f>
              <c:numCache>
                <c:formatCode>0</c:formatCode>
                <c:ptCount val="10"/>
                <c:pt idx="0">
                  <c:v>5</c:v>
                </c:pt>
                <c:pt idx="1">
                  <c:v>4</c:v>
                </c:pt>
                <c:pt idx="2">
                  <c:v>4</c:v>
                </c:pt>
                <c:pt idx="3">
                  <c:v>0</c:v>
                </c:pt>
                <c:pt idx="4">
                  <c:v>0</c:v>
                </c:pt>
                <c:pt idx="5">
                  <c:v>0</c:v>
                </c:pt>
                <c:pt idx="6">
                  <c:v>0</c:v>
                </c:pt>
                <c:pt idx="7">
                  <c:v>0</c:v>
                </c:pt>
                <c:pt idx="8">
                  <c:v>0</c:v>
                </c:pt>
                <c:pt idx="9">
                  <c:v>0</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Mức độ áp dụng SDLC / Automation (%)</a:t>
            </a:r>
          </a:p>
        </c:rich>
      </c:tx>
      <c:overlay val="0"/>
      <c:spPr>
        <a:noFill/>
        <a:ln w="0">
          <a:noFill/>
        </a:ln>
      </c:spPr>
    </c:title>
    <c:autoTitleDeleted val="0"/>
    <c:plotArea>
      <c:barChart>
        <c:barDir val="bar"/>
        <c:grouping val="clustered"/>
        <c:varyColors val="0"/>
        <c:ser>
          <c:idx val="0"/>
          <c:order val="0"/>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Test'!$B$200:$B$205</c:f>
              <c:strCache>
                <c:ptCount val="6"/>
                <c:pt idx="0">
                  <c:v>TC sinh bởi AI (AI-generated)</c:v>
                </c:pt>
                <c:pt idx="1">
                  <c:v>TC do QC viết tay</c:v>
                </c:pt>
                <c:pt idx="2">
                  <c:v>TC đã automation (có script)</c:v>
                </c:pt>
                <c:pt idx="3">
                  <c:v>TC Vibe-test</c:v>
                </c:pt>
                <c:pt idx="4">
                  <c:v>TC đã QC review</c:v>
                </c:pt>
                <c:pt idx="5">
                  <c:v>TC script auto chạy Pass</c:v>
                </c:pt>
              </c:strCache>
            </c:strRef>
          </c:cat>
          <c:val>
            <c:numRef>
              <c:f>'Report Test'!$D$200:$D$205</c:f>
              <c:numCache>
                <c:formatCode>0.0%</c:formatCode>
                <c:ptCount val="6"/>
                <c:pt idx="0">
                  <c:v>1</c:v>
                </c:pt>
                <c:pt idx="1">
                  <c:v>0</c:v>
                </c:pt>
                <c:pt idx="2">
                  <c:v>0</c:v>
                </c:pt>
                <c:pt idx="3">
                  <c:v>0.244956772334294</c:v>
                </c:pt>
                <c:pt idx="4">
                  <c:v>0</c:v>
                </c:pt>
                <c:pt idx="5">
                  <c:v>0</c:v>
                </c:pt>
              </c:numCache>
            </c:numRef>
          </c:val>
        </c:ser>
        <c:gapWidth val="150"/>
        <c:overlap val="0"/>
        <c:axId val="27971292"/>
        <c:axId val="89710476"/>
      </c:barChart>
      <c:catAx>
        <c:axId val="27971292"/>
        <c:scaling>
          <c:orientation val="maxMin"/>
        </c:scaling>
        <c:delete val="0"/>
        <c:axPos val="b"/>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0%"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89710476"/>
        <c:crosses val="autoZero"/>
        <c:auto val="1"/>
        <c:lblAlgn val="ctr"/>
        <c:lblOffset val="100"/>
        <c:noMultiLvlLbl val="0"/>
      </c:catAx>
      <c:valAx>
        <c:axId val="89710476"/>
        <c:scaling>
          <c:orientation val="minMax"/>
        </c:scaling>
        <c:delete val="0"/>
        <c:axPos val="l"/>
        <c:majorGridlines>
          <c:spPr>
            <a:ln w="6480">
              <a:solidFill>
                <a:srgbClr val="B7B7B7"/>
              </a:solidFill>
              <a:round/>
            </a:ln>
          </c:spPr>
        </c:majorGridlines>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27971292"/>
        <c:crosses val="max"/>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Pass / Fail theo Round</a:t>
            </a:r>
          </a:p>
        </c:rich>
      </c:tx>
      <c:overlay val="0"/>
      <c:spPr>
        <a:noFill/>
        <a:ln w="0">
          <a:noFill/>
        </a:ln>
      </c:spPr>
    </c:title>
    <c:autoTitleDeleted val="0"/>
    <c:plotArea>
      <c:barChart>
        <c:barDir val="col"/>
        <c:grouping val="clustered"/>
        <c:varyColors val="0"/>
        <c:ser>
          <c:idx val="0"/>
          <c:order val="0"/>
          <c:tx>
            <c:strRef>
              <c:f>'Report Test'!$F$217</c:f>
              <c:strCache>
                <c:ptCount val="1"/>
                <c:pt idx="0">
                  <c:v>Pass</c:v>
                </c:pt>
              </c:strCache>
            </c:strRef>
          </c:tx>
          <c:spPr>
            <a:solidFill>
              <a:srgbClr val="4472C4"/>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Test'!$B$218:$B$220</c:f>
              <c:strCache>
                <c:ptCount val="3"/>
                <c:pt idx="0">
                  <c:v>Round 1</c:v>
                </c:pt>
                <c:pt idx="1">
                  <c:v>Round 2</c:v>
                </c:pt>
                <c:pt idx="2">
                  <c:v>Round 3</c:v>
                </c:pt>
              </c:strCache>
            </c:strRef>
          </c:cat>
          <c:val>
            <c:numRef>
              <c:f>'Report Test'!$F$218:$F$220</c:f>
              <c:numCache>
                <c:formatCode>0</c:formatCode>
                <c:ptCount val="3"/>
                <c:pt idx="0">
                  <c:v>34</c:v>
                </c:pt>
                <c:pt idx="1">
                  <c:v>8</c:v>
                </c:pt>
                <c:pt idx="2">
                  <c:v>4</c:v>
                </c:pt>
              </c:numCache>
            </c:numRef>
          </c:val>
        </c:ser>
        <c:ser>
          <c:idx val="1"/>
          <c:order val="1"/>
          <c:tx>
            <c:strRef>
              <c:f>'Report Test'!$G$217</c:f>
              <c:strCache>
                <c:ptCount val="1"/>
                <c:pt idx="0">
                  <c:v>Fail</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Test'!$B$218:$B$220</c:f>
              <c:strCache>
                <c:ptCount val="3"/>
                <c:pt idx="0">
                  <c:v>Round 1</c:v>
                </c:pt>
                <c:pt idx="1">
                  <c:v>Round 2</c:v>
                </c:pt>
                <c:pt idx="2">
                  <c:v>Round 3</c:v>
                </c:pt>
              </c:strCache>
            </c:strRef>
          </c:cat>
          <c:val>
            <c:numRef>
              <c:f>'Report Test'!$G$218:$G$220</c:f>
              <c:numCache>
                <c:formatCode>0</c:formatCode>
                <c:ptCount val="3"/>
                <c:pt idx="0">
                  <c:v>8</c:v>
                </c:pt>
                <c:pt idx="1">
                  <c:v>3</c:v>
                </c:pt>
                <c:pt idx="2">
                  <c:v>3</c:v>
                </c:pt>
              </c:numCache>
            </c:numRef>
          </c:val>
        </c:ser>
        <c:gapWidth val="150"/>
        <c:overlap val="0"/>
        <c:axId val="49553271"/>
        <c:axId val="97811345"/>
      </c:barChart>
      <c:catAx>
        <c:axId val="49553271"/>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97811345"/>
        <c:crosses val="autoZero"/>
        <c:auto val="1"/>
        <c:lblAlgn val="ctr"/>
        <c:lblOffset val="100"/>
        <c:noMultiLvlLbl val="0"/>
      </c:catAx>
      <c:valAx>
        <c:axId val="97811345"/>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0"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4955327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Bug phát hiện vs đã đóng theo Round</a:t>
            </a:r>
          </a:p>
        </c:rich>
      </c:tx>
      <c:overlay val="0"/>
      <c:spPr>
        <a:noFill/>
        <a:ln w="0">
          <a:noFill/>
        </a:ln>
      </c:spPr>
    </c:title>
    <c:autoTitleDeleted val="0"/>
    <c:plotArea>
      <c:barChart>
        <c:barDir val="col"/>
        <c:grouping val="clustered"/>
        <c:varyColors val="0"/>
        <c:ser>
          <c:idx val="0"/>
          <c:order val="0"/>
          <c:tx>
            <c:strRef>
              <c:f>'Report Test'!$C$226</c:f>
              <c:strCache>
                <c:ptCount val="1"/>
                <c:pt idx="0">
                  <c:v>Phát hiện</c:v>
                </c:pt>
              </c:strCache>
            </c:strRef>
          </c:tx>
          <c:spPr>
            <a:solidFill>
              <a:srgbClr val="4472C4"/>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Test'!$B$227:$B$229</c:f>
              <c:strCache>
                <c:ptCount val="3"/>
                <c:pt idx="0">
                  <c:v>1</c:v>
                </c:pt>
                <c:pt idx="1">
                  <c:v>2</c:v>
                </c:pt>
                <c:pt idx="2">
                  <c:v>3</c:v>
                </c:pt>
              </c:strCache>
            </c:strRef>
          </c:cat>
          <c:val>
            <c:numRef>
              <c:f>'Report Test'!$C$227:$C$229</c:f>
              <c:numCache>
                <c:formatCode>General</c:formatCode>
                <c:ptCount val="3"/>
                <c:pt idx="0">
                  <c:v>11</c:v>
                </c:pt>
                <c:pt idx="1">
                  <c:v>3</c:v>
                </c:pt>
                <c:pt idx="2">
                  <c:v>2</c:v>
                </c:pt>
              </c:numCache>
            </c:numRef>
          </c:val>
        </c:ser>
        <c:ser>
          <c:idx val="1"/>
          <c:order val="1"/>
          <c:tx>
            <c:strRef>
              <c:f>'Report Test'!$D$226</c:f>
              <c:strCache>
                <c:ptCount val="1"/>
                <c:pt idx="0">
                  <c:v>Đã đóng</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Test'!$B$227:$B$229</c:f>
              <c:strCache>
                <c:ptCount val="3"/>
                <c:pt idx="0">
                  <c:v>1</c:v>
                </c:pt>
                <c:pt idx="1">
                  <c:v>2</c:v>
                </c:pt>
                <c:pt idx="2">
                  <c:v>3</c:v>
                </c:pt>
              </c:strCache>
            </c:strRef>
          </c:cat>
          <c:val>
            <c:numRef>
              <c:f>'Report Test'!$D$227:$D$229</c:f>
              <c:numCache>
                <c:formatCode>General</c:formatCode>
                <c:ptCount val="3"/>
                <c:pt idx="0">
                  <c:v>3</c:v>
                </c:pt>
                <c:pt idx="1">
                  <c:v>2</c:v>
                </c:pt>
                <c:pt idx="2">
                  <c:v>1</c:v>
                </c:pt>
              </c:numCache>
            </c:numRef>
          </c:val>
        </c:ser>
        <c:gapWidth val="150"/>
        <c:overlap val="0"/>
        <c:axId val="15177984"/>
        <c:axId val="82922581"/>
      </c:barChart>
      <c:catAx>
        <c:axId val="15177984"/>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82922581"/>
        <c:crosses val="autoZero"/>
        <c:auto val="1"/>
        <c:lblAlgn val="ctr"/>
        <c:lblOffset val="100"/>
        <c:noMultiLvlLbl val="0"/>
      </c:catAx>
      <c:valAx>
        <c:axId val="82922581"/>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1517798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Pass rate % theo Round</a:t>
            </a:r>
          </a:p>
        </c:rich>
      </c:tx>
      <c:overlay val="0"/>
      <c:spPr>
        <a:noFill/>
        <a:ln w="0">
          <a:noFill/>
        </a:ln>
      </c:spPr>
    </c:title>
    <c:autoTitleDeleted val="0"/>
    <c:plotArea>
      <c:lineChart>
        <c:grouping val="standard"/>
        <c:varyColors val="0"/>
        <c:ser>
          <c:idx val="0"/>
          <c:order val="0"/>
          <c:tx>
            <c:strRef>
              <c:f>'Report Test'!$K$217</c:f>
              <c:strCache>
                <c:ptCount val="1"/>
                <c:pt idx="0">
                  <c:v>Pass rate</c:v>
                </c:pt>
              </c:strCache>
            </c:strRef>
          </c:tx>
          <c:spPr>
            <a:solidFill>
              <a:srgbClr val="4472C4"/>
            </a:solidFill>
            <a:ln w="19080">
              <a:solidFill>
                <a:srgbClr val="4472C4"/>
              </a:solidFill>
              <a:round/>
            </a:ln>
          </c:spPr>
          <c:marker>
            <c:symbol val="none"/>
          </c:marker>
          <c:dLbls>
            <c:txPr>
              <a:bodyPr wrap="square"/>
              <a:lstStyle/>
              <a:p>
                <a:pPr>
                  <a:defRPr sz="1000" b="0" u="none" strike="noStrike">
                    <a:solidFill>
                      <a:srgbClr val="000000"/>
                    </a:solidFill>
                    <a:uFillTx/>
                    <a:latin typeface="Arial"/>
                    <a:ea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'Report Test'!$B$218:$B$220</c:f>
              <c:strCache>
                <c:ptCount val="3"/>
                <c:pt idx="0">
                  <c:v>Round 1</c:v>
                </c:pt>
                <c:pt idx="1">
                  <c:v>Round 2</c:v>
                </c:pt>
                <c:pt idx="2">
                  <c:v>Round 3</c:v>
                </c:pt>
              </c:strCache>
            </c:strRef>
          </c:cat>
          <c:val>
            <c:numRef>
              <c:f>'Report Test'!$K$218:$K$220</c:f>
              <c:numCache>
                <c:formatCode>0.0%</c:formatCode>
                <c:ptCount val="3"/>
                <c:pt idx="0">
                  <c:v>0.390804597701149</c:v>
                </c:pt>
                <c:pt idx="1">
                  <c:v>0.470588235294118</c:v>
                </c:pt>
                <c:pt idx="2">
                  <c:v>0.444444444444444</c:v>
                </c:pt>
              </c:numCache>
            </c:numRef>
          </c:val>
          <c:smooth val="0"/>
        </c:ser>
        <c:hiLowLines>
          <c:spPr>
            <a:ln w="0">
              <a:noFill/>
            </a:ln>
          </c:spPr>
        </c:hiLowLines>
        <c:marker val="0"/>
        <c:axId val="91236929"/>
        <c:axId val="52750182"/>
      </c:lineChart>
      <c:catAx>
        <c:axId val="91236929"/>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52750182"/>
        <c:crosses val="autoZero"/>
        <c:auto val="1"/>
        <c:lblAlgn val="ctr"/>
        <c:lblOffset val="100"/>
        <c:noMultiLvlLbl val="0"/>
      </c:catAx>
      <c:valAx>
        <c:axId val="52750182"/>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0.0%" sourceLinked="0"/>
        <c:majorTickMark val="cross"/>
        <c:minorTickMark val="none"/>
        <c:tickLblPos val="nextTo"/>
        <c:spPr>
          <a:ln w="6480">
            <a:solidFill>
              <a:srgbClr val="8B8B8B"/>
            </a:solidFill>
            <a:round/>
          </a:ln>
        </c:spPr>
        <c:txPr>
          <a:bodyPr/>
          <a:lstStyle/>
          <a:p>
            <a:pPr>
              <a:defRPr sz="1000" b="0" u="none" strike="noStrike">
                <a:solidFill>
                  <a:srgbClr val="000000"/>
                </a:solidFill>
                <a:uFillTx/>
                <a:latin typeface="Calibri"/>
                <a:ea typeface="Calibri"/>
              </a:defRPr>
            </a:pPr>
          </a:p>
        </c:txPr>
        <c:crossAx val="9123692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Độ phủ theo yêu cầu (Số TC vs Đã chạy)</a:t>
            </a:r>
          </a:p>
        </c:rich>
      </c:tx>
      <c:overlay val="0"/>
      <c:spPr>
        <a:noFill/>
        <a:ln w="0">
          <a:noFill/>
        </a:ln>
      </c:spPr>
    </c:title>
    <c:autoTitleDeleted val="0"/>
    <c:plotArea>
      <c:barChart>
        <c:barDir val="col"/>
        <c:grouping val="clustered"/>
        <c:varyColors val="0"/>
        <c:ser>
          <c:idx val="0"/>
          <c:order val="0"/>
          <c:tx>
            <c:strRef>
              <c:f>RTM!$E$5</c:f>
              <c:strCache>
                <c:ptCount val="1"/>
                <c:pt idx="0">
                  <c:v>Số TC</c:v>
                </c:pt>
              </c:strCache>
            </c:strRef>
          </c:tx>
          <c:spPr>
            <a:solidFill>
              <a:srgbClr val="A9D08E"/>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RTM!$B$6:$B$10</c:f>
              <c:strCache>
                <c:ptCount val="5"/>
                <c:pt idx="0">
                  <c:v>REQ-USR-002</c:v>
                </c:pt>
                <c:pt idx="1">
                  <c:v>REQ-USR-003</c:v>
                </c:pt>
                <c:pt idx="2">
                  <c:v>REQ-USR-004</c:v>
                </c:pt>
                <c:pt idx="3">
                  <c:v>REQ-USR-005</c:v>
                </c:pt>
                <c:pt idx="4">
                  <c:v>REQ-ORD-004</c:v>
                </c:pt>
              </c:strCache>
            </c:strRef>
          </c:cat>
          <c:val>
            <c:numRef>
              <c:f>RTM!$E$6:$E$10</c:f>
              <c:numCache>
                <c:formatCode>0</c:formatCode>
                <c:ptCount val="5"/>
                <c:pt idx="0">
                  <c:v>1</c:v>
                </c:pt>
                <c:pt idx="1">
                  <c:v>1</c:v>
                </c:pt>
                <c:pt idx="2">
                  <c:v>7</c:v>
                </c:pt>
                <c:pt idx="3">
                  <c:v>1</c:v>
                </c:pt>
                <c:pt idx="4">
                  <c:v>3</c:v>
                </c:pt>
              </c:numCache>
            </c:numRef>
          </c:val>
        </c:ser>
        <c:ser>
          <c:idx val="1"/>
          <c:order val="1"/>
          <c:tx>
            <c:strRef>
              <c:f>RTM!$F$5</c:f>
              <c:strCache>
                <c:ptCount val="1"/>
                <c:pt idx="0">
                  <c:v>Đã chạy</c:v>
                </c:pt>
              </c:strCache>
            </c:strRef>
          </c:tx>
          <c:spPr>
            <a:solidFill>
              <a:srgbClr val="4472C4"/>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RTM!$B$6:$B$10</c:f>
              <c:strCache>
                <c:ptCount val="5"/>
                <c:pt idx="0">
                  <c:v>REQ-USR-002</c:v>
                </c:pt>
                <c:pt idx="1">
                  <c:v>REQ-USR-003</c:v>
                </c:pt>
                <c:pt idx="2">
                  <c:v>REQ-USR-004</c:v>
                </c:pt>
                <c:pt idx="3">
                  <c:v>REQ-USR-005</c:v>
                </c:pt>
                <c:pt idx="4">
                  <c:v>REQ-ORD-004</c:v>
                </c:pt>
              </c:strCache>
            </c:strRef>
          </c:cat>
          <c:val>
            <c:numRef>
              <c:f>RTM!$F$6:$F$10</c:f>
              <c:numCache>
                <c:formatCode>0</c:formatCode>
                <c:ptCount val="5"/>
                <c:pt idx="0">
                  <c:v>1</c:v>
                </c:pt>
                <c:pt idx="1">
                  <c:v>1</c:v>
                </c:pt>
                <c:pt idx="2">
                  <c:v>7</c:v>
                </c:pt>
                <c:pt idx="3">
                  <c:v>1</c:v>
                </c:pt>
                <c:pt idx="4">
                  <c:v>2</c:v>
                </c:pt>
              </c:numCache>
            </c:numRef>
          </c:val>
        </c:ser>
        <c:gapWidth val="150"/>
        <c:overlap val="0"/>
        <c:axId val="4768616"/>
        <c:axId val="64455774"/>
      </c:barChart>
      <c:catAx>
        <c:axId val="4768616"/>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64455774"/>
        <c:crosses val="autoZero"/>
        <c:auto val="1"/>
        <c:lblAlgn val="ctr"/>
        <c:lblOffset val="100"/>
        <c:noMultiLvlLbl val="0"/>
      </c:catAx>
      <c:valAx>
        <c:axId val="64455774"/>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476861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 Id="rId7" Type="http://schemas.openxmlformats.org/officeDocument/2006/relationships/chart" Target="../charts/chart10.xml"/><Relationship Id="rId8" Type="http://schemas.openxmlformats.org/officeDocument/2006/relationships/chart" Target="../charts/chart11.xml"/><Relationship Id="rId9" Type="http://schemas.openxmlformats.org/officeDocument/2006/relationships/chart" Target="../charts/chart12.xml"/><Relationship Id="rId10" Type="http://schemas.openxmlformats.org/officeDocument/2006/relationships/chart" Target="../charts/chart13.xml"/><Relationship Id="rId11" Type="http://schemas.openxmlformats.org/officeDocument/2006/relationships/chart" Target="../charts/chart14.xml"/><Relationship Id="rId12" Type="http://schemas.openxmlformats.org/officeDocument/2006/relationships/chart" Target="../charts/chart15.xml"/><Relationship Id="rId13" Type="http://schemas.openxmlformats.org/officeDocument/2006/relationships/chart" Target="../charts/chart16.xml"/><Relationship Id="rId14" Type="http://schemas.openxmlformats.org/officeDocument/2006/relationships/chart" Target="../charts/chart17.xml"/>
</Relationships>
</file>

<file path=xl/drawings/_rels/drawing5.xml.rels><?xml version="1.0" encoding="UTF-8"?>
<Relationships xmlns="http://schemas.openxmlformats.org/package/2006/relationships"><Relationship Id="rId1" Type="http://schemas.openxmlformats.org/officeDocument/2006/relationships/chart" Target="../charts/chart1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104760</xdr:colOff>
      <xdr:row>0</xdr:row>
      <xdr:rowOff>66600</xdr:rowOff>
    </xdr:from>
    <xdr:to>
      <xdr:col>3</xdr:col>
      <xdr:colOff>153360</xdr:colOff>
      <xdr:row>3</xdr:row>
      <xdr:rowOff>155520</xdr:rowOff>
    </xdr:to>
    <xdr:pic>
      <xdr:nvPicPr>
        <xdr:cNvPr id="1" name="image1.png"/>
        <xdr:cNvPicPr/>
      </xdr:nvPicPr>
      <xdr:blipFill>
        <a:blip r:embed="rId1"/>
        <a:stretch/>
      </xdr:blipFill>
      <xdr:spPr>
        <a:xfrm>
          <a:off x="316080" y="66600"/>
          <a:ext cx="2022480" cy="10508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824400</xdr:colOff>
      <xdr:row>2</xdr:row>
      <xdr:rowOff>288720</xdr:rowOff>
    </xdr:to>
    <xdr:pic>
      <xdr:nvPicPr>
        <xdr:cNvPr id="2" name="image1.png"/>
        <xdr:cNvPicPr/>
      </xdr:nvPicPr>
      <xdr:blipFill>
        <a:blip r:embed="rId1"/>
        <a:stretch/>
      </xdr:blipFill>
      <xdr:spPr>
        <a:xfrm>
          <a:off x="0" y="0"/>
          <a:ext cx="2022480" cy="10508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181080</xdr:colOff>
      <xdr:row>22</xdr:row>
      <xdr:rowOff>76320</xdr:rowOff>
    </xdr:from>
    <xdr:to>
      <xdr:col>6</xdr:col>
      <xdr:colOff>848880</xdr:colOff>
      <xdr:row>39</xdr:row>
      <xdr:rowOff>32040</xdr:rowOff>
    </xdr:to>
    <xdr:graphicFrame>
      <xdr:nvGraphicFramePr>
        <xdr:cNvPr id="3" name="Chart 1"/>
        <xdr:cNvGraphicFramePr/>
      </xdr:nvGraphicFramePr>
      <xdr:xfrm>
        <a:off x="181080" y="4953240"/>
        <a:ext cx="5813280" cy="3355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276120</xdr:colOff>
      <xdr:row>22</xdr:row>
      <xdr:rowOff>76320</xdr:rowOff>
    </xdr:from>
    <xdr:to>
      <xdr:col>13</xdr:col>
      <xdr:colOff>90720</xdr:colOff>
      <xdr:row>39</xdr:row>
      <xdr:rowOff>32040</xdr:rowOff>
    </xdr:to>
    <xdr:graphicFrame>
      <xdr:nvGraphicFramePr>
        <xdr:cNvPr id="4" name="Chart 2"/>
        <xdr:cNvGraphicFramePr/>
      </xdr:nvGraphicFramePr>
      <xdr:xfrm>
        <a:off x="6559560" y="4953240"/>
        <a:ext cx="5918040" cy="3355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714240</xdr:colOff>
      <xdr:row>40</xdr:row>
      <xdr:rowOff>190440</xdr:rowOff>
    </xdr:from>
    <xdr:to>
      <xdr:col>10</xdr:col>
      <xdr:colOff>1014120</xdr:colOff>
      <xdr:row>54</xdr:row>
      <xdr:rowOff>126720</xdr:rowOff>
    </xdr:to>
    <xdr:graphicFrame>
      <xdr:nvGraphicFramePr>
        <xdr:cNvPr id="5" name="Chart 3"/>
        <xdr:cNvGraphicFramePr/>
      </xdr:nvGraphicFramePr>
      <xdr:xfrm>
        <a:off x="4308840" y="8667720"/>
        <a:ext cx="6040440" cy="301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21</xdr:row>
      <xdr:rowOff>47520</xdr:rowOff>
    </xdr:from>
    <xdr:to>
      <xdr:col>5</xdr:col>
      <xdr:colOff>749880</xdr:colOff>
      <xdr:row>35</xdr:row>
      <xdr:rowOff>126720</xdr:rowOff>
    </xdr:to>
    <xdr:graphicFrame>
      <xdr:nvGraphicFramePr>
        <xdr:cNvPr id="6" name="Chart 1"/>
        <xdr:cNvGraphicFramePr/>
      </xdr:nvGraphicFramePr>
      <xdr:xfrm>
        <a:off x="142920" y="4734000"/>
        <a:ext cx="5289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142920</xdr:colOff>
      <xdr:row>63</xdr:row>
      <xdr:rowOff>123840</xdr:rowOff>
    </xdr:from>
    <xdr:to>
      <xdr:col>6</xdr:col>
      <xdr:colOff>488880</xdr:colOff>
      <xdr:row>79</xdr:row>
      <xdr:rowOff>21960</xdr:rowOff>
    </xdr:to>
    <xdr:graphicFrame>
      <xdr:nvGraphicFramePr>
        <xdr:cNvPr id="7" name="Chart 2"/>
        <xdr:cNvGraphicFramePr/>
      </xdr:nvGraphicFramePr>
      <xdr:xfrm>
        <a:off x="142920" y="13211280"/>
        <a:ext cx="5803920" cy="3098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847800</xdr:colOff>
      <xdr:row>97</xdr:row>
      <xdr:rowOff>190440</xdr:rowOff>
    </xdr:from>
    <xdr:to>
      <xdr:col>11</xdr:col>
      <xdr:colOff>569160</xdr:colOff>
      <xdr:row>112</xdr:row>
      <xdr:rowOff>117360</xdr:rowOff>
    </xdr:to>
    <xdr:graphicFrame>
      <xdr:nvGraphicFramePr>
        <xdr:cNvPr id="8" name="Chart 3"/>
        <xdr:cNvGraphicFramePr/>
      </xdr:nvGraphicFramePr>
      <xdr:xfrm>
        <a:off x="4614120" y="20078640"/>
        <a:ext cx="5289480" cy="2927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723960</xdr:colOff>
      <xdr:row>81</xdr:row>
      <xdr:rowOff>0</xdr:rowOff>
    </xdr:from>
    <xdr:to>
      <xdr:col>10</xdr:col>
      <xdr:colOff>304200</xdr:colOff>
      <xdr:row>95</xdr:row>
      <xdr:rowOff>79560</xdr:rowOff>
    </xdr:to>
    <xdr:graphicFrame>
      <xdr:nvGraphicFramePr>
        <xdr:cNvPr id="9" name="Chart 4"/>
        <xdr:cNvGraphicFramePr/>
      </xdr:nvGraphicFramePr>
      <xdr:xfrm>
        <a:off x="3714840" y="16687800"/>
        <a:ext cx="5289480" cy="28800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723960</xdr:colOff>
      <xdr:row>115</xdr:row>
      <xdr:rowOff>190440</xdr:rowOff>
    </xdr:from>
    <xdr:to>
      <xdr:col>10</xdr:col>
      <xdr:colOff>304200</xdr:colOff>
      <xdr:row>130</xdr:row>
      <xdr:rowOff>69840</xdr:rowOff>
    </xdr:to>
    <xdr:graphicFrame>
      <xdr:nvGraphicFramePr>
        <xdr:cNvPr id="10" name="Chart 5"/>
        <xdr:cNvGraphicFramePr/>
      </xdr:nvGraphicFramePr>
      <xdr:xfrm>
        <a:off x="3714840" y="23679000"/>
        <a:ext cx="5289480" cy="28800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847800</xdr:colOff>
      <xdr:row>131</xdr:row>
      <xdr:rowOff>190440</xdr:rowOff>
    </xdr:from>
    <xdr:to>
      <xdr:col>11</xdr:col>
      <xdr:colOff>569160</xdr:colOff>
      <xdr:row>146</xdr:row>
      <xdr:rowOff>69840</xdr:rowOff>
    </xdr:to>
    <xdr:graphicFrame>
      <xdr:nvGraphicFramePr>
        <xdr:cNvPr id="11" name="Chart 6"/>
        <xdr:cNvGraphicFramePr/>
      </xdr:nvGraphicFramePr>
      <xdr:xfrm>
        <a:off x="4614120" y="26879400"/>
        <a:ext cx="5289480" cy="28800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1724040</xdr:colOff>
      <xdr:row>147</xdr:row>
      <xdr:rowOff>190440</xdr:rowOff>
    </xdr:from>
    <xdr:to>
      <xdr:col>9</xdr:col>
      <xdr:colOff>105840</xdr:colOff>
      <xdr:row>162</xdr:row>
      <xdr:rowOff>69840</xdr:rowOff>
    </xdr:to>
    <xdr:graphicFrame>
      <xdr:nvGraphicFramePr>
        <xdr:cNvPr id="12" name="Chart 7"/>
        <xdr:cNvGraphicFramePr/>
      </xdr:nvGraphicFramePr>
      <xdr:xfrm>
        <a:off x="2882160" y="30079800"/>
        <a:ext cx="5289480" cy="28800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1724040</xdr:colOff>
      <xdr:row>163</xdr:row>
      <xdr:rowOff>181080</xdr:rowOff>
    </xdr:from>
    <xdr:to>
      <xdr:col>9</xdr:col>
      <xdr:colOff>105840</xdr:colOff>
      <xdr:row>177</xdr:row>
      <xdr:rowOff>60120</xdr:rowOff>
    </xdr:to>
    <xdr:graphicFrame>
      <xdr:nvGraphicFramePr>
        <xdr:cNvPr id="13" name="Chart 8"/>
        <xdr:cNvGraphicFramePr/>
      </xdr:nvGraphicFramePr>
      <xdr:xfrm>
        <a:off x="2882160" y="33270840"/>
        <a:ext cx="5289480" cy="26794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1724040</xdr:colOff>
      <xdr:row>179</xdr:row>
      <xdr:rowOff>190440</xdr:rowOff>
    </xdr:from>
    <xdr:to>
      <xdr:col>9</xdr:col>
      <xdr:colOff>105840</xdr:colOff>
      <xdr:row>193</xdr:row>
      <xdr:rowOff>69480</xdr:rowOff>
    </xdr:to>
    <xdr:graphicFrame>
      <xdr:nvGraphicFramePr>
        <xdr:cNvPr id="14" name="Chart 9"/>
        <xdr:cNvGraphicFramePr/>
      </xdr:nvGraphicFramePr>
      <xdr:xfrm>
        <a:off x="2882160" y="36480600"/>
        <a:ext cx="5289480" cy="26794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781200</xdr:colOff>
      <xdr:row>38</xdr:row>
      <xdr:rowOff>190440</xdr:rowOff>
    </xdr:from>
    <xdr:to>
      <xdr:col>12</xdr:col>
      <xdr:colOff>311760</xdr:colOff>
      <xdr:row>55</xdr:row>
      <xdr:rowOff>22320</xdr:rowOff>
    </xdr:to>
    <xdr:graphicFrame>
      <xdr:nvGraphicFramePr>
        <xdr:cNvPr id="15" name="Chart 10"/>
        <xdr:cNvGraphicFramePr/>
      </xdr:nvGraphicFramePr>
      <xdr:xfrm>
        <a:off x="8001000" y="8277120"/>
        <a:ext cx="4041720" cy="32324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723960</xdr:colOff>
      <xdr:row>196</xdr:row>
      <xdr:rowOff>0</xdr:rowOff>
    </xdr:from>
    <xdr:to>
      <xdr:col>10</xdr:col>
      <xdr:colOff>199440</xdr:colOff>
      <xdr:row>212</xdr:row>
      <xdr:rowOff>31680</xdr:rowOff>
    </xdr:to>
    <xdr:graphicFrame>
      <xdr:nvGraphicFramePr>
        <xdr:cNvPr id="16" name="Chart 11"/>
        <xdr:cNvGraphicFramePr/>
      </xdr:nvGraphicFramePr>
      <xdr:xfrm>
        <a:off x="3714840" y="39690720"/>
        <a:ext cx="5184720" cy="32320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0</xdr:colOff>
      <xdr:row>214</xdr:row>
      <xdr:rowOff>198360</xdr:rowOff>
    </xdr:from>
    <xdr:to>
      <xdr:col>18</xdr:col>
      <xdr:colOff>848880</xdr:colOff>
      <xdr:row>225</xdr:row>
      <xdr:rowOff>68400</xdr:rowOff>
    </xdr:to>
    <xdr:graphicFrame>
      <xdr:nvGraphicFramePr>
        <xdr:cNvPr id="17" name="Chart 12"/>
        <xdr:cNvGraphicFramePr/>
      </xdr:nvGraphicFramePr>
      <xdr:xfrm>
        <a:off x="11730960" y="43489440"/>
        <a:ext cx="5803920" cy="3356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0</xdr:colOff>
      <xdr:row>226</xdr:row>
      <xdr:rowOff>47520</xdr:rowOff>
    </xdr:from>
    <xdr:to>
      <xdr:col>18</xdr:col>
      <xdr:colOff>848880</xdr:colOff>
      <xdr:row>244</xdr:row>
      <xdr:rowOff>79200</xdr:rowOff>
    </xdr:to>
    <xdr:graphicFrame>
      <xdr:nvGraphicFramePr>
        <xdr:cNvPr id="18" name="Chart 13"/>
        <xdr:cNvGraphicFramePr/>
      </xdr:nvGraphicFramePr>
      <xdr:xfrm>
        <a:off x="11730960" y="47025000"/>
        <a:ext cx="5803920" cy="36320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xdr:col>
      <xdr:colOff>514440</xdr:colOff>
      <xdr:row>226</xdr:row>
      <xdr:rowOff>47520</xdr:rowOff>
    </xdr:from>
    <xdr:to>
      <xdr:col>11</xdr:col>
      <xdr:colOff>1666440</xdr:colOff>
      <xdr:row>244</xdr:row>
      <xdr:rowOff>79200</xdr:rowOff>
    </xdr:to>
    <xdr:graphicFrame>
      <xdr:nvGraphicFramePr>
        <xdr:cNvPr id="19" name="Chart 14"/>
        <xdr:cNvGraphicFramePr/>
      </xdr:nvGraphicFramePr>
      <xdr:xfrm>
        <a:off x="5196960" y="47025000"/>
        <a:ext cx="5803920" cy="36320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162000</xdr:colOff>
      <xdr:row>5</xdr:row>
      <xdr:rowOff>0</xdr:rowOff>
    </xdr:from>
    <xdr:to>
      <xdr:col>15</xdr:col>
      <xdr:colOff>555480</xdr:colOff>
      <xdr:row>21</xdr:row>
      <xdr:rowOff>98280</xdr:rowOff>
    </xdr:to>
    <xdr:graphicFrame>
      <xdr:nvGraphicFramePr>
        <xdr:cNvPr id="20" name="Chart 1"/>
        <xdr:cNvGraphicFramePr/>
      </xdr:nvGraphicFramePr>
      <xdr:xfrm>
        <a:off x="9606960" y="990720"/>
        <a:ext cx="5479920" cy="3155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_rels/sheet17.xml.rels><?xml version="1.0" encoding="UTF-8"?>
<Relationships xmlns="http://schemas.openxmlformats.org/package/2006/relationships"><Relationship Id="rId1" Type="http://schemas.openxmlformats.org/officeDocument/2006/relationships/drawing" Target="../drawings/drawing14.xml"/>
</Relationships>
</file>

<file path=xl/worksheets/_rels/sheet18.xml.rels><?xml version="1.0" encoding="UTF-8"?>
<Relationships xmlns="http://schemas.openxmlformats.org/package/2006/relationships"><Relationship Id="rId1"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drawing" Target="../drawings/drawing16.xml"/>
</Relationships>
</file>

<file path=xl/worksheets/_rels/sheet20.xml.rels><?xml version="1.0" encoding="UTF-8"?>
<Relationships xmlns="http://schemas.openxmlformats.org/package/2006/relationships"><Relationship Id="rId1" Type="http://schemas.openxmlformats.org/officeDocument/2006/relationships/drawing" Target="../drawings/drawing17.xml"/>
</Relationships>
</file>

<file path=xl/worksheets/_rels/sheet21.xml.rels><?xml version="1.0" encoding="UTF-8"?>
<Relationships xmlns="http://schemas.openxmlformats.org/package/2006/relationships"><Relationship Id="rId1" Type="http://schemas.openxmlformats.org/officeDocument/2006/relationships/drawing" Target="../drawings/drawing18.xml"/>
</Relationships>
</file>

<file path=xl/worksheets/_rels/sheet22.xml.rels><?xml version="1.0" encoding="UTF-8"?>
<Relationships xmlns="http://schemas.openxmlformats.org/package/2006/relationships"><Relationship Id="rId1" Type="http://schemas.openxmlformats.org/officeDocument/2006/relationships/drawing" Target="../drawings/drawing19.xml"/>
</Relationships>
</file>

<file path=xl/worksheets/_rels/sheet23.xml.rels><?xml version="1.0" encoding="UTF-8"?>
<Relationships xmlns="http://schemas.openxmlformats.org/package/2006/relationships"><Relationship Id="rId1" Type="http://schemas.openxmlformats.org/officeDocument/2006/relationships/drawing" Target="../drawings/drawing20.xml"/>
</Relationships>
</file>

<file path=xl/worksheets/_rels/sheet24.xml.rels><?xml version="1.0" encoding="UTF-8"?>
<Relationships xmlns="http://schemas.openxmlformats.org/package/2006/relationships"><Relationship Id="rId1" Type="http://schemas.openxmlformats.org/officeDocument/2006/relationships/drawing" Target="../drawings/drawing21.xml"/>
</Relationships>
</file>

<file path=xl/worksheets/_rels/sheet25.xml.rels><?xml version="1.0" encoding="UTF-8"?>
<Relationships xmlns="http://schemas.openxmlformats.org/package/2006/relationships"><Relationship Id="rId1" Type="http://schemas.openxmlformats.org/officeDocument/2006/relationships/drawing" Target="../drawings/drawing22.xml"/>
</Relationships>
</file>

<file path=xl/worksheets/_rels/sheet26.xml.rels><?xml version="1.0" encoding="UTF-8"?>
<Relationships xmlns="http://schemas.openxmlformats.org/package/2006/relationships"><Relationship Id="rId1" Type="http://schemas.openxmlformats.org/officeDocument/2006/relationships/drawing" Target="../drawings/drawing2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1000"/>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4" min="2" style="1" width="14"/>
    <col collapsed="false" customWidth="true" hidden="false" outlineLevel="0" max="6" min="5" style="1" width="18"/>
    <col collapsed="false" customWidth="true" hidden="false" outlineLevel="0" max="7" min="7" style="1" width="16"/>
    <col collapsed="false" customWidth="true" hidden="false" outlineLevel="0" max="8" min="8" style="1" width="14"/>
  </cols>
  <sheetData>
    <row r="1" customFormat="false" ht="30" hidden="false" customHeight="true" outlineLevel="0" collapsed="false">
      <c r="I1" s="1"/>
    </row>
    <row r="2" customFormat="false" ht="30" hidden="false" customHeight="true" outlineLevel="0" collapsed="false">
      <c r="F2" s="2"/>
      <c r="G2" s="2"/>
      <c r="H2" s="2"/>
      <c r="I2" s="1"/>
    </row>
    <row r="3" customFormat="false" ht="15.75" hidden="false" customHeight="true" outlineLevel="0" collapsed="false">
      <c r="I3" s="1"/>
    </row>
    <row r="4" customFormat="false" ht="15" hidden="false" customHeight="true" outlineLevel="0" collapsed="false">
      <c r="I4" s="1"/>
    </row>
    <row r="5" customFormat="false" ht="15" hidden="false" customHeight="true" outlineLevel="0" collapsed="false">
      <c r="I5" s="1"/>
    </row>
    <row r="6" customFormat="false" ht="33.75" hidden="false" customHeight="true" outlineLevel="0" collapsed="false">
      <c r="B6" s="3" t="s">
        <v>0</v>
      </c>
      <c r="C6" s="3"/>
      <c r="D6" s="3"/>
      <c r="E6" s="3"/>
      <c r="F6" s="3"/>
      <c r="G6" s="3"/>
      <c r="H6" s="3"/>
      <c r="I6" s="1"/>
    </row>
    <row r="7" customFormat="false" ht="15" hidden="false" customHeight="true" outlineLevel="0" collapsed="false">
      <c r="I7" s="1"/>
    </row>
    <row r="8" customFormat="false" ht="38.25" hidden="false" customHeight="true" outlineLevel="0" collapsed="false">
      <c r="B8" s="4" t="s">
        <v>1</v>
      </c>
      <c r="C8" s="4"/>
      <c r="D8" s="4"/>
      <c r="E8" s="4"/>
      <c r="F8" s="4"/>
      <c r="G8" s="4"/>
      <c r="H8" s="4"/>
      <c r="I8" s="1"/>
    </row>
    <row r="9" customFormat="false" ht="15.75" hidden="false" customHeight="true" outlineLevel="0" collapsed="false">
      <c r="B9" s="5" t="s">
        <v>2</v>
      </c>
      <c r="C9" s="5"/>
      <c r="D9" s="5"/>
      <c r="E9" s="5"/>
      <c r="F9" s="5"/>
      <c r="G9" s="5"/>
      <c r="H9" s="5"/>
      <c r="I9" s="1"/>
    </row>
    <row r="10" customFormat="false" ht="15" hidden="false" customHeight="true" outlineLevel="0" collapsed="false">
      <c r="I10" s="1"/>
    </row>
    <row r="11" customFormat="false" ht="15" hidden="false" customHeight="true" outlineLevel="0" collapsed="false">
      <c r="I11" s="1"/>
    </row>
    <row r="12" customFormat="false" ht="21.75" hidden="false" customHeight="true" outlineLevel="0" collapsed="false">
      <c r="C12" s="6" t="s">
        <v>3</v>
      </c>
      <c r="D12" s="6"/>
      <c r="E12" s="7" t="s">
        <v>4</v>
      </c>
      <c r="F12" s="7"/>
      <c r="G12" s="7"/>
    </row>
    <row r="13" customFormat="false" ht="21.75" hidden="false" customHeight="true" outlineLevel="0" collapsed="false">
      <c r="C13" s="6" t="s">
        <v>5</v>
      </c>
      <c r="D13" s="6"/>
      <c r="E13" s="7" t="n">
        <v>1.1</v>
      </c>
      <c r="F13" s="7"/>
      <c r="G13" s="7"/>
    </row>
    <row r="14" customFormat="false" ht="15" hidden="false" customHeight="true" outlineLevel="0" collapsed="false">
      <c r="I14" s="1"/>
    </row>
    <row r="15" customFormat="false" ht="15" hidden="false" customHeight="true" outlineLevel="0" collapsed="false">
      <c r="B15" s="8" t="s">
        <v>6</v>
      </c>
      <c r="C15" s="8"/>
      <c r="D15" s="8"/>
      <c r="E15" s="8"/>
      <c r="F15" s="8"/>
      <c r="G15" s="8"/>
      <c r="H15" s="8"/>
      <c r="I15" s="1"/>
    </row>
    <row r="16" customFormat="false" ht="15" hidden="false" customHeight="true" outlineLevel="0" collapsed="false">
      <c r="B16" s="9" t="s">
        <v>7</v>
      </c>
      <c r="C16" s="9"/>
      <c r="D16" s="9"/>
      <c r="E16" s="9"/>
      <c r="F16" s="9"/>
      <c r="G16" s="9"/>
      <c r="H16" s="9"/>
      <c r="I16" s="1"/>
    </row>
    <row r="17" customFormat="false" ht="15" hidden="false" customHeight="true" outlineLevel="0" collapsed="false">
      <c r="B17" s="9"/>
      <c r="C17" s="9"/>
      <c r="D17" s="9"/>
      <c r="E17" s="9"/>
      <c r="F17" s="9"/>
      <c r="G17" s="9"/>
      <c r="H17" s="9"/>
      <c r="I17" s="1"/>
    </row>
    <row r="18" customFormat="false" ht="15" hidden="false" customHeight="true" outlineLevel="0" collapsed="false">
      <c r="I18" s="1"/>
    </row>
    <row r="19" customFormat="false" ht="15.75" hidden="false" customHeight="true" outlineLevel="0" collapsed="false">
      <c r="I19" s="1"/>
    </row>
    <row r="20" customFormat="false" ht="15.75" hidden="false" customHeight="true" outlineLevel="0" collapsed="false">
      <c r="I20" s="1"/>
    </row>
    <row r="21" customFormat="false" ht="15.75" hidden="false" customHeight="true" outlineLevel="0" collapsed="false">
      <c r="I21" s="1"/>
    </row>
    <row r="22" customFormat="false" ht="15.75" hidden="false" customHeight="true" outlineLevel="0" collapsed="false">
      <c r="I22" s="1"/>
    </row>
    <row r="23" customFormat="false" ht="15.75" hidden="false" customHeight="true" outlineLevel="0" collapsed="false">
      <c r="I23" s="1"/>
    </row>
    <row r="24" customFormat="false" ht="15.75" hidden="false" customHeight="true" outlineLevel="0" collapsed="false">
      <c r="I24" s="1"/>
    </row>
    <row r="25" customFormat="false" ht="15.75" hidden="false" customHeight="true" outlineLevel="0" collapsed="false">
      <c r="I25" s="1"/>
    </row>
    <row r="26" customFormat="false" ht="15.75" hidden="false" customHeight="true" outlineLevel="0" collapsed="false">
      <c r="I26" s="1"/>
    </row>
    <row r="27" customFormat="false" ht="15.75" hidden="false" customHeight="true" outlineLevel="0" collapsed="false">
      <c r="I27" s="1"/>
    </row>
    <row r="28" customFormat="false" ht="15.75" hidden="false" customHeight="true" outlineLevel="0" collapsed="false">
      <c r="I28" s="1"/>
    </row>
    <row r="29" customFormat="false" ht="15.75" hidden="false" customHeight="true" outlineLevel="0" collapsed="false">
      <c r="I29" s="1"/>
    </row>
    <row r="30" customFormat="false" ht="15.75" hidden="false" customHeight="true" outlineLevel="0" collapsed="false">
      <c r="I30" s="1"/>
    </row>
    <row r="31" customFormat="false" ht="15.75" hidden="false" customHeight="true" outlineLevel="0" collapsed="false">
      <c r="I31" s="1"/>
    </row>
    <row r="32" customFormat="false" ht="15.75" hidden="false" customHeight="true" outlineLevel="0" collapsed="false">
      <c r="I32" s="1"/>
    </row>
    <row r="33" customFormat="false" ht="15.75" hidden="false" customHeight="true" outlineLevel="0" collapsed="false">
      <c r="I33" s="1"/>
    </row>
    <row r="34" customFormat="false" ht="15.75" hidden="false" customHeight="true" outlineLevel="0" collapsed="false">
      <c r="I34" s="1"/>
    </row>
    <row r="35" customFormat="false" ht="15.75" hidden="false" customHeight="true" outlineLevel="0" collapsed="false">
      <c r="I35" s="1"/>
    </row>
    <row r="36" customFormat="false" ht="15.75" hidden="false" customHeight="true" outlineLevel="0" collapsed="false">
      <c r="I36" s="1"/>
    </row>
    <row r="37" customFormat="false" ht="15.75" hidden="false" customHeight="true" outlineLevel="0" collapsed="false">
      <c r="I37" s="1"/>
    </row>
    <row r="38" customFormat="false" ht="15.75" hidden="false" customHeight="true" outlineLevel="0" collapsed="false">
      <c r="I38" s="1"/>
    </row>
    <row r="39" customFormat="false" ht="15.75" hidden="false" customHeight="true" outlineLevel="0" collapsed="false">
      <c r="I39" s="1"/>
    </row>
    <row r="40" customFormat="false" ht="15.75" hidden="false" customHeight="true" outlineLevel="0" collapsed="false">
      <c r="I40" s="1"/>
    </row>
    <row r="41" customFormat="false" ht="15.75" hidden="false" customHeight="true" outlineLevel="0" collapsed="false">
      <c r="I41" s="1"/>
    </row>
    <row r="42" customFormat="false" ht="15.75" hidden="false" customHeight="true" outlineLevel="0" collapsed="false">
      <c r="I42" s="1"/>
    </row>
    <row r="43" customFormat="false" ht="15.75" hidden="false" customHeight="true" outlineLevel="0" collapsed="false">
      <c r="I43" s="1"/>
    </row>
    <row r="44" customFormat="false" ht="15.75" hidden="false" customHeight="true" outlineLevel="0" collapsed="false">
      <c r="I44" s="1"/>
    </row>
    <row r="45" customFormat="false" ht="15.75" hidden="false" customHeight="true" outlineLevel="0" collapsed="false">
      <c r="I45" s="1"/>
    </row>
    <row r="46" customFormat="false" ht="15.75" hidden="false" customHeight="true" outlineLevel="0" collapsed="false">
      <c r="I46" s="1"/>
    </row>
    <row r="47" customFormat="false" ht="15.75" hidden="false" customHeight="true" outlineLevel="0" collapsed="false">
      <c r="I47" s="1"/>
    </row>
    <row r="48" customFormat="false" ht="15.75" hidden="false" customHeight="true" outlineLevel="0" collapsed="false">
      <c r="I48" s="1"/>
    </row>
    <row r="49" customFormat="false" ht="15.75" hidden="false" customHeight="true" outlineLevel="0" collapsed="false">
      <c r="I49" s="1"/>
    </row>
    <row r="50" customFormat="false" ht="15.75" hidden="false" customHeight="true" outlineLevel="0" collapsed="false">
      <c r="I50" s="1"/>
    </row>
    <row r="51" customFormat="false" ht="15.75" hidden="false" customHeight="true" outlineLevel="0" collapsed="false">
      <c r="I51" s="1"/>
    </row>
    <row r="52" customFormat="false" ht="15.75" hidden="false" customHeight="true" outlineLevel="0" collapsed="false">
      <c r="I52" s="1"/>
    </row>
    <row r="53" customFormat="false" ht="15.75" hidden="false" customHeight="true" outlineLevel="0" collapsed="false">
      <c r="I53" s="1"/>
    </row>
    <row r="54" customFormat="false" ht="15.75" hidden="false" customHeight="true" outlineLevel="0" collapsed="false">
      <c r="I54" s="1"/>
    </row>
    <row r="55" customFormat="false" ht="15.75" hidden="false" customHeight="true" outlineLevel="0" collapsed="false">
      <c r="I55" s="1"/>
    </row>
    <row r="56" customFormat="false" ht="15.75" hidden="false" customHeight="true" outlineLevel="0" collapsed="false">
      <c r="I56" s="1"/>
    </row>
    <row r="57" customFormat="false" ht="15.75" hidden="false" customHeight="true" outlineLevel="0" collapsed="false">
      <c r="I57" s="1"/>
    </row>
    <row r="58" customFormat="false" ht="15.75" hidden="false" customHeight="true" outlineLevel="0" collapsed="false">
      <c r="I58" s="1"/>
    </row>
    <row r="59" customFormat="false" ht="15.75" hidden="false" customHeight="true" outlineLevel="0" collapsed="false">
      <c r="I59" s="1"/>
    </row>
    <row r="60" customFormat="false" ht="15.75" hidden="false" customHeight="true" outlineLevel="0" collapsed="false">
      <c r="I60" s="1"/>
    </row>
    <row r="61" customFormat="false" ht="15.75" hidden="false" customHeight="true" outlineLevel="0" collapsed="false">
      <c r="I61" s="1"/>
    </row>
    <row r="62" customFormat="false" ht="15.75" hidden="false" customHeight="true" outlineLevel="0" collapsed="false">
      <c r="I62" s="1"/>
    </row>
    <row r="63" customFormat="false" ht="15.75" hidden="false" customHeight="true" outlineLevel="0" collapsed="false">
      <c r="I63" s="1"/>
    </row>
    <row r="64" customFormat="false" ht="15.75" hidden="false" customHeight="true" outlineLevel="0" collapsed="false">
      <c r="I64" s="1"/>
    </row>
    <row r="65" customFormat="false" ht="15.75" hidden="false" customHeight="true" outlineLevel="0" collapsed="false">
      <c r="I65" s="1"/>
    </row>
    <row r="66" customFormat="false" ht="15.75" hidden="false" customHeight="true" outlineLevel="0" collapsed="false">
      <c r="I66" s="1"/>
    </row>
    <row r="67" customFormat="false" ht="15.75" hidden="false" customHeight="true" outlineLevel="0" collapsed="false">
      <c r="I67" s="1"/>
    </row>
    <row r="68" customFormat="false" ht="15.75" hidden="false" customHeight="true" outlineLevel="0" collapsed="false">
      <c r="I68" s="1"/>
    </row>
    <row r="69" customFormat="false" ht="15.75" hidden="false" customHeight="true" outlineLevel="0" collapsed="false">
      <c r="I69" s="1"/>
    </row>
    <row r="70" customFormat="false" ht="15.75" hidden="false" customHeight="true" outlineLevel="0" collapsed="false">
      <c r="I70" s="1"/>
    </row>
    <row r="71" customFormat="false" ht="15.75" hidden="false" customHeight="true" outlineLevel="0" collapsed="false">
      <c r="I71" s="1"/>
    </row>
    <row r="72" customFormat="false" ht="15.75" hidden="false" customHeight="true" outlineLevel="0" collapsed="false">
      <c r="I72" s="1"/>
    </row>
    <row r="73" customFormat="false" ht="15.75" hidden="false" customHeight="true" outlineLevel="0" collapsed="false">
      <c r="I73" s="1"/>
    </row>
    <row r="74" customFormat="false" ht="15.75" hidden="false" customHeight="true" outlineLevel="0" collapsed="false">
      <c r="I74" s="1"/>
    </row>
    <row r="75" customFormat="false" ht="15.75" hidden="false" customHeight="true" outlineLevel="0" collapsed="false">
      <c r="I75" s="1"/>
    </row>
    <row r="76" customFormat="false" ht="15.75" hidden="false" customHeight="true" outlineLevel="0" collapsed="false">
      <c r="I76" s="1"/>
    </row>
    <row r="77" customFormat="false" ht="15.75" hidden="false" customHeight="true" outlineLevel="0" collapsed="false">
      <c r="I77" s="1"/>
    </row>
    <row r="78" customFormat="false" ht="15.75" hidden="false" customHeight="true" outlineLevel="0" collapsed="false">
      <c r="I78" s="1"/>
    </row>
    <row r="79" customFormat="false" ht="15.75" hidden="false" customHeight="true" outlineLevel="0" collapsed="false">
      <c r="I79" s="1"/>
    </row>
    <row r="80" customFormat="false" ht="15.75" hidden="false" customHeight="true" outlineLevel="0" collapsed="false">
      <c r="I80" s="1"/>
    </row>
    <row r="81" customFormat="false" ht="15.75" hidden="false" customHeight="true" outlineLevel="0" collapsed="false">
      <c r="I81" s="1"/>
    </row>
    <row r="82" customFormat="false" ht="15.75" hidden="false" customHeight="true" outlineLevel="0" collapsed="false">
      <c r="I82" s="1"/>
    </row>
    <row r="83" customFormat="false" ht="15.75" hidden="false" customHeight="true" outlineLevel="0" collapsed="false">
      <c r="I83" s="1"/>
    </row>
    <row r="84" customFormat="false" ht="15.75" hidden="false" customHeight="true" outlineLevel="0" collapsed="false">
      <c r="I84" s="1"/>
    </row>
    <row r="85" customFormat="false" ht="15.75" hidden="false" customHeight="true" outlineLevel="0" collapsed="false">
      <c r="I85" s="1"/>
    </row>
    <row r="86" customFormat="false" ht="15.75" hidden="false" customHeight="true" outlineLevel="0" collapsed="false">
      <c r="I86" s="1"/>
    </row>
    <row r="87" customFormat="false" ht="15.75" hidden="false" customHeight="true" outlineLevel="0" collapsed="false">
      <c r="I87" s="1"/>
    </row>
    <row r="88" customFormat="false" ht="15.75" hidden="false" customHeight="true" outlineLevel="0" collapsed="false">
      <c r="I88" s="1"/>
    </row>
    <row r="89" customFormat="false" ht="15.75" hidden="false" customHeight="true" outlineLevel="0" collapsed="false">
      <c r="I89" s="1"/>
    </row>
    <row r="90" customFormat="false" ht="15.75" hidden="false" customHeight="true" outlineLevel="0" collapsed="false">
      <c r="I90" s="1"/>
    </row>
    <row r="91" customFormat="false" ht="15.75" hidden="false" customHeight="true" outlineLevel="0" collapsed="false">
      <c r="I91" s="1"/>
    </row>
    <row r="92" customFormat="false" ht="15.75" hidden="false" customHeight="true" outlineLevel="0" collapsed="false">
      <c r="I92" s="1"/>
    </row>
    <row r="93" customFormat="false" ht="15.75" hidden="false" customHeight="true" outlineLevel="0" collapsed="false">
      <c r="I93" s="1"/>
    </row>
    <row r="94" customFormat="false" ht="15.75" hidden="false" customHeight="true" outlineLevel="0" collapsed="false">
      <c r="I94" s="1"/>
    </row>
    <row r="95" customFormat="false" ht="15.75" hidden="false" customHeight="true" outlineLevel="0" collapsed="false">
      <c r="I95" s="1"/>
    </row>
    <row r="96" customFormat="false" ht="15.75" hidden="false" customHeight="true" outlineLevel="0" collapsed="false">
      <c r="I96" s="1"/>
    </row>
    <row r="97" customFormat="false" ht="15.75" hidden="false" customHeight="true" outlineLevel="0" collapsed="false">
      <c r="I97" s="1"/>
    </row>
    <row r="98" customFormat="false" ht="15.75" hidden="false" customHeight="true" outlineLevel="0" collapsed="false">
      <c r="I98" s="1"/>
    </row>
    <row r="99" customFormat="false" ht="15.75" hidden="false" customHeight="true" outlineLevel="0" collapsed="false">
      <c r="I99" s="1"/>
    </row>
    <row r="100" customFormat="false" ht="15.75" hidden="false" customHeight="true" outlineLevel="0" collapsed="false">
      <c r="I100" s="1"/>
    </row>
    <row r="101" customFormat="false" ht="15.75" hidden="false" customHeight="true" outlineLevel="0" collapsed="false">
      <c r="I101" s="1"/>
    </row>
    <row r="102" customFormat="false" ht="15.75" hidden="false" customHeight="true" outlineLevel="0" collapsed="false">
      <c r="I102" s="1"/>
    </row>
    <row r="103" customFormat="false" ht="15.75" hidden="false" customHeight="true" outlineLevel="0" collapsed="false">
      <c r="I103" s="1"/>
    </row>
    <row r="104" customFormat="false" ht="15.75" hidden="false" customHeight="true" outlineLevel="0" collapsed="false">
      <c r="I104" s="1"/>
    </row>
    <row r="105" customFormat="false" ht="15.75" hidden="false" customHeight="true" outlineLevel="0" collapsed="false">
      <c r="I105" s="1"/>
    </row>
    <row r="106" customFormat="false" ht="15.75" hidden="false" customHeight="true" outlineLevel="0" collapsed="false">
      <c r="I106" s="1"/>
    </row>
    <row r="107" customFormat="false" ht="15.75" hidden="false" customHeight="true" outlineLevel="0" collapsed="false">
      <c r="I107" s="1"/>
    </row>
    <row r="108" customFormat="false" ht="15.75" hidden="false" customHeight="true" outlineLevel="0" collapsed="false">
      <c r="I108" s="1"/>
    </row>
    <row r="109" customFormat="false" ht="15.75" hidden="false" customHeight="true" outlineLevel="0" collapsed="false">
      <c r="I109" s="1"/>
    </row>
    <row r="110" customFormat="false" ht="15.75" hidden="false" customHeight="true" outlineLevel="0" collapsed="false">
      <c r="I110" s="1"/>
    </row>
    <row r="111" customFormat="false" ht="15.75" hidden="false" customHeight="true" outlineLevel="0" collapsed="false">
      <c r="I111" s="1"/>
    </row>
    <row r="112" customFormat="false" ht="15.75" hidden="false" customHeight="true" outlineLevel="0" collapsed="false">
      <c r="I112" s="1"/>
    </row>
    <row r="113" customFormat="false" ht="15.75" hidden="false" customHeight="true" outlineLevel="0" collapsed="false">
      <c r="I113" s="1"/>
    </row>
    <row r="114" customFormat="false" ht="15.75" hidden="false" customHeight="true" outlineLevel="0" collapsed="false">
      <c r="I114" s="1"/>
    </row>
    <row r="115" customFormat="false" ht="15.75" hidden="false" customHeight="true" outlineLevel="0" collapsed="false">
      <c r="I115" s="1"/>
    </row>
    <row r="116" customFormat="false" ht="15.75" hidden="false" customHeight="true" outlineLevel="0" collapsed="false">
      <c r="I116" s="1"/>
    </row>
    <row r="117" customFormat="false" ht="15.75" hidden="false" customHeight="true" outlineLevel="0" collapsed="false">
      <c r="I117" s="1"/>
    </row>
    <row r="118" customFormat="false" ht="15.75" hidden="false" customHeight="true" outlineLevel="0" collapsed="false">
      <c r="I118" s="1"/>
    </row>
    <row r="119" customFormat="false" ht="15.75" hidden="false" customHeight="true" outlineLevel="0" collapsed="false">
      <c r="I119" s="1"/>
    </row>
    <row r="120" customFormat="false" ht="15.75" hidden="false" customHeight="true" outlineLevel="0" collapsed="false">
      <c r="I120" s="1"/>
    </row>
    <row r="121" customFormat="false" ht="15.75" hidden="false" customHeight="true" outlineLevel="0" collapsed="false">
      <c r="I121" s="1"/>
    </row>
    <row r="122" customFormat="false" ht="15.75" hidden="false" customHeight="true" outlineLevel="0" collapsed="false">
      <c r="I122" s="1"/>
    </row>
    <row r="123" customFormat="false" ht="15.75" hidden="false" customHeight="true" outlineLevel="0" collapsed="false">
      <c r="I123" s="1"/>
    </row>
    <row r="124" customFormat="false" ht="15.75" hidden="false" customHeight="true" outlineLevel="0" collapsed="false">
      <c r="I124" s="1"/>
    </row>
    <row r="125" customFormat="false" ht="15.75" hidden="false" customHeight="true" outlineLevel="0" collapsed="false">
      <c r="I125" s="1"/>
    </row>
    <row r="126" customFormat="false" ht="15.75" hidden="false" customHeight="true" outlineLevel="0" collapsed="false">
      <c r="I126" s="1"/>
    </row>
    <row r="127" customFormat="false" ht="15.75" hidden="false" customHeight="true" outlineLevel="0" collapsed="false">
      <c r="I127" s="1"/>
    </row>
    <row r="128" customFormat="false" ht="15.75" hidden="false" customHeight="true" outlineLevel="0" collapsed="false">
      <c r="I128" s="1"/>
    </row>
    <row r="129" customFormat="false" ht="15.75" hidden="false" customHeight="true" outlineLevel="0" collapsed="false">
      <c r="I129" s="1"/>
    </row>
    <row r="130" customFormat="false" ht="15.75" hidden="false" customHeight="true" outlineLevel="0" collapsed="false">
      <c r="I130" s="1"/>
    </row>
    <row r="131" customFormat="false" ht="15.75" hidden="false" customHeight="true" outlineLevel="0" collapsed="false">
      <c r="I131" s="1"/>
    </row>
    <row r="132" customFormat="false" ht="15.75" hidden="false" customHeight="true" outlineLevel="0" collapsed="false">
      <c r="I132" s="1"/>
    </row>
    <row r="133" customFormat="false" ht="15.75" hidden="false" customHeight="true" outlineLevel="0" collapsed="false">
      <c r="I133" s="1"/>
    </row>
    <row r="134" customFormat="false" ht="15.75" hidden="false" customHeight="true" outlineLevel="0" collapsed="false">
      <c r="I134" s="1"/>
    </row>
    <row r="135" customFormat="false" ht="15.75" hidden="false" customHeight="true" outlineLevel="0" collapsed="false">
      <c r="I135" s="1"/>
    </row>
    <row r="136" customFormat="false" ht="15.75" hidden="false" customHeight="true" outlineLevel="0" collapsed="false">
      <c r="I136" s="1"/>
    </row>
    <row r="137" customFormat="false" ht="15.75" hidden="false" customHeight="true" outlineLevel="0" collapsed="false">
      <c r="I137" s="1"/>
    </row>
    <row r="138" customFormat="false" ht="15.75" hidden="false" customHeight="true" outlineLevel="0" collapsed="false">
      <c r="I138" s="1"/>
    </row>
    <row r="139" customFormat="false" ht="15.75" hidden="false" customHeight="true" outlineLevel="0" collapsed="false">
      <c r="I139" s="1"/>
    </row>
    <row r="140" customFormat="false" ht="15.75" hidden="false" customHeight="true" outlineLevel="0" collapsed="false">
      <c r="I140" s="1"/>
    </row>
    <row r="141" customFormat="false" ht="15.75" hidden="false" customHeight="true" outlineLevel="0" collapsed="false">
      <c r="I141" s="1"/>
    </row>
    <row r="142" customFormat="false" ht="15.75" hidden="false" customHeight="true" outlineLevel="0" collapsed="false">
      <c r="I142" s="1"/>
    </row>
    <row r="143" customFormat="false" ht="15.75" hidden="false" customHeight="true" outlineLevel="0" collapsed="false">
      <c r="I143" s="1"/>
    </row>
    <row r="144" customFormat="false" ht="15.75" hidden="false" customHeight="true" outlineLevel="0" collapsed="false">
      <c r="I144" s="1"/>
    </row>
    <row r="145" customFormat="false" ht="15.75" hidden="false" customHeight="true" outlineLevel="0" collapsed="false">
      <c r="I145" s="1"/>
    </row>
    <row r="146" customFormat="false" ht="15.75" hidden="false" customHeight="true" outlineLevel="0" collapsed="false">
      <c r="I146" s="1"/>
    </row>
    <row r="147" customFormat="false" ht="15.75" hidden="false" customHeight="true" outlineLevel="0" collapsed="false">
      <c r="I147" s="1"/>
    </row>
    <row r="148" customFormat="false" ht="15.75" hidden="false" customHeight="true" outlineLevel="0" collapsed="false">
      <c r="I148" s="1"/>
    </row>
    <row r="149" customFormat="false" ht="15.75" hidden="false" customHeight="true" outlineLevel="0" collapsed="false">
      <c r="I149" s="1"/>
    </row>
    <row r="150" customFormat="false" ht="15.75" hidden="false" customHeight="true" outlineLevel="0" collapsed="false">
      <c r="I150" s="1"/>
    </row>
    <row r="151" customFormat="false" ht="15.75" hidden="false" customHeight="true" outlineLevel="0" collapsed="false">
      <c r="I151" s="1"/>
    </row>
    <row r="152" customFormat="false" ht="15.75" hidden="false" customHeight="true" outlineLevel="0" collapsed="false">
      <c r="I152" s="1"/>
    </row>
    <row r="153" customFormat="false" ht="15.75" hidden="false" customHeight="true" outlineLevel="0" collapsed="false">
      <c r="I153" s="1"/>
    </row>
    <row r="154" customFormat="false" ht="15.75" hidden="false" customHeight="true" outlineLevel="0" collapsed="false">
      <c r="I154" s="1"/>
    </row>
    <row r="155" customFormat="false" ht="15.75" hidden="false" customHeight="true" outlineLevel="0" collapsed="false">
      <c r="I155" s="1"/>
    </row>
    <row r="156" customFormat="false" ht="15.75" hidden="false" customHeight="true" outlineLevel="0" collapsed="false">
      <c r="I156" s="1"/>
    </row>
    <row r="157" customFormat="false" ht="15.75" hidden="false" customHeight="true" outlineLevel="0" collapsed="false">
      <c r="I157" s="1"/>
    </row>
    <row r="158" customFormat="false" ht="15.75" hidden="false" customHeight="true" outlineLevel="0" collapsed="false">
      <c r="I158" s="1"/>
    </row>
    <row r="159" customFormat="false" ht="15.75" hidden="false" customHeight="true" outlineLevel="0" collapsed="false">
      <c r="I159" s="1"/>
    </row>
    <row r="160" customFormat="false" ht="15.75" hidden="false" customHeight="true" outlineLevel="0" collapsed="false">
      <c r="I160" s="1"/>
    </row>
    <row r="161" customFormat="false" ht="15.75" hidden="false" customHeight="true" outlineLevel="0" collapsed="false">
      <c r="I161" s="1"/>
    </row>
    <row r="162" customFormat="false" ht="15.75" hidden="false" customHeight="true" outlineLevel="0" collapsed="false">
      <c r="I162" s="1"/>
    </row>
    <row r="163" customFormat="false" ht="15.75" hidden="false" customHeight="true" outlineLevel="0" collapsed="false">
      <c r="I163" s="1"/>
    </row>
    <row r="164" customFormat="false" ht="15.75" hidden="false" customHeight="true" outlineLevel="0" collapsed="false">
      <c r="I164" s="1"/>
    </row>
    <row r="165" customFormat="false" ht="15.75" hidden="false" customHeight="true" outlineLevel="0" collapsed="false">
      <c r="I165" s="1"/>
    </row>
    <row r="166" customFormat="false" ht="15.75" hidden="false" customHeight="true" outlineLevel="0" collapsed="false">
      <c r="I166" s="1"/>
    </row>
    <row r="167" customFormat="false" ht="15.75" hidden="false" customHeight="true" outlineLevel="0" collapsed="false">
      <c r="I167" s="1"/>
    </row>
    <row r="168" customFormat="false" ht="15.75" hidden="false" customHeight="true" outlineLevel="0" collapsed="false">
      <c r="I168" s="1"/>
    </row>
    <row r="169" customFormat="false" ht="15.75" hidden="false" customHeight="true" outlineLevel="0" collapsed="false">
      <c r="I169" s="1"/>
    </row>
    <row r="170" customFormat="false" ht="15.75" hidden="false" customHeight="true" outlineLevel="0" collapsed="false">
      <c r="I170" s="1"/>
    </row>
    <row r="171" customFormat="false" ht="15.75" hidden="false" customHeight="true" outlineLevel="0" collapsed="false">
      <c r="I171" s="1"/>
    </row>
    <row r="172" customFormat="false" ht="15.75" hidden="false" customHeight="true" outlineLevel="0" collapsed="false">
      <c r="I172" s="1"/>
    </row>
    <row r="173" customFormat="false" ht="15.75" hidden="false" customHeight="true" outlineLevel="0" collapsed="false">
      <c r="I173" s="1"/>
    </row>
    <row r="174" customFormat="false" ht="15.75" hidden="false" customHeight="true" outlineLevel="0" collapsed="false">
      <c r="I174" s="1"/>
    </row>
    <row r="175" customFormat="false" ht="15.75" hidden="false" customHeight="true" outlineLevel="0" collapsed="false">
      <c r="I175" s="1"/>
    </row>
    <row r="176" customFormat="false" ht="15.75" hidden="false" customHeight="true" outlineLevel="0" collapsed="false">
      <c r="I176" s="1"/>
    </row>
    <row r="177" customFormat="false" ht="15.75" hidden="false" customHeight="true" outlineLevel="0" collapsed="false">
      <c r="I177" s="1"/>
    </row>
    <row r="178" customFormat="false" ht="15.75" hidden="false" customHeight="true" outlineLevel="0" collapsed="false">
      <c r="I178" s="1"/>
    </row>
    <row r="179" customFormat="false" ht="15.75" hidden="false" customHeight="true" outlineLevel="0" collapsed="false">
      <c r="I179" s="1"/>
    </row>
    <row r="180" customFormat="false" ht="15.75" hidden="false" customHeight="true" outlineLevel="0" collapsed="false">
      <c r="I180" s="1"/>
    </row>
    <row r="181" customFormat="false" ht="15.75" hidden="false" customHeight="true" outlineLevel="0" collapsed="false">
      <c r="I181" s="1"/>
    </row>
    <row r="182" customFormat="false" ht="15.75" hidden="false" customHeight="true" outlineLevel="0" collapsed="false">
      <c r="I182" s="1"/>
    </row>
    <row r="183" customFormat="false" ht="15.75" hidden="false" customHeight="true" outlineLevel="0" collapsed="false">
      <c r="I183" s="1"/>
    </row>
    <row r="184" customFormat="false" ht="15.75" hidden="false" customHeight="true" outlineLevel="0" collapsed="false">
      <c r="I184" s="1"/>
    </row>
    <row r="185" customFormat="false" ht="15.75" hidden="false" customHeight="true" outlineLevel="0" collapsed="false">
      <c r="I185" s="1"/>
    </row>
    <row r="186" customFormat="false" ht="15.75" hidden="false" customHeight="true" outlineLevel="0" collapsed="false">
      <c r="I186" s="1"/>
    </row>
    <row r="187" customFormat="false" ht="15.75" hidden="false" customHeight="true" outlineLevel="0" collapsed="false">
      <c r="I187" s="1"/>
    </row>
    <row r="188" customFormat="false" ht="15.75" hidden="false" customHeight="true" outlineLevel="0" collapsed="false">
      <c r="I188" s="1"/>
    </row>
    <row r="189" customFormat="false" ht="15.75" hidden="false" customHeight="true" outlineLevel="0" collapsed="false">
      <c r="I189" s="1"/>
    </row>
    <row r="190" customFormat="false" ht="15.75" hidden="false" customHeight="true" outlineLevel="0" collapsed="false">
      <c r="I190" s="1"/>
    </row>
    <row r="191" customFormat="false" ht="15.75" hidden="false" customHeight="true" outlineLevel="0" collapsed="false">
      <c r="I191" s="1"/>
    </row>
    <row r="192" customFormat="false" ht="15.75" hidden="false" customHeight="true" outlineLevel="0" collapsed="false">
      <c r="I192" s="1"/>
    </row>
    <row r="193" customFormat="false" ht="15.75" hidden="false" customHeight="true" outlineLevel="0" collapsed="false">
      <c r="I193" s="1"/>
    </row>
    <row r="194" customFormat="false" ht="15.75" hidden="false" customHeight="true" outlineLevel="0" collapsed="false">
      <c r="I194" s="1"/>
    </row>
    <row r="195" customFormat="false" ht="15.75" hidden="false" customHeight="true" outlineLevel="0" collapsed="false">
      <c r="I195" s="1"/>
    </row>
    <row r="196" customFormat="false" ht="15.75" hidden="false" customHeight="true" outlineLevel="0" collapsed="false">
      <c r="I196" s="1"/>
    </row>
    <row r="197" customFormat="false" ht="15.75" hidden="false" customHeight="true" outlineLevel="0" collapsed="false">
      <c r="I197" s="1"/>
    </row>
    <row r="198" customFormat="false" ht="15.75" hidden="false" customHeight="true" outlineLevel="0" collapsed="false">
      <c r="I198" s="1"/>
    </row>
    <row r="199" customFormat="false" ht="15.75" hidden="false" customHeight="true" outlineLevel="0" collapsed="false">
      <c r="I199" s="1"/>
    </row>
    <row r="200" customFormat="false" ht="15.75" hidden="false" customHeight="true" outlineLevel="0" collapsed="false">
      <c r="I200" s="1"/>
    </row>
    <row r="201" customFormat="false" ht="15.75" hidden="false" customHeight="true" outlineLevel="0" collapsed="false">
      <c r="I201" s="1"/>
    </row>
    <row r="202" customFormat="false" ht="15.75" hidden="false" customHeight="true" outlineLevel="0" collapsed="false">
      <c r="I202" s="1"/>
    </row>
    <row r="203" customFormat="false" ht="15.75" hidden="false" customHeight="true" outlineLevel="0" collapsed="false">
      <c r="I203" s="1"/>
    </row>
    <row r="204" customFormat="false" ht="15.75" hidden="false" customHeight="true" outlineLevel="0" collapsed="false">
      <c r="I204" s="1"/>
    </row>
    <row r="205" customFormat="false" ht="15.75" hidden="false" customHeight="true" outlineLevel="0" collapsed="false">
      <c r="I205" s="1"/>
    </row>
    <row r="206" customFormat="false" ht="15.75" hidden="false" customHeight="true" outlineLevel="0" collapsed="false">
      <c r="I206" s="1"/>
    </row>
    <row r="207" customFormat="false" ht="15.75" hidden="false" customHeight="true" outlineLevel="0" collapsed="false">
      <c r="I207" s="1"/>
    </row>
    <row r="208" customFormat="false" ht="15.75" hidden="false" customHeight="true" outlineLevel="0" collapsed="false">
      <c r="I208" s="1"/>
    </row>
    <row r="209" customFormat="false" ht="15.75" hidden="false" customHeight="true" outlineLevel="0" collapsed="false">
      <c r="I209" s="1"/>
    </row>
    <row r="210" customFormat="false" ht="15.75" hidden="false" customHeight="true" outlineLevel="0" collapsed="false">
      <c r="I210" s="1"/>
    </row>
    <row r="211" customFormat="false" ht="15.75" hidden="false" customHeight="true" outlineLevel="0" collapsed="false">
      <c r="I211" s="1"/>
    </row>
    <row r="212" customFormat="false" ht="15.75" hidden="false" customHeight="true" outlineLevel="0" collapsed="false">
      <c r="I212" s="1"/>
    </row>
    <row r="213" customFormat="false" ht="15.75" hidden="false" customHeight="true" outlineLevel="0" collapsed="false">
      <c r="I213" s="1"/>
    </row>
    <row r="214" customFormat="false" ht="15.75" hidden="false" customHeight="true" outlineLevel="0" collapsed="false">
      <c r="I214" s="1"/>
    </row>
    <row r="215" customFormat="false" ht="15.75" hidden="false" customHeight="true" outlineLevel="0" collapsed="false">
      <c r="I215" s="1"/>
    </row>
    <row r="216" customFormat="false" ht="15.75" hidden="false" customHeight="true" outlineLevel="0" collapsed="false">
      <c r="I216" s="1"/>
    </row>
    <row r="217" customFormat="false" ht="15.75" hidden="false" customHeight="true" outlineLevel="0" collapsed="false">
      <c r="I217" s="1"/>
    </row>
    <row r="218" customFormat="false" ht="15.75" hidden="false" customHeight="true" outlineLevel="0" collapsed="false">
      <c r="I218" s="1"/>
    </row>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F2:H2"/>
    <mergeCell ref="B6:H6"/>
    <mergeCell ref="B8:H8"/>
    <mergeCell ref="B9:H9"/>
    <mergeCell ref="C12:D12"/>
    <mergeCell ref="E12:G12"/>
    <mergeCell ref="C13:D13"/>
    <mergeCell ref="E13:G13"/>
    <mergeCell ref="B15:H15"/>
    <mergeCell ref="B16:H16"/>
    <mergeCell ref="B17:H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Z1000"/>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70"/>
    <col collapsed="false" customWidth="true" hidden="false" outlineLevel="0" max="6" min="4" style="1" width="8.71"/>
  </cols>
  <sheetData>
    <row r="2" customFormat="false" ht="33" hidden="false" customHeight="true" outlineLevel="0" collapsed="false">
      <c r="A2" s="10"/>
      <c r="B2" s="11" t="s">
        <v>8</v>
      </c>
      <c r="C2" s="11"/>
      <c r="D2" s="10"/>
      <c r="E2" s="10"/>
      <c r="F2" s="10"/>
      <c r="G2" s="10"/>
      <c r="H2" s="10"/>
      <c r="I2" s="10"/>
      <c r="J2" s="10"/>
      <c r="K2" s="10"/>
      <c r="L2" s="10"/>
      <c r="M2" s="10"/>
      <c r="N2" s="10"/>
      <c r="O2" s="10"/>
      <c r="P2" s="10"/>
      <c r="Q2" s="10"/>
      <c r="R2" s="10"/>
      <c r="S2" s="10"/>
      <c r="T2" s="10"/>
      <c r="U2" s="10"/>
      <c r="V2" s="10"/>
      <c r="W2" s="10"/>
      <c r="X2" s="10"/>
      <c r="Y2" s="10"/>
      <c r="Z2" s="10"/>
    </row>
    <row r="3" customFormat="false" ht="39.75" hidden="false" customHeight="true" outlineLevel="0" collapsed="false">
      <c r="B3" s="12" t="s">
        <v>9</v>
      </c>
      <c r="C3" s="13" t="s">
        <v>10</v>
      </c>
    </row>
    <row r="4" customFormat="false" ht="15" hidden="false" customHeight="true" outlineLevel="0" collapsed="false">
      <c r="B4" s="12" t="s">
        <v>11</v>
      </c>
      <c r="C4" s="14" t="s">
        <v>12</v>
      </c>
    </row>
    <row r="5" customFormat="false" ht="15" hidden="false" customHeight="true" outlineLevel="0" collapsed="false">
      <c r="B5" s="12" t="s">
        <v>13</v>
      </c>
      <c r="C5" s="14" t="s">
        <v>14</v>
      </c>
    </row>
    <row r="6" customFormat="false" ht="15" hidden="false" customHeight="true" outlineLevel="0" collapsed="false">
      <c r="B6" s="12" t="s">
        <v>15</v>
      </c>
      <c r="C6" s="14" t="s">
        <v>16</v>
      </c>
    </row>
    <row r="7" customFormat="false" ht="23.25" hidden="false" customHeight="true" outlineLevel="0" collapsed="false">
      <c r="B7" s="12" t="s">
        <v>17</v>
      </c>
      <c r="C7" s="14" t="s">
        <v>18</v>
      </c>
    </row>
    <row r="10" customFormat="false" ht="33" hidden="false" customHeight="true" outlineLevel="0" collapsed="false">
      <c r="A10" s="10"/>
      <c r="B10" s="11" t="s">
        <v>19</v>
      </c>
      <c r="C10" s="11"/>
      <c r="D10" s="10"/>
      <c r="E10" s="10"/>
      <c r="F10" s="10"/>
      <c r="G10" s="10"/>
      <c r="H10" s="10"/>
      <c r="I10" s="10"/>
      <c r="J10" s="10"/>
      <c r="K10" s="10"/>
      <c r="L10" s="10"/>
      <c r="M10" s="10"/>
      <c r="N10" s="10"/>
      <c r="O10" s="10"/>
      <c r="P10" s="10"/>
      <c r="Q10" s="10"/>
      <c r="R10" s="10"/>
      <c r="S10" s="10"/>
      <c r="T10" s="10"/>
      <c r="U10" s="10"/>
      <c r="V10" s="10"/>
      <c r="W10" s="10"/>
      <c r="X10" s="10"/>
      <c r="Y10" s="10"/>
      <c r="Z10" s="10"/>
    </row>
    <row r="11" customFormat="false" ht="15" hidden="false" customHeight="true" outlineLevel="0" collapsed="false">
      <c r="B11" s="15" t="s">
        <v>20</v>
      </c>
      <c r="C11" s="16" t="s">
        <v>21</v>
      </c>
    </row>
    <row r="12" customFormat="false" ht="15" hidden="false" customHeight="true" outlineLevel="0" collapsed="false">
      <c r="B12" s="12" t="s">
        <v>22</v>
      </c>
      <c r="C12" s="14" t="s">
        <v>23</v>
      </c>
    </row>
    <row r="13" customFormat="false" ht="15" hidden="false" customHeight="true" outlineLevel="0" collapsed="false">
      <c r="B13" s="12" t="s">
        <v>24</v>
      </c>
      <c r="C13" s="14" t="s">
        <v>25</v>
      </c>
    </row>
    <row r="14" customFormat="false" ht="15" hidden="false" customHeight="true" outlineLevel="0" collapsed="false">
      <c r="B14" s="12" t="s">
        <v>26</v>
      </c>
      <c r="C14" s="14" t="s">
        <v>27</v>
      </c>
    </row>
    <row r="15" customFormat="false" ht="15" hidden="false" customHeight="true" outlineLevel="0" collapsed="false">
      <c r="B15" s="12" t="s">
        <v>28</v>
      </c>
      <c r="C15" s="14" t="s">
        <v>29</v>
      </c>
    </row>
    <row r="16" customFormat="false" ht="15" hidden="false" customHeight="true" outlineLevel="0" collapsed="false">
      <c r="B16" s="17"/>
      <c r="C16" s="18"/>
    </row>
    <row r="17" customFormat="false" ht="15" hidden="false" customHeight="true" outlineLevel="0" collapsed="false">
      <c r="B17" s="17"/>
      <c r="C17" s="18"/>
    </row>
    <row r="18" customFormat="false" ht="33" hidden="false" customHeight="true" outlineLevel="0" collapsed="false">
      <c r="A18" s="10"/>
      <c r="B18" s="11" t="s">
        <v>30</v>
      </c>
      <c r="C18" s="11"/>
      <c r="D18" s="10"/>
      <c r="E18" s="10"/>
      <c r="F18" s="10"/>
      <c r="G18" s="10"/>
      <c r="H18" s="10"/>
      <c r="I18" s="10"/>
      <c r="J18" s="10"/>
      <c r="K18" s="10"/>
      <c r="L18" s="10"/>
      <c r="M18" s="10"/>
      <c r="N18" s="10"/>
      <c r="O18" s="10"/>
      <c r="P18" s="10"/>
      <c r="Q18" s="10"/>
      <c r="R18" s="10"/>
      <c r="S18" s="10"/>
      <c r="T18" s="10"/>
      <c r="U18" s="10"/>
      <c r="V18" s="10"/>
      <c r="W18" s="10"/>
      <c r="X18" s="10"/>
      <c r="Y18" s="10"/>
      <c r="Z18" s="10"/>
    </row>
    <row r="19" customFormat="false" ht="15" hidden="false" customHeight="true" outlineLevel="0" collapsed="false">
      <c r="B19" s="15" t="s">
        <v>31</v>
      </c>
      <c r="C19" s="16" t="s">
        <v>21</v>
      </c>
    </row>
    <row r="20" customFormat="false" ht="15" hidden="false" customHeight="true" outlineLevel="0" collapsed="false">
      <c r="B20" s="12" t="s">
        <v>32</v>
      </c>
      <c r="C20" s="14" t="s">
        <v>33</v>
      </c>
    </row>
    <row r="21" customFormat="false" ht="15.75" hidden="false" customHeight="true" outlineLevel="0" collapsed="false">
      <c r="B21" s="12" t="s">
        <v>34</v>
      </c>
      <c r="C21" s="14" t="s">
        <v>35</v>
      </c>
    </row>
    <row r="22" customFormat="false" ht="15.75" hidden="false" customHeight="true" outlineLevel="0" collapsed="false">
      <c r="B22" s="12" t="s">
        <v>36</v>
      </c>
      <c r="C22" s="14" t="s">
        <v>37</v>
      </c>
    </row>
    <row r="23" customFormat="false" ht="15.75" hidden="false" customHeight="true" outlineLevel="0" collapsed="false"/>
    <row r="24" customFormat="false" ht="15.75" hidden="false" customHeight="true" outlineLevel="0" collapsed="false"/>
    <row r="25" customFormat="false" ht="33" hidden="false" customHeight="true" outlineLevel="0" collapsed="false">
      <c r="A25" s="10"/>
      <c r="B25" s="11" t="s">
        <v>38</v>
      </c>
      <c r="C25" s="11"/>
      <c r="D25" s="10"/>
      <c r="E25" s="10"/>
      <c r="F25" s="10"/>
      <c r="G25" s="10"/>
      <c r="H25" s="10"/>
      <c r="I25" s="10"/>
      <c r="J25" s="10"/>
      <c r="K25" s="10"/>
      <c r="L25" s="10"/>
      <c r="M25" s="10"/>
      <c r="N25" s="10"/>
      <c r="O25" s="10"/>
      <c r="P25" s="10"/>
      <c r="Q25" s="10"/>
      <c r="R25" s="10"/>
      <c r="S25" s="10"/>
      <c r="T25" s="10"/>
      <c r="U25" s="10"/>
      <c r="V25" s="10"/>
      <c r="W25" s="10"/>
      <c r="X25" s="10"/>
      <c r="Y25" s="10"/>
      <c r="Z25" s="10"/>
    </row>
    <row r="26" customFormat="false" ht="15.75" hidden="false" customHeight="true" outlineLevel="0" collapsed="false">
      <c r="B26" s="15" t="s">
        <v>39</v>
      </c>
      <c r="C26" s="16" t="s">
        <v>21</v>
      </c>
    </row>
    <row r="27" customFormat="false" ht="15.75" hidden="false" customHeight="true" outlineLevel="0" collapsed="false">
      <c r="B27" s="12" t="s">
        <v>40</v>
      </c>
      <c r="C27" s="14" t="s">
        <v>41</v>
      </c>
    </row>
    <row r="28" customFormat="false" ht="15.75" hidden="false" customHeight="true" outlineLevel="0" collapsed="false">
      <c r="B28" s="12" t="s">
        <v>42</v>
      </c>
      <c r="C28" s="14" t="s">
        <v>43</v>
      </c>
    </row>
    <row r="29" customFormat="false" ht="15.75" hidden="false" customHeight="true" outlineLevel="0" collapsed="false">
      <c r="B29" s="12" t="s">
        <v>44</v>
      </c>
      <c r="C29" s="14" t="s">
        <v>45</v>
      </c>
    </row>
    <row r="30" customFormat="false" ht="15.75" hidden="false" customHeight="true" outlineLevel="0" collapsed="false">
      <c r="B30" s="12" t="s">
        <v>46</v>
      </c>
      <c r="C30" s="14" t="s">
        <v>47</v>
      </c>
    </row>
    <row r="31" customFormat="false" ht="15.75" hidden="false" customHeight="true" outlineLevel="0" collapsed="false">
      <c r="B31" s="17"/>
      <c r="C31" s="18"/>
    </row>
    <row r="32" customFormat="false" ht="15.75" hidden="false" customHeight="true" outlineLevel="0" collapsed="false"/>
    <row r="33" customFormat="false" ht="33" hidden="false" customHeight="true" outlineLevel="0" collapsed="false">
      <c r="A33" s="10"/>
      <c r="B33" s="11" t="s">
        <v>48</v>
      </c>
      <c r="C33" s="11"/>
      <c r="D33" s="10"/>
      <c r="E33" s="10"/>
      <c r="F33" s="10"/>
      <c r="G33" s="10"/>
      <c r="H33" s="10"/>
      <c r="I33" s="10"/>
      <c r="J33" s="10"/>
      <c r="K33" s="10"/>
      <c r="L33" s="10"/>
      <c r="M33" s="10"/>
      <c r="N33" s="10"/>
      <c r="O33" s="10"/>
      <c r="P33" s="10"/>
      <c r="Q33" s="10"/>
      <c r="R33" s="10"/>
      <c r="S33" s="10"/>
      <c r="T33" s="10"/>
      <c r="U33" s="10"/>
      <c r="V33" s="10"/>
      <c r="W33" s="10"/>
      <c r="X33" s="10"/>
      <c r="Y33" s="10"/>
      <c r="Z33" s="10"/>
    </row>
    <row r="34" customFormat="false" ht="15.75" hidden="false" customHeight="true" outlineLevel="0" collapsed="false">
      <c r="B34" s="12" t="s">
        <v>49</v>
      </c>
      <c r="C34" s="14" t="s">
        <v>50</v>
      </c>
    </row>
    <row r="35" customFormat="false" ht="15.75" hidden="false" customHeight="true" outlineLevel="0" collapsed="false">
      <c r="B35" s="12" t="s">
        <v>51</v>
      </c>
      <c r="C35" s="14" t="s">
        <v>52</v>
      </c>
    </row>
    <row r="36" customFormat="false" ht="15.75" hidden="false" customHeight="true" outlineLevel="0" collapsed="false">
      <c r="B36" s="12" t="s">
        <v>53</v>
      </c>
      <c r="C36" s="14" t="s">
        <v>54</v>
      </c>
    </row>
    <row r="37" customFormat="false" ht="15.75" hidden="false" customHeight="true" outlineLevel="0" collapsed="false"/>
    <row r="38" customFormat="false" ht="15.75" hidden="false" customHeight="true" outlineLevel="0" collapsed="false"/>
    <row r="39" customFormat="false" ht="33" hidden="false" customHeight="true" outlineLevel="0" collapsed="false">
      <c r="A39" s="10"/>
      <c r="B39" s="11" t="s">
        <v>55</v>
      </c>
      <c r="C39" s="11"/>
      <c r="D39" s="10"/>
      <c r="E39" s="10"/>
      <c r="F39" s="10"/>
      <c r="G39" s="10"/>
      <c r="H39" s="10"/>
      <c r="I39" s="10"/>
      <c r="J39" s="10"/>
      <c r="K39" s="10"/>
      <c r="L39" s="10"/>
      <c r="M39" s="10"/>
      <c r="N39" s="10"/>
      <c r="O39" s="10"/>
      <c r="P39" s="10"/>
      <c r="Q39" s="10"/>
      <c r="R39" s="10"/>
      <c r="S39" s="10"/>
      <c r="T39" s="10"/>
      <c r="U39" s="10"/>
      <c r="V39" s="10"/>
      <c r="W39" s="10"/>
      <c r="X39" s="10"/>
      <c r="Y39" s="10"/>
      <c r="Z39" s="10"/>
    </row>
    <row r="40" customFormat="false" ht="15.75" hidden="false" customHeight="true" outlineLevel="0" collapsed="false">
      <c r="B40" s="19" t="s">
        <v>56</v>
      </c>
      <c r="C40" s="19"/>
    </row>
    <row r="41" customFormat="false" ht="15.75" hidden="false" customHeight="true" outlineLevel="0" collapsed="false">
      <c r="B41" s="12" t="s">
        <v>57</v>
      </c>
      <c r="C41" s="14" t="s">
        <v>58</v>
      </c>
    </row>
    <row r="42" customFormat="false" ht="15.75" hidden="false" customHeight="true" outlineLevel="0" collapsed="false">
      <c r="B42" s="12" t="s">
        <v>59</v>
      </c>
      <c r="C42" s="14" t="s">
        <v>60</v>
      </c>
    </row>
    <row r="43" customFormat="false" ht="15.75" hidden="false" customHeight="true" outlineLevel="0" collapsed="false">
      <c r="B43" s="12" t="s">
        <v>61</v>
      </c>
      <c r="C43" s="14" t="s">
        <v>62</v>
      </c>
    </row>
    <row r="44" customFormat="false" ht="15.75" hidden="false" customHeight="true" outlineLevel="0" collapsed="false">
      <c r="B44" s="12" t="s">
        <v>63</v>
      </c>
      <c r="C44" s="14" t="s">
        <v>64</v>
      </c>
    </row>
    <row r="45" customFormat="false" ht="15.75" hidden="false" customHeight="true" outlineLevel="0" collapsed="false">
      <c r="B45" s="12" t="s">
        <v>65</v>
      </c>
      <c r="C45" s="14" t="s">
        <v>66</v>
      </c>
    </row>
    <row r="46" customFormat="false" ht="15.75" hidden="false" customHeight="true" outlineLevel="0" collapsed="false">
      <c r="B46" s="12" t="s">
        <v>67</v>
      </c>
      <c r="C46" s="14" t="s">
        <v>68</v>
      </c>
    </row>
    <row r="47" customFormat="false" ht="15.75" hidden="false" customHeight="true" outlineLevel="0" collapsed="false">
      <c r="B47" s="12" t="s">
        <v>69</v>
      </c>
      <c r="C47" s="14" t="s">
        <v>70</v>
      </c>
    </row>
    <row r="48" customFormat="false" ht="15.75" hidden="false" customHeight="true" outlineLevel="0" collapsed="false"/>
    <row r="49" customFormat="false" ht="15.75" hidden="false" customHeight="true" outlineLevel="0" collapsed="false">
      <c r="B49" s="11" t="s">
        <v>71</v>
      </c>
      <c r="C49" s="11"/>
    </row>
    <row r="50" customFormat="false" ht="15.75" hidden="false" customHeight="true" outlineLevel="0" collapsed="false">
      <c r="B50" s="12" t="s">
        <v>72</v>
      </c>
      <c r="C50" s="14" t="s">
        <v>73</v>
      </c>
    </row>
    <row r="51" customFormat="false" ht="15.75" hidden="false" customHeight="true" outlineLevel="0" collapsed="false">
      <c r="B51" s="12" t="s">
        <v>49</v>
      </c>
      <c r="C51" s="14" t="s">
        <v>74</v>
      </c>
    </row>
    <row r="52" customFormat="false" ht="15.75" hidden="false" customHeight="true" outlineLevel="0" collapsed="false">
      <c r="B52" s="12" t="s">
        <v>75</v>
      </c>
      <c r="C52" s="14" t="s">
        <v>76</v>
      </c>
    </row>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B2:C2"/>
    <mergeCell ref="B10:C10"/>
    <mergeCell ref="B18:C18"/>
    <mergeCell ref="B25:C25"/>
    <mergeCell ref="B33:C33"/>
    <mergeCell ref="B39:C39"/>
    <mergeCell ref="B40:C40"/>
    <mergeCell ref="B49:C4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4" min="2" style="1" width="14"/>
    <col collapsed="false" customWidth="true" hidden="false" outlineLevel="0" max="6" min="5" style="1" width="18"/>
    <col collapsed="false" customWidth="true" hidden="false" outlineLevel="0" max="7" min="7" style="1" width="48"/>
    <col collapsed="false" customWidth="true" hidden="false" outlineLevel="0" max="8" min="8" style="1" width="14"/>
  </cols>
  <sheetData>
    <row r="1" customFormat="false" ht="30" hidden="false" customHeight="true" outlineLevel="0" collapsed="false">
      <c r="I1" s="1"/>
    </row>
    <row r="2" customFormat="false" ht="30" hidden="false" customHeight="true" outlineLevel="0" collapsed="false">
      <c r="F2" s="2"/>
      <c r="G2" s="2"/>
      <c r="H2" s="2"/>
      <c r="I2" s="1"/>
    </row>
    <row r="3" customFormat="false" ht="33.75" hidden="false" customHeight="true" outlineLevel="0" collapsed="false">
      <c r="D3" s="20" t="s">
        <v>77</v>
      </c>
      <c r="I3" s="1"/>
    </row>
    <row r="4" customFormat="false" ht="15" hidden="false" customHeight="true" outlineLevel="0" collapsed="false">
      <c r="I4" s="1"/>
    </row>
    <row r="5" customFormat="false" ht="15" hidden="false" customHeight="true" outlineLevel="0" collapsed="false">
      <c r="I5" s="1"/>
    </row>
    <row r="6" customFormat="false" ht="18.75" hidden="false" customHeight="true" outlineLevel="0" collapsed="false">
      <c r="A6" s="21"/>
      <c r="B6" s="22" t="s">
        <v>78</v>
      </c>
      <c r="C6" s="22" t="s">
        <v>79</v>
      </c>
      <c r="D6" s="22" t="s">
        <v>80</v>
      </c>
      <c r="E6" s="22" t="s">
        <v>81</v>
      </c>
      <c r="F6" s="22" t="s">
        <v>82</v>
      </c>
      <c r="G6" s="22" t="s">
        <v>83</v>
      </c>
      <c r="H6" s="21"/>
      <c r="I6" s="21"/>
      <c r="J6" s="21"/>
      <c r="K6" s="21"/>
      <c r="L6" s="21"/>
      <c r="M6" s="21"/>
      <c r="N6" s="21"/>
      <c r="O6" s="21"/>
      <c r="P6" s="21"/>
      <c r="Q6" s="21"/>
      <c r="R6" s="21"/>
      <c r="S6" s="21"/>
      <c r="T6" s="21"/>
      <c r="U6" s="21"/>
      <c r="V6" s="21"/>
      <c r="W6" s="21"/>
      <c r="X6" s="21"/>
      <c r="Y6" s="21"/>
      <c r="Z6" s="21"/>
    </row>
    <row r="7" customFormat="false" ht="38.25" hidden="false" customHeight="true" outlineLevel="0" collapsed="false">
      <c r="A7" s="23"/>
      <c r="B7" s="24" t="n">
        <v>46231</v>
      </c>
      <c r="C7" s="25" t="n">
        <v>1</v>
      </c>
      <c r="D7" s="26" t="s">
        <v>84</v>
      </c>
      <c r="E7" s="26" t="s">
        <v>85</v>
      </c>
      <c r="F7" s="27" t="s">
        <v>85</v>
      </c>
      <c r="G7" s="28" t="s">
        <v>86</v>
      </c>
      <c r="H7" s="29"/>
      <c r="I7" s="23"/>
      <c r="J7" s="23"/>
      <c r="K7" s="23"/>
      <c r="L7" s="23"/>
      <c r="M7" s="23"/>
      <c r="N7" s="23"/>
      <c r="O7" s="23"/>
      <c r="P7" s="23"/>
      <c r="Q7" s="23"/>
      <c r="R7" s="23"/>
      <c r="S7" s="23"/>
      <c r="T7" s="23"/>
      <c r="U7" s="23"/>
      <c r="V7" s="23"/>
      <c r="W7" s="23"/>
      <c r="X7" s="23"/>
      <c r="Y7" s="23"/>
      <c r="Z7" s="23"/>
    </row>
    <row r="8" customFormat="false" ht="38.25" hidden="false" customHeight="true" outlineLevel="0" collapsed="false">
      <c r="B8" s="24" t="n">
        <v>46231.780862963</v>
      </c>
      <c r="C8" s="25" t="n">
        <v>2</v>
      </c>
      <c r="D8" s="26" t="s">
        <v>84</v>
      </c>
      <c r="E8" s="26" t="s">
        <v>85</v>
      </c>
      <c r="F8" s="30" t="s">
        <v>85</v>
      </c>
      <c r="G8" s="31" t="s">
        <v>87</v>
      </c>
      <c r="H8" s="29"/>
      <c r="I8" s="1"/>
    </row>
    <row r="9" customFormat="false" ht="38.25" hidden="false" customHeight="true" outlineLevel="0" collapsed="false">
      <c r="B9" s="32" t="n">
        <v>46232</v>
      </c>
      <c r="C9" s="33" t="n">
        <v>3</v>
      </c>
      <c r="D9" s="33" t="s">
        <v>84</v>
      </c>
      <c r="E9" s="33" t="s">
        <v>85</v>
      </c>
      <c r="F9" s="30" t="s">
        <v>85</v>
      </c>
      <c r="G9" s="31" t="s">
        <v>88</v>
      </c>
      <c r="H9" s="29"/>
      <c r="I9" s="1"/>
    </row>
    <row r="10" customFormat="false" ht="38.25" hidden="false" customHeight="true" outlineLevel="0" collapsed="false">
      <c r="B10" s="32" t="n">
        <v>46233</v>
      </c>
      <c r="C10" s="33" t="n">
        <v>4</v>
      </c>
      <c r="D10" s="33" t="s">
        <v>84</v>
      </c>
      <c r="E10" s="33" t="s">
        <v>85</v>
      </c>
      <c r="F10" s="30" t="s">
        <v>85</v>
      </c>
      <c r="G10" s="31" t="s">
        <v>89</v>
      </c>
      <c r="H10" s="29"/>
      <c r="I10" s="1"/>
    </row>
    <row r="11" customFormat="false" ht="38.25" hidden="false" customHeight="true" outlineLevel="0" collapsed="false">
      <c r="B11" s="32" t="n">
        <v>46233</v>
      </c>
      <c r="C11" s="33" t="n">
        <v>5</v>
      </c>
      <c r="D11" s="33" t="s">
        <v>84</v>
      </c>
      <c r="E11" s="33" t="s">
        <v>85</v>
      </c>
      <c r="F11" s="30" t="s">
        <v>85</v>
      </c>
      <c r="G11" s="31" t="s">
        <v>90</v>
      </c>
      <c r="H11" s="29"/>
      <c r="I11" s="1"/>
    </row>
    <row r="12" customFormat="false" ht="38.25" hidden="false" customHeight="true" outlineLevel="0" collapsed="false">
      <c r="B12" s="32"/>
      <c r="C12" s="33"/>
      <c r="D12" s="33"/>
      <c r="E12" s="33"/>
      <c r="F12" s="30"/>
      <c r="G12" s="31"/>
      <c r="H12" s="29"/>
      <c r="I12" s="1"/>
    </row>
    <row r="13" customFormat="false" ht="38.25" hidden="false" customHeight="true" outlineLevel="0" collapsed="false">
      <c r="B13" s="32"/>
      <c r="C13" s="33"/>
      <c r="D13" s="33"/>
      <c r="E13" s="33"/>
      <c r="F13" s="30"/>
      <c r="G13" s="31"/>
      <c r="H13" s="29"/>
      <c r="I13" s="1"/>
    </row>
    <row r="14" customFormat="false" ht="38.25" hidden="false" customHeight="true" outlineLevel="0" collapsed="false">
      <c r="B14" s="32"/>
      <c r="C14" s="33"/>
      <c r="D14" s="33"/>
      <c r="E14" s="33"/>
      <c r="F14" s="30"/>
      <c r="G14" s="31"/>
      <c r="H14" s="29"/>
      <c r="I14" s="1"/>
    </row>
    <row r="15" customFormat="false" ht="15" hidden="false" customHeight="true" outlineLevel="0" collapsed="false">
      <c r="I15" s="1"/>
    </row>
    <row r="16" customFormat="false" ht="15" hidden="false" customHeight="true" outlineLevel="0" collapsed="false">
      <c r="B16" s="8"/>
      <c r="C16" s="8"/>
      <c r="D16" s="8"/>
      <c r="E16" s="8"/>
      <c r="F16" s="8"/>
      <c r="G16" s="8"/>
      <c r="H16" s="8"/>
      <c r="I16" s="1"/>
    </row>
    <row r="17" customFormat="false" ht="15" hidden="false" customHeight="true" outlineLevel="0" collapsed="false">
      <c r="B17" s="9"/>
      <c r="C17" s="9"/>
      <c r="D17" s="9"/>
      <c r="E17" s="9"/>
      <c r="F17" s="9"/>
      <c r="G17" s="9"/>
      <c r="H17" s="9"/>
      <c r="I17" s="1"/>
    </row>
    <row r="18" customFormat="false" ht="15" hidden="false" customHeight="true" outlineLevel="0" collapsed="false">
      <c r="B18" s="9"/>
      <c r="C18" s="9"/>
      <c r="D18" s="9"/>
      <c r="E18" s="9"/>
      <c r="F18" s="9"/>
      <c r="G18" s="9"/>
      <c r="H18" s="9"/>
      <c r="I18" s="1"/>
    </row>
    <row r="19" customFormat="false" ht="15" hidden="false" customHeight="true" outlineLevel="0" collapsed="false">
      <c r="I19" s="1"/>
    </row>
    <row r="20" customFormat="false" ht="15.75" hidden="false" customHeight="true" outlineLevel="0" collapsed="false">
      <c r="I20" s="1"/>
    </row>
    <row r="21" customFormat="false" ht="15.75" hidden="false" customHeight="true" outlineLevel="0" collapsed="false">
      <c r="I21" s="1"/>
    </row>
    <row r="22" customFormat="false" ht="15.75" hidden="false" customHeight="true" outlineLevel="0" collapsed="false">
      <c r="I22" s="1"/>
    </row>
    <row r="23" customFormat="false" ht="15.75" hidden="false" customHeight="true" outlineLevel="0" collapsed="false">
      <c r="I23" s="1"/>
    </row>
    <row r="24" customFormat="false" ht="15.75" hidden="false" customHeight="true" outlineLevel="0" collapsed="false">
      <c r="I24" s="1"/>
    </row>
    <row r="25" customFormat="false" ht="15.75" hidden="false" customHeight="true" outlineLevel="0" collapsed="false">
      <c r="I25" s="1"/>
    </row>
    <row r="26" customFormat="false" ht="15.75" hidden="false" customHeight="true" outlineLevel="0" collapsed="false">
      <c r="I26" s="1"/>
    </row>
    <row r="27" customFormat="false" ht="15.75" hidden="false" customHeight="true" outlineLevel="0" collapsed="false">
      <c r="I27" s="1"/>
    </row>
    <row r="28" customFormat="false" ht="15.75" hidden="false" customHeight="true" outlineLevel="0" collapsed="false">
      <c r="I28" s="1"/>
    </row>
    <row r="29" customFormat="false" ht="15.75" hidden="false" customHeight="true" outlineLevel="0" collapsed="false">
      <c r="I29" s="1"/>
    </row>
    <row r="30" customFormat="false" ht="15.75" hidden="false" customHeight="true" outlineLevel="0" collapsed="false">
      <c r="I30" s="1"/>
    </row>
    <row r="31" customFormat="false" ht="15.75" hidden="false" customHeight="true" outlineLevel="0" collapsed="false">
      <c r="I31" s="1"/>
    </row>
    <row r="32" customFormat="false" ht="15.75" hidden="false" customHeight="true" outlineLevel="0" collapsed="false">
      <c r="I32" s="1"/>
    </row>
    <row r="33" customFormat="false" ht="15.75" hidden="false" customHeight="true" outlineLevel="0" collapsed="false">
      <c r="I33" s="1"/>
    </row>
    <row r="34" customFormat="false" ht="15.75" hidden="false" customHeight="true" outlineLevel="0" collapsed="false">
      <c r="I34" s="1"/>
    </row>
    <row r="35" customFormat="false" ht="15.75" hidden="false" customHeight="true" outlineLevel="0" collapsed="false">
      <c r="I35" s="1"/>
    </row>
    <row r="36" customFormat="false" ht="15.75" hidden="false" customHeight="true" outlineLevel="0" collapsed="false">
      <c r="I36" s="1"/>
    </row>
    <row r="37" customFormat="false" ht="15.75" hidden="false" customHeight="true" outlineLevel="0" collapsed="false">
      <c r="I37" s="1"/>
    </row>
    <row r="38" customFormat="false" ht="15.75" hidden="false" customHeight="true" outlineLevel="0" collapsed="false">
      <c r="I38" s="1"/>
    </row>
    <row r="39" customFormat="false" ht="15.75" hidden="false" customHeight="true" outlineLevel="0" collapsed="false">
      <c r="I39" s="1"/>
    </row>
    <row r="40" customFormat="false" ht="15.75" hidden="false" customHeight="true" outlineLevel="0" collapsed="false">
      <c r="I40" s="1"/>
    </row>
    <row r="41" customFormat="false" ht="15.75" hidden="false" customHeight="true" outlineLevel="0" collapsed="false">
      <c r="I41" s="1"/>
    </row>
    <row r="42" customFormat="false" ht="15.75" hidden="false" customHeight="true" outlineLevel="0" collapsed="false">
      <c r="I42" s="1"/>
    </row>
    <row r="43" customFormat="false" ht="15.75" hidden="false" customHeight="true" outlineLevel="0" collapsed="false">
      <c r="I43" s="1"/>
    </row>
    <row r="44" customFormat="false" ht="15.75" hidden="false" customHeight="true" outlineLevel="0" collapsed="false">
      <c r="I44" s="1"/>
    </row>
    <row r="45" customFormat="false" ht="15.75" hidden="false" customHeight="true" outlineLevel="0" collapsed="false">
      <c r="I45" s="1"/>
    </row>
    <row r="46" customFormat="false" ht="15.75" hidden="false" customHeight="true" outlineLevel="0" collapsed="false">
      <c r="I46" s="1"/>
    </row>
    <row r="47" customFormat="false" ht="15.75" hidden="false" customHeight="true" outlineLevel="0" collapsed="false">
      <c r="I47" s="1"/>
    </row>
    <row r="48" customFormat="false" ht="15.75" hidden="false" customHeight="true" outlineLevel="0" collapsed="false">
      <c r="I48" s="1"/>
    </row>
    <row r="49" customFormat="false" ht="15.75" hidden="false" customHeight="true" outlineLevel="0" collapsed="false">
      <c r="I49" s="1"/>
    </row>
    <row r="50" customFormat="false" ht="15.75" hidden="false" customHeight="true" outlineLevel="0" collapsed="false">
      <c r="I50" s="1"/>
    </row>
    <row r="51" customFormat="false" ht="15.75" hidden="false" customHeight="true" outlineLevel="0" collapsed="false">
      <c r="I51" s="1"/>
    </row>
    <row r="52" customFormat="false" ht="15.75" hidden="false" customHeight="true" outlineLevel="0" collapsed="false">
      <c r="I52" s="1"/>
    </row>
    <row r="53" customFormat="false" ht="15.75" hidden="false" customHeight="true" outlineLevel="0" collapsed="false">
      <c r="I53" s="1"/>
    </row>
    <row r="54" customFormat="false" ht="15.75" hidden="false" customHeight="true" outlineLevel="0" collapsed="false">
      <c r="I54" s="1"/>
    </row>
    <row r="55" customFormat="false" ht="15.75" hidden="false" customHeight="true" outlineLevel="0" collapsed="false">
      <c r="I55" s="1"/>
    </row>
    <row r="56" customFormat="false" ht="15.75" hidden="false" customHeight="true" outlineLevel="0" collapsed="false">
      <c r="I56" s="1"/>
    </row>
    <row r="57" customFormat="false" ht="15.75" hidden="false" customHeight="true" outlineLevel="0" collapsed="false">
      <c r="I57" s="1"/>
    </row>
    <row r="58" customFormat="false" ht="15.75" hidden="false" customHeight="true" outlineLevel="0" collapsed="false">
      <c r="I58" s="1"/>
    </row>
    <row r="59" customFormat="false" ht="15.75" hidden="false" customHeight="true" outlineLevel="0" collapsed="false">
      <c r="I59" s="1"/>
    </row>
    <row r="60" customFormat="false" ht="15.75" hidden="false" customHeight="true" outlineLevel="0" collapsed="false">
      <c r="I60" s="1"/>
    </row>
    <row r="61" customFormat="false" ht="15.75" hidden="false" customHeight="true" outlineLevel="0" collapsed="false">
      <c r="I61" s="1"/>
    </row>
    <row r="62" customFormat="false" ht="15.75" hidden="false" customHeight="true" outlineLevel="0" collapsed="false">
      <c r="I62" s="1"/>
    </row>
    <row r="63" customFormat="false" ht="15.75" hidden="false" customHeight="true" outlineLevel="0" collapsed="false">
      <c r="I63" s="1"/>
    </row>
    <row r="64" customFormat="false" ht="15.75" hidden="false" customHeight="true" outlineLevel="0" collapsed="false">
      <c r="I64" s="1"/>
    </row>
    <row r="65" customFormat="false" ht="15.75" hidden="false" customHeight="true" outlineLevel="0" collapsed="false">
      <c r="I65" s="1"/>
    </row>
    <row r="66" customFormat="false" ht="15.75" hidden="false" customHeight="true" outlineLevel="0" collapsed="false">
      <c r="I66" s="1"/>
    </row>
    <row r="67" customFormat="false" ht="15.75" hidden="false" customHeight="true" outlineLevel="0" collapsed="false">
      <c r="I67" s="1"/>
    </row>
    <row r="68" customFormat="false" ht="15.75" hidden="false" customHeight="true" outlineLevel="0" collapsed="false">
      <c r="I68" s="1"/>
    </row>
    <row r="69" customFormat="false" ht="15.75" hidden="false" customHeight="true" outlineLevel="0" collapsed="false">
      <c r="I69" s="1"/>
    </row>
    <row r="70" customFormat="false" ht="15.75" hidden="false" customHeight="true" outlineLevel="0" collapsed="false">
      <c r="I70" s="1"/>
    </row>
    <row r="71" customFormat="false" ht="15.75" hidden="false" customHeight="true" outlineLevel="0" collapsed="false">
      <c r="I71" s="1"/>
    </row>
    <row r="72" customFormat="false" ht="15.75" hidden="false" customHeight="true" outlineLevel="0" collapsed="false">
      <c r="I72" s="1"/>
    </row>
    <row r="73" customFormat="false" ht="15.75" hidden="false" customHeight="true" outlineLevel="0" collapsed="false">
      <c r="I73" s="1"/>
    </row>
    <row r="74" customFormat="false" ht="15.75" hidden="false" customHeight="true" outlineLevel="0" collapsed="false">
      <c r="I74" s="1"/>
    </row>
    <row r="75" customFormat="false" ht="15.75" hidden="false" customHeight="true" outlineLevel="0" collapsed="false">
      <c r="I75" s="1"/>
    </row>
    <row r="76" customFormat="false" ht="15.75" hidden="false" customHeight="true" outlineLevel="0" collapsed="false">
      <c r="I76" s="1"/>
    </row>
    <row r="77" customFormat="false" ht="15.75" hidden="false" customHeight="true" outlineLevel="0" collapsed="false">
      <c r="I77" s="1"/>
    </row>
    <row r="78" customFormat="false" ht="15.75" hidden="false" customHeight="true" outlineLevel="0" collapsed="false">
      <c r="I78" s="1"/>
    </row>
    <row r="79" customFormat="false" ht="15.75" hidden="false" customHeight="true" outlineLevel="0" collapsed="false">
      <c r="I79" s="1"/>
    </row>
    <row r="80" customFormat="false" ht="15.75" hidden="false" customHeight="true" outlineLevel="0" collapsed="false">
      <c r="I80" s="1"/>
    </row>
    <row r="81" customFormat="false" ht="15.75" hidden="false" customHeight="true" outlineLevel="0" collapsed="false">
      <c r="I81" s="1"/>
    </row>
    <row r="82" customFormat="false" ht="15.75" hidden="false" customHeight="true" outlineLevel="0" collapsed="false">
      <c r="I82" s="1"/>
    </row>
    <row r="83" customFormat="false" ht="15.75" hidden="false" customHeight="true" outlineLevel="0" collapsed="false">
      <c r="I83" s="1"/>
    </row>
    <row r="84" customFormat="false" ht="15.75" hidden="false" customHeight="true" outlineLevel="0" collapsed="false">
      <c r="I84" s="1"/>
    </row>
    <row r="85" customFormat="false" ht="15.75" hidden="false" customHeight="true" outlineLevel="0" collapsed="false">
      <c r="I85" s="1"/>
    </row>
    <row r="86" customFormat="false" ht="15.75" hidden="false" customHeight="true" outlineLevel="0" collapsed="false">
      <c r="I86" s="1"/>
    </row>
    <row r="87" customFormat="false" ht="15.75" hidden="false" customHeight="true" outlineLevel="0" collapsed="false">
      <c r="I87" s="1"/>
    </row>
    <row r="88" customFormat="false" ht="15.75" hidden="false" customHeight="true" outlineLevel="0" collapsed="false">
      <c r="I88" s="1"/>
    </row>
    <row r="89" customFormat="false" ht="15.75" hidden="false" customHeight="true" outlineLevel="0" collapsed="false">
      <c r="I89" s="1"/>
    </row>
    <row r="90" customFormat="false" ht="15.75" hidden="false" customHeight="true" outlineLevel="0" collapsed="false">
      <c r="I90" s="1"/>
    </row>
    <row r="91" customFormat="false" ht="15.75" hidden="false" customHeight="true" outlineLevel="0" collapsed="false">
      <c r="I91" s="1"/>
    </row>
    <row r="92" customFormat="false" ht="15.75" hidden="false" customHeight="true" outlineLevel="0" collapsed="false">
      <c r="I92" s="1"/>
    </row>
    <row r="93" customFormat="false" ht="15.75" hidden="false" customHeight="true" outlineLevel="0" collapsed="false">
      <c r="I93" s="1"/>
    </row>
    <row r="94" customFormat="false" ht="15.75" hidden="false" customHeight="true" outlineLevel="0" collapsed="false">
      <c r="I94" s="1"/>
    </row>
    <row r="95" customFormat="false" ht="15.75" hidden="false" customHeight="true" outlineLevel="0" collapsed="false">
      <c r="I95" s="1"/>
    </row>
    <row r="96" customFormat="false" ht="15.75" hidden="false" customHeight="true" outlineLevel="0" collapsed="false">
      <c r="I96" s="1"/>
    </row>
    <row r="97" customFormat="false" ht="15.75" hidden="false" customHeight="true" outlineLevel="0" collapsed="false">
      <c r="I97" s="1"/>
    </row>
    <row r="98" customFormat="false" ht="15.75" hidden="false" customHeight="true" outlineLevel="0" collapsed="false">
      <c r="I98" s="1"/>
    </row>
    <row r="99" customFormat="false" ht="15.75" hidden="false" customHeight="true" outlineLevel="0" collapsed="false">
      <c r="I99" s="1"/>
    </row>
    <row r="100" customFormat="false" ht="15.75" hidden="false" customHeight="true" outlineLevel="0" collapsed="false">
      <c r="I100" s="1"/>
    </row>
    <row r="101" customFormat="false" ht="15.75" hidden="false" customHeight="true" outlineLevel="0" collapsed="false">
      <c r="I101" s="1"/>
    </row>
    <row r="102" customFormat="false" ht="15.75" hidden="false" customHeight="true" outlineLevel="0" collapsed="false">
      <c r="I102" s="1"/>
    </row>
    <row r="103" customFormat="false" ht="15.75" hidden="false" customHeight="true" outlineLevel="0" collapsed="false">
      <c r="I103" s="1"/>
    </row>
    <row r="104" customFormat="false" ht="15.75" hidden="false" customHeight="true" outlineLevel="0" collapsed="false">
      <c r="I104" s="1"/>
    </row>
    <row r="105" customFormat="false" ht="15.75" hidden="false" customHeight="true" outlineLevel="0" collapsed="false">
      <c r="I105" s="1"/>
    </row>
    <row r="106" customFormat="false" ht="15.75" hidden="false" customHeight="true" outlineLevel="0" collapsed="false">
      <c r="I106" s="1"/>
    </row>
    <row r="107" customFormat="false" ht="15.75" hidden="false" customHeight="true" outlineLevel="0" collapsed="false">
      <c r="I107" s="1"/>
    </row>
    <row r="108" customFormat="false" ht="15.75" hidden="false" customHeight="true" outlineLevel="0" collapsed="false">
      <c r="I108" s="1"/>
    </row>
    <row r="109" customFormat="false" ht="15.75" hidden="false" customHeight="true" outlineLevel="0" collapsed="false">
      <c r="I109" s="1"/>
    </row>
    <row r="110" customFormat="false" ht="15.75" hidden="false" customHeight="true" outlineLevel="0" collapsed="false">
      <c r="I110" s="1"/>
    </row>
    <row r="111" customFormat="false" ht="15.75" hidden="false" customHeight="true" outlineLevel="0" collapsed="false">
      <c r="I111" s="1"/>
    </row>
    <row r="112" customFormat="false" ht="15.75" hidden="false" customHeight="true" outlineLevel="0" collapsed="false">
      <c r="I112" s="1"/>
    </row>
    <row r="113" customFormat="false" ht="15.75" hidden="false" customHeight="true" outlineLevel="0" collapsed="false">
      <c r="I113" s="1"/>
    </row>
    <row r="114" customFormat="false" ht="15.75" hidden="false" customHeight="true" outlineLevel="0" collapsed="false">
      <c r="I114" s="1"/>
    </row>
    <row r="115" customFormat="false" ht="15.75" hidden="false" customHeight="true" outlineLevel="0" collapsed="false">
      <c r="I115" s="1"/>
    </row>
    <row r="116" customFormat="false" ht="15.75" hidden="false" customHeight="true" outlineLevel="0" collapsed="false">
      <c r="I116" s="1"/>
    </row>
    <row r="117" customFormat="false" ht="15.75" hidden="false" customHeight="true" outlineLevel="0" collapsed="false">
      <c r="I117" s="1"/>
    </row>
    <row r="118" customFormat="false" ht="15.75" hidden="false" customHeight="true" outlineLevel="0" collapsed="false">
      <c r="I118" s="1"/>
    </row>
    <row r="119" customFormat="false" ht="15.75" hidden="false" customHeight="true" outlineLevel="0" collapsed="false">
      <c r="I119" s="1"/>
    </row>
    <row r="120" customFormat="false" ht="15.75" hidden="false" customHeight="true" outlineLevel="0" collapsed="false">
      <c r="I120" s="1"/>
    </row>
    <row r="121" customFormat="false" ht="15.75" hidden="false" customHeight="true" outlineLevel="0" collapsed="false">
      <c r="I121" s="1"/>
    </row>
    <row r="122" customFormat="false" ht="15.75" hidden="false" customHeight="true" outlineLevel="0" collapsed="false">
      <c r="I122" s="1"/>
    </row>
    <row r="123" customFormat="false" ht="15.75" hidden="false" customHeight="true" outlineLevel="0" collapsed="false">
      <c r="I123" s="1"/>
    </row>
    <row r="124" customFormat="false" ht="15.75" hidden="false" customHeight="true" outlineLevel="0" collapsed="false">
      <c r="I124" s="1"/>
    </row>
    <row r="125" customFormat="false" ht="15.75" hidden="false" customHeight="true" outlineLevel="0" collapsed="false">
      <c r="I125" s="1"/>
    </row>
    <row r="126" customFormat="false" ht="15.75" hidden="false" customHeight="true" outlineLevel="0" collapsed="false">
      <c r="I126" s="1"/>
    </row>
    <row r="127" customFormat="false" ht="15.75" hidden="false" customHeight="true" outlineLevel="0" collapsed="false">
      <c r="I127" s="1"/>
    </row>
    <row r="128" customFormat="false" ht="15.75" hidden="false" customHeight="true" outlineLevel="0" collapsed="false">
      <c r="I128" s="1"/>
    </row>
    <row r="129" customFormat="false" ht="15.75" hidden="false" customHeight="true" outlineLevel="0" collapsed="false">
      <c r="I129" s="1"/>
    </row>
    <row r="130" customFormat="false" ht="15.75" hidden="false" customHeight="true" outlineLevel="0" collapsed="false">
      <c r="I130" s="1"/>
    </row>
    <row r="131" customFormat="false" ht="15.75" hidden="false" customHeight="true" outlineLevel="0" collapsed="false">
      <c r="I131" s="1"/>
    </row>
    <row r="132" customFormat="false" ht="15.75" hidden="false" customHeight="true" outlineLevel="0" collapsed="false">
      <c r="I132" s="1"/>
    </row>
    <row r="133" customFormat="false" ht="15.75" hidden="false" customHeight="true" outlineLevel="0" collapsed="false">
      <c r="I133" s="1"/>
    </row>
    <row r="134" customFormat="false" ht="15.75" hidden="false" customHeight="true" outlineLevel="0" collapsed="false">
      <c r="I134" s="1"/>
    </row>
    <row r="135" customFormat="false" ht="15.75" hidden="false" customHeight="true" outlineLevel="0" collapsed="false">
      <c r="I135" s="1"/>
    </row>
    <row r="136" customFormat="false" ht="15.75" hidden="false" customHeight="true" outlineLevel="0" collapsed="false">
      <c r="I136" s="1"/>
    </row>
    <row r="137" customFormat="false" ht="15.75" hidden="false" customHeight="true" outlineLevel="0" collapsed="false">
      <c r="I137" s="1"/>
    </row>
    <row r="138" customFormat="false" ht="15.75" hidden="false" customHeight="true" outlineLevel="0" collapsed="false">
      <c r="I138" s="1"/>
    </row>
    <row r="139" customFormat="false" ht="15.75" hidden="false" customHeight="true" outlineLevel="0" collapsed="false">
      <c r="I139" s="1"/>
    </row>
    <row r="140" customFormat="false" ht="15.75" hidden="false" customHeight="true" outlineLevel="0" collapsed="false">
      <c r="I140" s="1"/>
    </row>
    <row r="141" customFormat="false" ht="15.75" hidden="false" customHeight="true" outlineLevel="0" collapsed="false">
      <c r="I141" s="1"/>
    </row>
    <row r="142" customFormat="false" ht="15.75" hidden="false" customHeight="true" outlineLevel="0" collapsed="false">
      <c r="I142" s="1"/>
    </row>
    <row r="143" customFormat="false" ht="15.75" hidden="false" customHeight="true" outlineLevel="0" collapsed="false">
      <c r="I143" s="1"/>
    </row>
    <row r="144" customFormat="false" ht="15.75" hidden="false" customHeight="true" outlineLevel="0" collapsed="false">
      <c r="I144" s="1"/>
    </row>
    <row r="145" customFormat="false" ht="15.75" hidden="false" customHeight="true" outlineLevel="0" collapsed="false">
      <c r="I145" s="1"/>
    </row>
    <row r="146" customFormat="false" ht="15.75" hidden="false" customHeight="true" outlineLevel="0" collapsed="false">
      <c r="I146" s="1"/>
    </row>
    <row r="147" customFormat="false" ht="15.75" hidden="false" customHeight="true" outlineLevel="0" collapsed="false">
      <c r="I147" s="1"/>
    </row>
    <row r="148" customFormat="false" ht="15.75" hidden="false" customHeight="true" outlineLevel="0" collapsed="false">
      <c r="I148" s="1"/>
    </row>
    <row r="149" customFormat="false" ht="15.75" hidden="false" customHeight="true" outlineLevel="0" collapsed="false">
      <c r="I149" s="1"/>
    </row>
    <row r="150" customFormat="false" ht="15.75" hidden="false" customHeight="true" outlineLevel="0" collapsed="false">
      <c r="I150" s="1"/>
    </row>
    <row r="151" customFormat="false" ht="15.75" hidden="false" customHeight="true" outlineLevel="0" collapsed="false">
      <c r="I151" s="1"/>
    </row>
    <row r="152" customFormat="false" ht="15.75" hidden="false" customHeight="true" outlineLevel="0" collapsed="false">
      <c r="I152" s="1"/>
    </row>
    <row r="153" customFormat="false" ht="15.75" hidden="false" customHeight="true" outlineLevel="0" collapsed="false">
      <c r="I153" s="1"/>
    </row>
    <row r="154" customFormat="false" ht="15.75" hidden="false" customHeight="true" outlineLevel="0" collapsed="false">
      <c r="I154" s="1"/>
    </row>
    <row r="155" customFormat="false" ht="15.75" hidden="false" customHeight="true" outlineLevel="0" collapsed="false">
      <c r="I155" s="1"/>
    </row>
    <row r="156" customFormat="false" ht="15.75" hidden="false" customHeight="true" outlineLevel="0" collapsed="false">
      <c r="I156" s="1"/>
    </row>
    <row r="157" customFormat="false" ht="15.75" hidden="false" customHeight="true" outlineLevel="0" collapsed="false">
      <c r="I157" s="1"/>
    </row>
    <row r="158" customFormat="false" ht="15.75" hidden="false" customHeight="true" outlineLevel="0" collapsed="false">
      <c r="I158" s="1"/>
    </row>
    <row r="159" customFormat="false" ht="15.75" hidden="false" customHeight="true" outlineLevel="0" collapsed="false">
      <c r="I159" s="1"/>
    </row>
    <row r="160" customFormat="false" ht="15.75" hidden="false" customHeight="true" outlineLevel="0" collapsed="false">
      <c r="I160" s="1"/>
    </row>
    <row r="161" customFormat="false" ht="15.75" hidden="false" customHeight="true" outlineLevel="0" collapsed="false">
      <c r="I161" s="1"/>
    </row>
    <row r="162" customFormat="false" ht="15.75" hidden="false" customHeight="true" outlineLevel="0" collapsed="false">
      <c r="I162" s="1"/>
    </row>
    <row r="163" customFormat="false" ht="15.75" hidden="false" customHeight="true" outlineLevel="0" collapsed="false">
      <c r="I163" s="1"/>
    </row>
    <row r="164" customFormat="false" ht="15.75" hidden="false" customHeight="true" outlineLevel="0" collapsed="false">
      <c r="I164" s="1"/>
    </row>
    <row r="165" customFormat="false" ht="15.75" hidden="false" customHeight="true" outlineLevel="0" collapsed="false">
      <c r="I165" s="1"/>
    </row>
    <row r="166" customFormat="false" ht="15.75" hidden="false" customHeight="true" outlineLevel="0" collapsed="false">
      <c r="I166" s="1"/>
    </row>
    <row r="167" customFormat="false" ht="15.75" hidden="false" customHeight="true" outlineLevel="0" collapsed="false">
      <c r="I167" s="1"/>
    </row>
    <row r="168" customFormat="false" ht="15.75" hidden="false" customHeight="true" outlineLevel="0" collapsed="false">
      <c r="I168" s="1"/>
    </row>
    <row r="169" customFormat="false" ht="15.75" hidden="false" customHeight="true" outlineLevel="0" collapsed="false">
      <c r="I169" s="1"/>
    </row>
    <row r="170" customFormat="false" ht="15.75" hidden="false" customHeight="true" outlineLevel="0" collapsed="false">
      <c r="I170" s="1"/>
    </row>
    <row r="171" customFormat="false" ht="15.75" hidden="false" customHeight="true" outlineLevel="0" collapsed="false">
      <c r="I171" s="1"/>
    </row>
    <row r="172" customFormat="false" ht="15.75" hidden="false" customHeight="true" outlineLevel="0" collapsed="false">
      <c r="I172" s="1"/>
    </row>
    <row r="173" customFormat="false" ht="15.75" hidden="false" customHeight="true" outlineLevel="0" collapsed="false">
      <c r="I173" s="1"/>
    </row>
    <row r="174" customFormat="false" ht="15.75" hidden="false" customHeight="true" outlineLevel="0" collapsed="false">
      <c r="I174" s="1"/>
    </row>
    <row r="175" customFormat="false" ht="15.75" hidden="false" customHeight="true" outlineLevel="0" collapsed="false">
      <c r="I175" s="1"/>
    </row>
    <row r="176" customFormat="false" ht="15.75" hidden="false" customHeight="true" outlineLevel="0" collapsed="false">
      <c r="I176" s="1"/>
    </row>
    <row r="177" customFormat="false" ht="15.75" hidden="false" customHeight="true" outlineLevel="0" collapsed="false">
      <c r="I177" s="1"/>
    </row>
    <row r="178" customFormat="false" ht="15.75" hidden="false" customHeight="true" outlineLevel="0" collapsed="false">
      <c r="I178" s="1"/>
    </row>
    <row r="179" customFormat="false" ht="15.75" hidden="false" customHeight="true" outlineLevel="0" collapsed="false">
      <c r="I179" s="1"/>
    </row>
    <row r="180" customFormat="false" ht="15.75" hidden="false" customHeight="true" outlineLevel="0" collapsed="false">
      <c r="I180" s="1"/>
    </row>
    <row r="181" customFormat="false" ht="15.75" hidden="false" customHeight="true" outlineLevel="0" collapsed="false">
      <c r="I181" s="1"/>
    </row>
    <row r="182" customFormat="false" ht="15.75" hidden="false" customHeight="true" outlineLevel="0" collapsed="false">
      <c r="I182" s="1"/>
    </row>
    <row r="183" customFormat="false" ht="15.75" hidden="false" customHeight="true" outlineLevel="0" collapsed="false">
      <c r="I183" s="1"/>
    </row>
    <row r="184" customFormat="false" ht="15.75" hidden="false" customHeight="true" outlineLevel="0" collapsed="false">
      <c r="I184" s="1"/>
    </row>
    <row r="185" customFormat="false" ht="15.75" hidden="false" customHeight="true" outlineLevel="0" collapsed="false">
      <c r="I185" s="1"/>
    </row>
    <row r="186" customFormat="false" ht="15.75" hidden="false" customHeight="true" outlineLevel="0" collapsed="false">
      <c r="I186" s="1"/>
    </row>
    <row r="187" customFormat="false" ht="15.75" hidden="false" customHeight="true" outlineLevel="0" collapsed="false">
      <c r="I187" s="1"/>
    </row>
    <row r="188" customFormat="false" ht="15.75" hidden="false" customHeight="true" outlineLevel="0" collapsed="false">
      <c r="I188" s="1"/>
    </row>
    <row r="189" customFormat="false" ht="15.75" hidden="false" customHeight="true" outlineLevel="0" collapsed="false">
      <c r="I189" s="1"/>
    </row>
    <row r="190" customFormat="false" ht="15.75" hidden="false" customHeight="true" outlineLevel="0" collapsed="false">
      <c r="I190" s="1"/>
    </row>
    <row r="191" customFormat="false" ht="15.75" hidden="false" customHeight="true" outlineLevel="0" collapsed="false">
      <c r="I191" s="1"/>
    </row>
    <row r="192" customFormat="false" ht="15.75" hidden="false" customHeight="true" outlineLevel="0" collapsed="false">
      <c r="I192" s="1"/>
    </row>
    <row r="193" customFormat="false" ht="15.75" hidden="false" customHeight="true" outlineLevel="0" collapsed="false">
      <c r="I193" s="1"/>
    </row>
    <row r="194" customFormat="false" ht="15.75" hidden="false" customHeight="true" outlineLevel="0" collapsed="false">
      <c r="I194" s="1"/>
    </row>
    <row r="195" customFormat="false" ht="15.75" hidden="false" customHeight="true" outlineLevel="0" collapsed="false">
      <c r="I195" s="1"/>
    </row>
    <row r="196" customFormat="false" ht="15.75" hidden="false" customHeight="true" outlineLevel="0" collapsed="false">
      <c r="I196" s="1"/>
    </row>
    <row r="197" customFormat="false" ht="15.75" hidden="false" customHeight="true" outlineLevel="0" collapsed="false">
      <c r="I197" s="1"/>
    </row>
    <row r="198" customFormat="false" ht="15.75" hidden="false" customHeight="true" outlineLevel="0" collapsed="false">
      <c r="I198" s="1"/>
    </row>
    <row r="199" customFormat="false" ht="15.75" hidden="false" customHeight="true" outlineLevel="0" collapsed="false">
      <c r="I199" s="1"/>
    </row>
    <row r="200" customFormat="false" ht="15.75" hidden="false" customHeight="true" outlineLevel="0" collapsed="false">
      <c r="I200" s="1"/>
    </row>
    <row r="201" customFormat="false" ht="15.75" hidden="false" customHeight="true" outlineLevel="0" collapsed="false">
      <c r="I201" s="1"/>
    </row>
    <row r="202" customFormat="false" ht="15.75" hidden="false" customHeight="true" outlineLevel="0" collapsed="false">
      <c r="I202" s="1"/>
    </row>
    <row r="203" customFormat="false" ht="15.75" hidden="false" customHeight="true" outlineLevel="0" collapsed="false">
      <c r="I203" s="1"/>
    </row>
    <row r="204" customFormat="false" ht="15.75" hidden="false" customHeight="true" outlineLevel="0" collapsed="false">
      <c r="I204" s="1"/>
    </row>
    <row r="205" customFormat="false" ht="15.75" hidden="false" customHeight="true" outlineLevel="0" collapsed="false">
      <c r="I205" s="1"/>
    </row>
    <row r="206" customFormat="false" ht="15.75" hidden="false" customHeight="true" outlineLevel="0" collapsed="false">
      <c r="I206" s="1"/>
    </row>
    <row r="207" customFormat="false" ht="15.75" hidden="false" customHeight="true" outlineLevel="0" collapsed="false">
      <c r="I207" s="1"/>
    </row>
    <row r="208" customFormat="false" ht="15.75" hidden="false" customHeight="true" outlineLevel="0" collapsed="false">
      <c r="I208" s="1"/>
    </row>
    <row r="209" customFormat="false" ht="15.75" hidden="false" customHeight="true" outlineLevel="0" collapsed="false">
      <c r="I209" s="1"/>
    </row>
    <row r="210" customFormat="false" ht="15.75" hidden="false" customHeight="true" outlineLevel="0" collapsed="false">
      <c r="I210" s="1"/>
    </row>
    <row r="211" customFormat="false" ht="15.75" hidden="false" customHeight="true" outlineLevel="0" collapsed="false">
      <c r="I211" s="1"/>
    </row>
    <row r="212" customFormat="false" ht="15.75" hidden="false" customHeight="true" outlineLevel="0" collapsed="false">
      <c r="I212" s="1"/>
    </row>
    <row r="213" customFormat="false" ht="15.75" hidden="false" customHeight="true" outlineLevel="0" collapsed="false">
      <c r="I213" s="1"/>
    </row>
    <row r="214" customFormat="false" ht="15.75" hidden="false" customHeight="true" outlineLevel="0" collapsed="false">
      <c r="I214" s="1"/>
    </row>
    <row r="215" customFormat="false" ht="15.75" hidden="false" customHeight="true" outlineLevel="0" collapsed="false">
      <c r="I215" s="1"/>
    </row>
    <row r="216" customFormat="false" ht="15.75" hidden="false" customHeight="true" outlineLevel="0" collapsed="false">
      <c r="I216" s="1"/>
    </row>
    <row r="217" customFormat="false" ht="15.75" hidden="false" customHeight="true" outlineLevel="0" collapsed="false">
      <c r="I217" s="1"/>
    </row>
    <row r="218" customFormat="false" ht="15.75" hidden="false" customHeight="true" outlineLevel="0" collapsed="false">
      <c r="I218" s="1"/>
    </row>
    <row r="219" customFormat="false" ht="15.75" hidden="false" customHeight="true" outlineLevel="0" collapsed="false">
      <c r="I219" s="1"/>
    </row>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F2:H2"/>
    <mergeCell ref="B16:H16"/>
    <mergeCell ref="B17:H17"/>
    <mergeCell ref="B18:H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1000"/>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6" min="3" style="1" width="11"/>
    <col collapsed="false" customWidth="true" hidden="false" outlineLevel="0" max="7" min="7" style="1" width="16.14"/>
  </cols>
  <sheetData>
    <row r="2" customFormat="false" ht="20.25" hidden="false" customHeight="true" outlineLevel="0" collapsed="false">
      <c r="B2" s="34" t="s">
        <v>91</v>
      </c>
    </row>
    <row r="3" customFormat="false" ht="15" hidden="false" customHeight="true" outlineLevel="0" collapsed="false">
      <c r="B3" s="35" t="s">
        <v>92</v>
      </c>
    </row>
    <row r="5" customFormat="false" ht="40.5" hidden="false" customHeight="true" outlineLevel="0" collapsed="false">
      <c r="B5" s="36" t="s">
        <v>93</v>
      </c>
      <c r="C5" s="36"/>
      <c r="D5" s="36"/>
      <c r="E5" s="36"/>
    </row>
    <row r="6" customFormat="false" ht="15" hidden="false" customHeight="true" outlineLevel="0" collapsed="false">
      <c r="B6" s="37" t="s">
        <v>94</v>
      </c>
      <c r="C6" s="38" t="s">
        <v>0</v>
      </c>
      <c r="D6" s="38"/>
      <c r="E6" s="38"/>
    </row>
    <row r="7" customFormat="false" ht="15" hidden="false" customHeight="true" outlineLevel="0" collapsed="false">
      <c r="B7" s="37" t="s">
        <v>95</v>
      </c>
      <c r="C7" s="39" t="s">
        <v>4</v>
      </c>
      <c r="D7" s="39"/>
      <c r="E7" s="39"/>
    </row>
    <row r="8" customFormat="false" ht="15" hidden="false" customHeight="true" outlineLevel="0" collapsed="false">
      <c r="B8" s="37" t="s">
        <v>79</v>
      </c>
      <c r="C8" s="38" t="s">
        <v>96</v>
      </c>
      <c r="D8" s="38"/>
      <c r="E8" s="38"/>
    </row>
    <row r="9" customFormat="false" ht="15" hidden="false" customHeight="true" outlineLevel="0" collapsed="false">
      <c r="B9" s="37" t="s">
        <v>97</v>
      </c>
      <c r="C9" s="38" t="s">
        <v>98</v>
      </c>
      <c r="D9" s="38"/>
      <c r="E9" s="38"/>
    </row>
    <row r="10" customFormat="false" ht="15" hidden="false" customHeight="true" outlineLevel="0" collapsed="false">
      <c r="B10" s="37" t="s">
        <v>99</v>
      </c>
      <c r="C10" s="40" t="n">
        <v>46231</v>
      </c>
      <c r="D10" s="40"/>
      <c r="E10" s="40"/>
    </row>
    <row r="11" customFormat="false" ht="15" hidden="false" customHeight="true" outlineLevel="0" collapsed="false">
      <c r="B11" s="37" t="s">
        <v>100</v>
      </c>
      <c r="C11" s="40" t="n">
        <v>46231</v>
      </c>
      <c r="D11" s="40"/>
      <c r="E11" s="40"/>
    </row>
    <row r="12" customFormat="false" ht="15" hidden="false" customHeight="true" outlineLevel="0" collapsed="false">
      <c r="B12" s="37" t="s">
        <v>101</v>
      </c>
      <c r="C12" s="38" t="n">
        <f aca="false">COUNTIF(Dashboard!$D$4:$D$33,"?*")</f>
        <v>9</v>
      </c>
      <c r="D12" s="38"/>
      <c r="E12" s="38"/>
    </row>
    <row r="13" customFormat="false" ht="15" hidden="false" customHeight="true" outlineLevel="0" collapsed="false">
      <c r="B13" s="37" t="s">
        <v>102</v>
      </c>
      <c r="C13" s="40" t="s">
        <v>84</v>
      </c>
      <c r="D13" s="40"/>
      <c r="E13" s="40"/>
    </row>
    <row r="14" customFormat="false" ht="15" hidden="false" customHeight="true" outlineLevel="0" collapsed="false">
      <c r="B14" s="41" t="s">
        <v>103</v>
      </c>
      <c r="C14" s="41"/>
      <c r="D14" s="41"/>
      <c r="E14" s="41"/>
    </row>
    <row r="15" customFormat="false" ht="25.5" hidden="false" customHeight="true" outlineLevel="0" collapsed="false"/>
    <row r="16" customFormat="false" ht="25.5" hidden="false" customHeight="true" outlineLevel="0" collapsed="false">
      <c r="B16" s="36" t="s">
        <v>104</v>
      </c>
      <c r="C16" s="36"/>
      <c r="D16" s="36"/>
      <c r="E16" s="36"/>
      <c r="F16" s="36"/>
    </row>
    <row r="17" customFormat="false" ht="15" hidden="false" customHeight="true" outlineLevel="0" collapsed="false">
      <c r="B17" s="42" t="s">
        <v>105</v>
      </c>
      <c r="C17" s="43" t="n">
        <f aca="false">Dashboard!$F$34</f>
        <v>347</v>
      </c>
      <c r="D17" s="44"/>
      <c r="F17" s="45"/>
      <c r="G17" s="46"/>
      <c r="I17" s="47" t="s">
        <v>106</v>
      </c>
      <c r="J17" s="47"/>
    </row>
    <row r="18" customFormat="false" ht="15" hidden="false" customHeight="true" outlineLevel="0" collapsed="false">
      <c r="B18" s="48" t="s">
        <v>107</v>
      </c>
      <c r="C18" s="49" t="s">
        <v>108</v>
      </c>
      <c r="D18" s="50" t="s">
        <v>109</v>
      </c>
      <c r="E18" s="48" t="s">
        <v>110</v>
      </c>
      <c r="F18" s="48" t="s">
        <v>111</v>
      </c>
      <c r="G18" s="46"/>
      <c r="I18" s="48" t="s">
        <v>112</v>
      </c>
      <c r="J18" s="48" t="s">
        <v>113</v>
      </c>
    </row>
    <row r="19" customFormat="false" ht="15" hidden="false" customHeight="true" outlineLevel="0" collapsed="false">
      <c r="B19" s="51" t="s">
        <v>32</v>
      </c>
      <c r="C19" s="52" t="n">
        <f aca="false">Dashboard!$O$34</f>
        <v>50</v>
      </c>
      <c r="D19" s="53" t="n">
        <f aca="false">IFERROR(C19/$C$17,0)</f>
        <v>0.144092219020173</v>
      </c>
      <c r="E19" s="52" t="n">
        <f aca="false">Dashboard!$AB$34</f>
        <v>3</v>
      </c>
      <c r="F19" s="53" t="n">
        <f aca="false">IFERROR(E19/C19,0)</f>
        <v>0.06</v>
      </c>
      <c r="G19" s="46"/>
      <c r="I19" s="54" t="s">
        <v>40</v>
      </c>
      <c r="J19" s="52" t="n">
        <f aca="false">Dashboard!$R$34</f>
        <v>216</v>
      </c>
    </row>
    <row r="20" customFormat="false" ht="15.75" hidden="false" customHeight="true" outlineLevel="0" collapsed="false">
      <c r="B20" s="51" t="s">
        <v>34</v>
      </c>
      <c r="C20" s="52" t="n">
        <f aca="false">Dashboard!$P$34</f>
        <v>196</v>
      </c>
      <c r="D20" s="53" t="n">
        <f aca="false">IFERROR(C20/$C$17,0)</f>
        <v>0.564841498559078</v>
      </c>
      <c r="E20" s="52" t="n">
        <f aca="false">Dashboard!$AC$34</f>
        <v>48</v>
      </c>
      <c r="F20" s="53" t="n">
        <f aca="false">IFERROR(E20/C20,0)</f>
        <v>0.244897959183673</v>
      </c>
      <c r="G20" s="46"/>
      <c r="I20" s="54" t="s">
        <v>42</v>
      </c>
      <c r="J20" s="52" t="n">
        <f aca="false">Dashboard!$S$34</f>
        <v>130</v>
      </c>
    </row>
    <row r="21" customFormat="false" ht="15.75" hidden="false" customHeight="true" outlineLevel="0" collapsed="false">
      <c r="B21" s="51" t="s">
        <v>36</v>
      </c>
      <c r="C21" s="52" t="n">
        <f aca="false">Dashboard!$Q$34</f>
        <v>101</v>
      </c>
      <c r="D21" s="53" t="n">
        <f aca="false">IFERROR(C21/$C$17,0)</f>
        <v>0.291066282420749</v>
      </c>
      <c r="E21" s="52" t="n">
        <f aca="false">Dashboard!$AD$34</f>
        <v>34</v>
      </c>
      <c r="F21" s="53" t="n">
        <f aca="false">IFERROR(E21/C21,0)</f>
        <v>0.336633663366337</v>
      </c>
      <c r="I21" s="54" t="s">
        <v>44</v>
      </c>
      <c r="J21" s="52" t="n">
        <f aca="false">Dashboard!$T$34</f>
        <v>1</v>
      </c>
    </row>
    <row r="22" customFormat="false" ht="15.75" hidden="false" customHeight="true" outlineLevel="0" collapsed="false">
      <c r="B22" s="55" t="s">
        <v>114</v>
      </c>
      <c r="C22" s="43" t="n">
        <f aca="false">SUM(C19:C21)</f>
        <v>347</v>
      </c>
      <c r="D22" s="56" t="n">
        <f aca="false">IFERROR(C22/$C$17,0)</f>
        <v>1</v>
      </c>
      <c r="E22" s="43" t="n">
        <f aca="false">SUM(E19:E21)</f>
        <v>85</v>
      </c>
      <c r="F22" s="56" t="n">
        <f aca="false">IFERROR(E22/C22,0)</f>
        <v>0.244956772334294</v>
      </c>
      <c r="I22" s="54" t="s">
        <v>46</v>
      </c>
      <c r="J22" s="52" t="n">
        <f aca="false">Dashboard!$U$34</f>
        <v>0</v>
      </c>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c r="B30" s="45"/>
      <c r="C30" s="46"/>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37.5" hidden="false" customHeight="true" outlineLevel="0" collapsed="false">
      <c r="B42" s="57" t="s">
        <v>115</v>
      </c>
      <c r="C42" s="57"/>
      <c r="D42" s="57"/>
      <c r="E42" s="57"/>
    </row>
    <row r="43" customFormat="false" ht="15.75" hidden="false" customHeight="true" outlineLevel="0" collapsed="false">
      <c r="B43" s="58" t="s">
        <v>116</v>
      </c>
      <c r="C43" s="59" t="s">
        <v>117</v>
      </c>
      <c r="D43" s="59" t="s">
        <v>118</v>
      </c>
      <c r="E43" s="59"/>
    </row>
    <row r="44" customFormat="false" ht="15.75" hidden="false" customHeight="true" outlineLevel="0" collapsed="false">
      <c r="B44" s="60" t="s">
        <v>119</v>
      </c>
      <c r="C44" s="61" t="n">
        <f aca="false">Dashboard!$V$34</f>
        <v>347</v>
      </c>
      <c r="D44" s="62" t="n">
        <f aca="false">IFERROR(C44/$C17,0)</f>
        <v>1</v>
      </c>
      <c r="E44" s="62"/>
    </row>
    <row r="45" customFormat="false" ht="15.75" hidden="false" customHeight="true" outlineLevel="0" collapsed="false">
      <c r="B45" s="60" t="s">
        <v>120</v>
      </c>
      <c r="C45" s="61" t="n">
        <f aca="false">Dashboard!$W$34</f>
        <v>0</v>
      </c>
      <c r="D45" s="62" t="n">
        <f aca="false">IFERROR(C45/$C17,0)</f>
        <v>0</v>
      </c>
      <c r="E45" s="62"/>
    </row>
    <row r="46" customFormat="false" ht="15.75" hidden="false" customHeight="true" outlineLevel="0" collapsed="false">
      <c r="B46" s="60" t="s">
        <v>121</v>
      </c>
      <c r="C46" s="61" t="n">
        <f aca="false">Dashboard!$X$34</f>
        <v>0</v>
      </c>
      <c r="D46" s="62" t="n">
        <f aca="false">IFERROR(C46/$C17,0)</f>
        <v>0</v>
      </c>
      <c r="E46" s="62"/>
    </row>
    <row r="47" customFormat="false" ht="15.75" hidden="false" customHeight="true" outlineLevel="0" collapsed="false">
      <c r="B47" s="60" t="s">
        <v>122</v>
      </c>
      <c r="C47" s="61" t="n">
        <f aca="false">Dashboard!$Y$34</f>
        <v>85</v>
      </c>
      <c r="D47" s="62" t="n">
        <f aca="false">IFERROR(C47/$C17,0)</f>
        <v>0.244956772334294</v>
      </c>
      <c r="E47" s="62"/>
    </row>
    <row r="48" customFormat="false" ht="15.75" hidden="false" customHeight="true" outlineLevel="0" collapsed="false">
      <c r="B48" s="60" t="s">
        <v>123</v>
      </c>
      <c r="C48" s="61" t="n">
        <f aca="false">Dashboard!$Z$34</f>
        <v>0</v>
      </c>
      <c r="D48" s="62" t="n">
        <f aca="false">IFERROR(C48/$C17,0)</f>
        <v>0</v>
      </c>
      <c r="E48" s="62"/>
    </row>
    <row r="49" customFormat="false" ht="15.75" hidden="false" customHeight="true" outlineLevel="0" collapsed="false">
      <c r="B49" s="60" t="s">
        <v>124</v>
      </c>
      <c r="C49" s="61" t="n">
        <f aca="false">Dashboard!$AA$34</f>
        <v>0</v>
      </c>
      <c r="D49" s="62" t="n">
        <f aca="false">IFERROR(C49/$C17,0)</f>
        <v>0</v>
      </c>
      <c r="E49" s="62"/>
    </row>
    <row r="50" customFormat="false" ht="15.75" hidden="false" customHeight="true" outlineLevel="0" collapsed="false"/>
    <row r="51" customFormat="false" ht="15.75" hidden="false" customHeight="true" outlineLevel="0" collapsed="false">
      <c r="B51" s="63" t="s">
        <v>125</v>
      </c>
      <c r="C51" s="63"/>
      <c r="D51" s="63"/>
      <c r="E51" s="63"/>
    </row>
    <row r="52" customFormat="false" ht="15.75" hidden="false" customHeight="true" outlineLevel="0" collapsed="false"/>
    <row r="53" customFormat="false" ht="15.75" hidden="false" customHeight="true" outlineLevel="0" collapsed="false">
      <c r="B53" s="64" t="s">
        <v>126</v>
      </c>
      <c r="C53" s="64"/>
      <c r="D53" s="64"/>
      <c r="E53" s="64"/>
    </row>
    <row r="54" customFormat="false" ht="15.75" hidden="false" customHeight="true" outlineLevel="0" collapsed="false"/>
    <row r="55" customFormat="false" ht="15.75" hidden="false" customHeight="true" outlineLevel="0" collapsed="false"/>
    <row r="56" customFormat="false" ht="40.5" hidden="false" customHeight="true" outlineLevel="0" collapsed="false">
      <c r="B56" s="36" t="s">
        <v>127</v>
      </c>
      <c r="C56" s="36"/>
      <c r="D56" s="36"/>
      <c r="E56" s="36"/>
      <c r="F56" s="36"/>
    </row>
    <row r="57" customFormat="false" ht="15.75" hidden="false" customHeight="true" outlineLevel="0" collapsed="false">
      <c r="B57" s="37" t="s">
        <v>128</v>
      </c>
      <c r="C57" s="38" t="s">
        <v>129</v>
      </c>
      <c r="D57" s="38"/>
      <c r="E57" s="38"/>
      <c r="F57" s="38"/>
    </row>
    <row r="58" customFormat="false" ht="15.75" hidden="false" customHeight="true" outlineLevel="0" collapsed="false">
      <c r="B58" s="37" t="s">
        <v>130</v>
      </c>
      <c r="C58" s="38" t="s">
        <v>131</v>
      </c>
      <c r="D58" s="38"/>
      <c r="E58" s="38"/>
      <c r="F58" s="38"/>
    </row>
    <row r="59" customFormat="false" ht="15.75" hidden="false" customHeight="true" outlineLevel="0" collapsed="false">
      <c r="B59" s="37" t="s">
        <v>132</v>
      </c>
      <c r="C59" s="38" t="s">
        <v>133</v>
      </c>
      <c r="D59" s="38"/>
      <c r="E59" s="38"/>
      <c r="F59" s="38"/>
    </row>
    <row r="60" customFormat="false" ht="15.75" hidden="false" customHeight="true" outlineLevel="0" collapsed="false">
      <c r="B60" s="37" t="s">
        <v>134</v>
      </c>
      <c r="C60" s="38" t="s">
        <v>135</v>
      </c>
      <c r="D60" s="38"/>
      <c r="E60" s="38"/>
      <c r="F60" s="38"/>
    </row>
    <row r="61" customFormat="false" ht="15.75" hidden="false" customHeight="true" outlineLevel="0" collapsed="false">
      <c r="B61" s="37" t="s">
        <v>136</v>
      </c>
      <c r="C61" s="38" t="s">
        <v>137</v>
      </c>
      <c r="D61" s="38"/>
      <c r="E61" s="38"/>
      <c r="F61" s="38"/>
    </row>
    <row r="62" customFormat="false" ht="15.75" hidden="false" customHeight="true" outlineLevel="0" collapsed="false">
      <c r="B62" s="37" t="s">
        <v>138</v>
      </c>
      <c r="C62" s="38" t="s">
        <v>139</v>
      </c>
      <c r="D62" s="38"/>
      <c r="E62" s="38"/>
      <c r="F62" s="38"/>
    </row>
    <row r="63" customFormat="false" ht="15.75" hidden="false" customHeight="true" outlineLevel="0" collapsed="false"/>
    <row r="64" customFormat="false" ht="15.75" hidden="false" customHeight="true" outlineLevel="0" collapsed="false">
      <c r="B64" s="65" t="s">
        <v>140</v>
      </c>
      <c r="C64" s="65"/>
      <c r="D64" s="65"/>
      <c r="E64" s="65"/>
      <c r="F64" s="65"/>
    </row>
    <row r="65" customFormat="false" ht="45.75" hidden="false" customHeight="true" outlineLevel="0" collapsed="false">
      <c r="B65" s="65"/>
      <c r="C65" s="65"/>
      <c r="D65" s="65"/>
      <c r="E65" s="65"/>
      <c r="F65" s="65"/>
    </row>
    <row r="66" customFormat="false" ht="15.75" hidden="false" customHeight="true" outlineLevel="0" collapsed="false">
      <c r="B66" s="66"/>
      <c r="C66" s="67"/>
      <c r="D66" s="68"/>
      <c r="E66" s="68"/>
      <c r="F66" s="69"/>
    </row>
    <row r="67" customFormat="false" ht="15.75" hidden="false" customHeight="true" outlineLevel="0" collapsed="false">
      <c r="B67" s="66"/>
      <c r="C67" s="67"/>
      <c r="D67" s="23"/>
      <c r="E67" s="23"/>
      <c r="F67" s="69"/>
    </row>
    <row r="68" customFormat="false" ht="15.75" hidden="false" customHeight="true" outlineLevel="0" collapsed="false">
      <c r="B68" s="66"/>
      <c r="C68" s="67"/>
      <c r="D68" s="23"/>
      <c r="E68" s="23"/>
      <c r="F68" s="69"/>
    </row>
    <row r="69" customFormat="false" ht="15.75" hidden="false" customHeight="true" outlineLevel="0" collapsed="false">
      <c r="B69" s="66"/>
      <c r="C69" s="67"/>
      <c r="D69" s="23"/>
      <c r="E69" s="23"/>
      <c r="F69" s="69"/>
    </row>
    <row r="70" customFormat="false" ht="15.75" hidden="false" customHeight="true" outlineLevel="0" collapsed="false">
      <c r="B70" s="66"/>
      <c r="C70" s="67"/>
      <c r="D70" s="23"/>
      <c r="E70" s="23"/>
      <c r="F70" s="69"/>
    </row>
    <row r="71" customFormat="false" ht="15.75" hidden="false" customHeight="true" outlineLevel="0" collapsed="false">
      <c r="B71" s="66"/>
      <c r="C71" s="67"/>
      <c r="D71" s="23"/>
      <c r="E71" s="23"/>
      <c r="F71" s="69"/>
    </row>
    <row r="72" customFormat="false" ht="15.75" hidden="false" customHeight="true" outlineLevel="0" collapsed="false">
      <c r="B72" s="66"/>
      <c r="C72" s="67"/>
      <c r="D72" s="23"/>
      <c r="E72" s="23"/>
      <c r="F72" s="69"/>
    </row>
    <row r="73" customFormat="false" ht="15.75" hidden="false" customHeight="true" outlineLevel="0" collapsed="false">
      <c r="B73" s="69"/>
      <c r="F73" s="69"/>
    </row>
    <row r="74" customFormat="false" ht="15.75" hidden="false" customHeight="true" outlineLevel="0" collapsed="false">
      <c r="B74" s="70"/>
      <c r="F74" s="71"/>
    </row>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0">
    <mergeCell ref="B5:E5"/>
    <mergeCell ref="C6:E6"/>
    <mergeCell ref="C7:E7"/>
    <mergeCell ref="C8:E8"/>
    <mergeCell ref="C9:E9"/>
    <mergeCell ref="C10:E10"/>
    <mergeCell ref="C11:E11"/>
    <mergeCell ref="C12:E12"/>
    <mergeCell ref="C13:E13"/>
    <mergeCell ref="B14:E14"/>
    <mergeCell ref="B16:F16"/>
    <mergeCell ref="I17:J17"/>
    <mergeCell ref="B42:E42"/>
    <mergeCell ref="D43:E43"/>
    <mergeCell ref="D44:E44"/>
    <mergeCell ref="D45:E45"/>
    <mergeCell ref="D46:E46"/>
    <mergeCell ref="D47:E47"/>
    <mergeCell ref="D48:E48"/>
    <mergeCell ref="D49:E49"/>
    <mergeCell ref="B51:E51"/>
    <mergeCell ref="B53:E53"/>
    <mergeCell ref="B56:F56"/>
    <mergeCell ref="C57:F57"/>
    <mergeCell ref="C58:F58"/>
    <mergeCell ref="C59:F59"/>
    <mergeCell ref="C60:F60"/>
    <mergeCell ref="C61:F61"/>
    <mergeCell ref="C62:F62"/>
    <mergeCell ref="B64:F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C1000"/>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F4" activeCellId="0" sqref="F4"/>
    </sheetView>
  </sheetViews>
  <sheetFormatPr defaultColWidth="14.43359375" defaultRowHeight="15" customHeight="true"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8"/>
    <col collapsed="false" customWidth="true" hidden="false" outlineLevel="0" max="4" min="4" style="1" width="16"/>
    <col collapsed="false" customWidth="true" hidden="false" outlineLevel="0" max="5" min="5" style="1" width="20"/>
    <col collapsed="false" customWidth="true" hidden="false" outlineLevel="0" max="6" min="6" style="1" width="7"/>
    <col collapsed="false" customWidth="true" hidden="false" outlineLevel="0" max="10" min="7" style="1" width="6"/>
    <col collapsed="false" customWidth="true" hidden="false" outlineLevel="0" max="11" min="11" style="1" width="8"/>
    <col collapsed="false" customWidth="true" hidden="false" outlineLevel="0" max="12" min="12" style="1" width="9.57"/>
    <col collapsed="false" customWidth="true" hidden="false" outlineLevel="0" max="13" min="13" style="1" width="9"/>
    <col collapsed="false" customWidth="true" hidden="false" outlineLevel="0" max="17" min="14" style="1" width="8"/>
    <col collapsed="false" customWidth="true" hidden="false" outlineLevel="0" max="18" min="18" style="1" width="12.57"/>
    <col collapsed="false" customWidth="true" hidden="false" outlineLevel="0" max="19" min="19" style="1" width="8"/>
    <col collapsed="false" customWidth="true" hidden="false" outlineLevel="0" max="20" min="20" style="1" width="13.29"/>
    <col collapsed="false" customWidth="true" hidden="false" outlineLevel="0" max="21" min="21" style="1" width="11.85"/>
    <col collapsed="false" customWidth="true" hidden="false" outlineLevel="0" max="26" min="22" style="1" width="8"/>
    <col collapsed="false" customWidth="true" hidden="false" outlineLevel="0" max="27" min="27" style="1" width="10"/>
    <col collapsed="false" customWidth="true" hidden="false" outlineLevel="0" max="30" min="28" style="1" width="9"/>
  </cols>
  <sheetData>
    <row r="1" customFormat="false" ht="38.25" hidden="false" customHeight="true" outlineLevel="0" collapsed="false">
      <c r="A1" s="72"/>
      <c r="B1" s="73" t="s">
        <v>141</v>
      </c>
      <c r="C1" s="73"/>
      <c r="D1" s="73"/>
      <c r="E1" s="73"/>
      <c r="F1" s="73"/>
      <c r="G1" s="73"/>
      <c r="H1" s="73"/>
      <c r="I1" s="73"/>
      <c r="J1" s="73"/>
      <c r="K1" s="73"/>
      <c r="L1" s="73"/>
      <c r="M1" s="73"/>
      <c r="N1" s="73"/>
      <c r="O1" s="73"/>
      <c r="P1" s="73"/>
      <c r="Q1" s="73"/>
      <c r="R1" s="73"/>
      <c r="S1" s="73"/>
      <c r="T1" s="73"/>
      <c r="U1" s="73"/>
      <c r="V1" s="73"/>
      <c r="W1" s="73"/>
      <c r="X1" s="73"/>
      <c r="Y1" s="73"/>
      <c r="Z1" s="73"/>
      <c r="AA1" s="73"/>
    </row>
    <row r="2" customFormat="false" ht="15" hidden="false" customHeight="true" outlineLevel="0" collapsed="false">
      <c r="B2" s="74"/>
      <c r="C2" s="75" t="s">
        <v>142</v>
      </c>
      <c r="D2" s="75"/>
      <c r="E2" s="75"/>
      <c r="F2" s="76" t="s">
        <v>143</v>
      </c>
      <c r="G2" s="76"/>
      <c r="H2" s="76"/>
      <c r="I2" s="76"/>
      <c r="J2" s="76"/>
      <c r="K2" s="76"/>
      <c r="L2" s="76"/>
      <c r="M2" s="76"/>
      <c r="N2" s="76"/>
      <c r="O2" s="77" t="s">
        <v>144</v>
      </c>
      <c r="P2" s="77"/>
      <c r="Q2" s="77"/>
      <c r="R2" s="78" t="s">
        <v>145</v>
      </c>
      <c r="S2" s="78"/>
      <c r="T2" s="78"/>
      <c r="U2" s="78"/>
      <c r="V2" s="79" t="s">
        <v>55</v>
      </c>
      <c r="W2" s="79"/>
      <c r="X2" s="79"/>
      <c r="Y2" s="79"/>
      <c r="Z2" s="79"/>
      <c r="AA2" s="79"/>
      <c r="AB2" s="80" t="s">
        <v>146</v>
      </c>
      <c r="AC2" s="80"/>
      <c r="AD2" s="80"/>
      <c r="AE2" s="81" t="s">
        <v>147</v>
      </c>
      <c r="AF2" s="81"/>
      <c r="AG2" s="81"/>
      <c r="AH2" s="81"/>
      <c r="AI2" s="81"/>
      <c r="AJ2" s="81"/>
      <c r="AK2" s="81"/>
      <c r="AL2" s="81"/>
      <c r="AM2" s="81"/>
      <c r="AN2" s="81"/>
      <c r="AO2" s="81"/>
      <c r="AP2" s="81"/>
      <c r="AQ2" s="81"/>
      <c r="AR2" s="81"/>
      <c r="AS2" s="81"/>
      <c r="AT2" s="81"/>
      <c r="AU2" s="81"/>
      <c r="AV2" s="81"/>
      <c r="AW2" s="81"/>
      <c r="AX2" s="81"/>
      <c r="AY2" s="81"/>
      <c r="AZ2" s="81"/>
      <c r="BA2" s="81"/>
      <c r="BB2" s="81"/>
      <c r="BC2" s="81"/>
    </row>
    <row r="3" customFormat="false" ht="33.75" hidden="false" customHeight="true" outlineLevel="0" collapsed="false">
      <c r="B3" s="82" t="s">
        <v>148</v>
      </c>
      <c r="C3" s="82" t="s">
        <v>149</v>
      </c>
      <c r="D3" s="82" t="s">
        <v>150</v>
      </c>
      <c r="E3" s="82" t="s">
        <v>151</v>
      </c>
      <c r="F3" s="83" t="s">
        <v>108</v>
      </c>
      <c r="G3" s="83" t="s">
        <v>22</v>
      </c>
      <c r="H3" s="83" t="s">
        <v>24</v>
      </c>
      <c r="I3" s="83" t="s">
        <v>26</v>
      </c>
      <c r="J3" s="83" t="s">
        <v>28</v>
      </c>
      <c r="K3" s="83" t="s">
        <v>152</v>
      </c>
      <c r="L3" s="83" t="s">
        <v>153</v>
      </c>
      <c r="M3" s="83" t="s">
        <v>154</v>
      </c>
      <c r="N3" s="83" t="s">
        <v>155</v>
      </c>
      <c r="O3" s="84" t="s">
        <v>156</v>
      </c>
      <c r="P3" s="84" t="s">
        <v>157</v>
      </c>
      <c r="Q3" s="84" t="s">
        <v>158</v>
      </c>
      <c r="R3" s="85" t="s">
        <v>40</v>
      </c>
      <c r="S3" s="85" t="s">
        <v>42</v>
      </c>
      <c r="T3" s="85" t="s">
        <v>44</v>
      </c>
      <c r="U3" s="85" t="s">
        <v>46</v>
      </c>
      <c r="V3" s="86" t="s">
        <v>159</v>
      </c>
      <c r="W3" s="86" t="s">
        <v>160</v>
      </c>
      <c r="X3" s="86" t="s">
        <v>161</v>
      </c>
      <c r="Y3" s="86" t="s">
        <v>162</v>
      </c>
      <c r="Z3" s="86" t="s">
        <v>163</v>
      </c>
      <c r="AA3" s="86" t="s">
        <v>164</v>
      </c>
      <c r="AB3" s="80" t="s">
        <v>165</v>
      </c>
      <c r="AC3" s="80" t="s">
        <v>166</v>
      </c>
      <c r="AD3" s="80" t="s">
        <v>167</v>
      </c>
      <c r="AE3" s="87" t="s">
        <v>168</v>
      </c>
      <c r="AF3" s="87" t="s">
        <v>169</v>
      </c>
      <c r="AG3" s="87" t="s">
        <v>170</v>
      </c>
      <c r="AH3" s="87" t="s">
        <v>171</v>
      </c>
      <c r="AI3" s="87" t="s">
        <v>172</v>
      </c>
      <c r="AJ3" s="87" t="s">
        <v>173</v>
      </c>
      <c r="AK3" s="87" t="s">
        <v>174</v>
      </c>
      <c r="AL3" s="87" t="s">
        <v>175</v>
      </c>
      <c r="AM3" s="87" t="s">
        <v>176</v>
      </c>
      <c r="AN3" s="87" t="s">
        <v>177</v>
      </c>
      <c r="AO3" s="87" t="s">
        <v>178</v>
      </c>
      <c r="AP3" s="87" t="s">
        <v>179</v>
      </c>
      <c r="AQ3" s="87" t="s">
        <v>180</v>
      </c>
      <c r="AR3" s="87" t="s">
        <v>181</v>
      </c>
      <c r="AS3" s="87" t="s">
        <v>182</v>
      </c>
      <c r="AT3" s="87" t="s">
        <v>183</v>
      </c>
      <c r="AU3" s="87" t="s">
        <v>184</v>
      </c>
      <c r="AV3" s="87" t="s">
        <v>185</v>
      </c>
      <c r="AW3" s="87" t="s">
        <v>186</v>
      </c>
      <c r="AX3" s="87" t="s">
        <v>187</v>
      </c>
      <c r="AY3" s="87" t="s">
        <v>188</v>
      </c>
      <c r="AZ3" s="87" t="s">
        <v>189</v>
      </c>
      <c r="BA3" s="87" t="s">
        <v>190</v>
      </c>
      <c r="BB3" s="87" t="s">
        <v>191</v>
      </c>
      <c r="BC3" s="87" t="s">
        <v>192</v>
      </c>
    </row>
    <row r="4" customFormat="false" ht="15" hidden="false" customHeight="true" outlineLevel="0" collapsed="false">
      <c r="B4" s="88" t="n">
        <f aca="false">IF($D4="","",ROW()-3)</f>
        <v>1</v>
      </c>
      <c r="C4" s="89" t="s">
        <v>193</v>
      </c>
      <c r="D4" s="89" t="s">
        <v>194</v>
      </c>
      <c r="E4" s="90" t="s">
        <v>195</v>
      </c>
      <c r="F4" s="88" t="n">
        <f aca="true">IF($D4="","",IFERROR(COUNTIF(INDIRECT("'"&amp;$D4&amp;"'!$C$7:$C$500"),"?*"),0))</f>
        <v>21</v>
      </c>
      <c r="G4" s="88" t="n">
        <f aca="true">IF($D4="","",IFERROR(COUNTIF(INDIRECT("'"&amp;$D4&amp;"'!$AO$7:$AO$500"),"Pass"),0))</f>
        <v>12</v>
      </c>
      <c r="H4" s="88" t="n">
        <f aca="true">IF($D4="","",IFERROR(COUNTIF(INDIRECT("'"&amp;$D4&amp;"'!$AO$7:$AO$500"),"Fail"),0))</f>
        <v>0</v>
      </c>
      <c r="I4" s="88" t="n">
        <f aca="true">IF($D4="","",IFERROR(COUNTIF(INDIRECT("'"&amp;$D4&amp;"'!$AO$7:$AO$500"),"Block"),0))</f>
        <v>9</v>
      </c>
      <c r="J4" s="88" t="n">
        <f aca="true">IF($D4="","",IFERROR(COUNTIF(INDIRECT("'"&amp;$D4&amp;"'!$AO$7:$AO$500"),"N/A"),0))</f>
        <v>0</v>
      </c>
      <c r="K4" s="88" t="n">
        <f aca="false">IF($D4="","",MAX(0,$F4-$G4-$H4-$I4-$J4))</f>
        <v>0</v>
      </c>
      <c r="L4" s="88" t="n">
        <f aca="false">IF($D4="","",$G4+$H4+$I4+$J4)</f>
        <v>21</v>
      </c>
      <c r="M4" s="91" t="n">
        <f aca="false">IF($D4="","",IFERROR($L4/$F4,0))</f>
        <v>1</v>
      </c>
      <c r="N4" s="91" t="n">
        <f aca="false">IF($D4="","",IFERROR($G4/$L4,0))</f>
        <v>0.571428571428571</v>
      </c>
      <c r="O4" s="88" t="n">
        <f aca="true">IF($D4="","",IFERROR(COUNTIF(INDIRECT("'"&amp;$D4&amp;"'!$E$7:$E$500"),"High"),0))</f>
        <v>1</v>
      </c>
      <c r="P4" s="88" t="n">
        <f aca="true">IF($D4="","",IFERROR(COUNTIF(INDIRECT("'"&amp;$D4&amp;"'!$E$7:$E$500"),"Medium"),0))</f>
        <v>12</v>
      </c>
      <c r="Q4" s="88" t="n">
        <f aca="true">IF($D4="","",IFERROR(COUNTIF(INDIRECT("'"&amp;$D4&amp;"'!$E$7:$E$500"),"Low"),0))</f>
        <v>8</v>
      </c>
      <c r="R4" s="88" t="n">
        <f aca="true">IF($D4="","",IFERROR(COUNTIF(INDIRECT("'"&amp;$D4&amp;"'!$D$7:$D$500"),"Functional"),0))</f>
        <v>13</v>
      </c>
      <c r="S4" s="88" t="n">
        <f aca="true">IF($D4="","",IFERROR(COUNTIF(INDIRECT("'"&amp;$D4&amp;"'!$D$7:$D$500"),"UI"),0))</f>
        <v>8</v>
      </c>
      <c r="T4" s="88" t="n">
        <f aca="true">IF($D4="","",IFERROR(COUNTIF(INDIRECT("'"&amp;$D4&amp;"'!$D$7:$D$500"),"Integration"),0))</f>
        <v>0</v>
      </c>
      <c r="U4" s="88" t="n">
        <f aca="true">IF($D4="","",IFERROR(COUNTIF(INDIRECT("'"&amp;$D4&amp;"'!$D$7:$D$500"),"Database Test Case"),0))</f>
        <v>0</v>
      </c>
      <c r="V4" s="88" t="n">
        <f aca="true">IF($D4="","",IFERROR(COUNTIF(INDIRECT("'"&amp;$D4&amp;"'!$J$7:$J$500"),"AI"),0))</f>
        <v>21</v>
      </c>
      <c r="W4" s="88" t="n">
        <f aca="true">IF($D4="","",IFERROR(COUNTIF(INDIRECT("'"&amp;$D4&amp;"'!$J$7:$J$500"),"QC"),0))</f>
        <v>0</v>
      </c>
      <c r="X4" s="88" t="n">
        <f aca="true">IF($D4="","",IFERROR(COUNTIF(INDIRECT("'"&amp;$D4&amp;"'!$L$7:$L$500"),"Yes"),0))</f>
        <v>0</v>
      </c>
      <c r="Y4" s="88" t="n">
        <f aca="true">IF($D4="","",IFERROR(COUNTIF(INDIRECT("'"&amp;$D4&amp;"'!$AM$7:$AM$500"),"Yes"),0))</f>
        <v>21</v>
      </c>
      <c r="Z4" s="88" t="n">
        <f aca="true">IF($D4="","",IFERROR(COUNTIF(INDIRECT("'"&amp;$D4&amp;"'!$AN$7:$AN$500"),"Pass"),0))</f>
        <v>0</v>
      </c>
      <c r="AA4" s="88" t="n">
        <f aca="true">IF($D4="","",IFERROR(COUNTIF(INDIRECT("'"&amp;$D4&amp;"'!$K$7:$K$500"),"Reviewed"),0))</f>
        <v>0</v>
      </c>
      <c r="AB4" s="92" t="n">
        <f aca="true">IF($D4="","",IFERROR(SUMPRODUCT((INDIRECT("'"&amp;$D4&amp;"'!$E$7:$E$500")="High")*(INDIRECT("'"&amp;$D4&amp;"'!$AO$7:$AO$500")&lt;&gt;"")),0))</f>
        <v>1</v>
      </c>
      <c r="AC4" s="92" t="n">
        <f aca="true">IF($D4="","",IFERROR(SUMPRODUCT((INDIRECT("'"&amp;$D4&amp;"'!$E$7:$E$500")="Medium")*(INDIRECT("'"&amp;$D4&amp;"'!$AO$7:$AO$500")&lt;&gt;"")),0))</f>
        <v>12</v>
      </c>
      <c r="AD4" s="92" t="n">
        <f aca="true">IF($D4="","",IFERROR(SUMPRODUCT((INDIRECT("'"&amp;$D4&amp;"'!$E$7:$E$500")="Low")*(INDIRECT("'"&amp;$D4&amp;"'!$AO$7:$AO$500")&lt;&gt;"")),0))</f>
        <v>8</v>
      </c>
      <c r="AE4" s="93" t="n">
        <f aca="true">IF($D4="","",IFERROR(COUNTIF(INDIRECT("'"&amp;$D4&amp;"'!$P$7:$P$500"),"&lt;&gt;"),0))</f>
        <v>21</v>
      </c>
      <c r="AF4" s="93" t="n">
        <f aca="true">IF($D4="","",IFERROR(COUNTIF(INDIRECT("'"&amp;$D4&amp;"'!$P$7:$P$500"),"Pass"),0))</f>
        <v>12</v>
      </c>
      <c r="AG4" s="93" t="n">
        <f aca="true">IF($D4="","",IFERROR(COUNTIF(INDIRECT("'"&amp;$D4&amp;"'!$P$7:$P$500"),"Fail"),0))</f>
        <v>0</v>
      </c>
      <c r="AH4" s="93" t="n">
        <f aca="true">IF($D4="","",IFERROR(COUNTIF(INDIRECT("'"&amp;$D4&amp;"'!$P$7:$P$500"),"Block"),0))</f>
        <v>9</v>
      </c>
      <c r="AI4" s="93" t="n">
        <f aca="true">IF($D4="","",IFERROR(COUNTIF(INDIRECT("'"&amp;$D4&amp;"'!$P$7:$P$500"),"N/A"),0))</f>
        <v>0</v>
      </c>
      <c r="AJ4" s="93" t="n">
        <f aca="true">IF($D4="","",IFERROR(COUNTIF(INDIRECT("'"&amp;$D4&amp;"'!$U$7:$U$500"),"&lt;&gt;"),0))</f>
        <v>0</v>
      </c>
      <c r="AK4" s="93" t="n">
        <f aca="true">IF($D4="","",IFERROR(COUNTIF(INDIRECT("'"&amp;$D4&amp;"'!$U$7:$U$500"),"Pass"),0))</f>
        <v>0</v>
      </c>
      <c r="AL4" s="93" t="n">
        <f aca="true">IF($D4="","",IFERROR(COUNTIF(INDIRECT("'"&amp;$D4&amp;"'!$U$7:$U$500"),"Fail"),0))</f>
        <v>0</v>
      </c>
      <c r="AM4" s="93" t="n">
        <f aca="true">IF($D4="","",IFERROR(COUNTIF(INDIRECT("'"&amp;$D4&amp;"'!$U$7:$U$500"),"Block"),0))</f>
        <v>0</v>
      </c>
      <c r="AN4" s="93" t="n">
        <f aca="true">IF($D4="","",IFERROR(COUNTIF(INDIRECT("'"&amp;$D4&amp;"'!$U$7:$U$500"),"N/A"),0))</f>
        <v>0</v>
      </c>
      <c r="AO4" s="93" t="n">
        <f aca="true">IF($D4="","",IFERROR(COUNTIF(INDIRECT("'"&amp;$D4&amp;"'!$Z$7:$Z$500"),"&lt;&gt;"),0))</f>
        <v>0</v>
      </c>
      <c r="AP4" s="93" t="n">
        <f aca="true">IF($D4="","",IFERROR(COUNTIF(INDIRECT("'"&amp;$D4&amp;"'!$Z$7:$Z$500"),"Pass"),0))</f>
        <v>0</v>
      </c>
      <c r="AQ4" s="93" t="n">
        <f aca="true">IF($D4="","",IFERROR(COUNTIF(INDIRECT("'"&amp;$D4&amp;"'!$Z$7:$Z$500"),"Fail"),0))</f>
        <v>0</v>
      </c>
      <c r="AR4" s="93" t="n">
        <f aca="true">IF($D4="","",IFERROR(COUNTIF(INDIRECT("'"&amp;$D4&amp;"'!$Z$7:$Z$500"),"Block"),0))</f>
        <v>0</v>
      </c>
      <c r="AS4" s="93" t="n">
        <f aca="true">IF($D4="","",IFERROR(COUNTIF(INDIRECT("'"&amp;$D4&amp;"'!$Z$7:$Z$500"),"N/A"),0))</f>
        <v>0</v>
      </c>
      <c r="AT4" s="93" t="n">
        <f aca="true">IF($D4="","",IFERROR(COUNTIF(INDIRECT("'"&amp;$D4&amp;"'!$AE$7:$AE$500"),"&lt;&gt;"),0))</f>
        <v>0</v>
      </c>
      <c r="AU4" s="93" t="n">
        <f aca="true">IF($D4="","",IFERROR(COUNTIF(INDIRECT("'"&amp;$D4&amp;"'!$AE$7:$AE$500"),"Pass"),0))</f>
        <v>0</v>
      </c>
      <c r="AV4" s="93" t="n">
        <f aca="true">IF($D4="","",IFERROR(COUNTIF(INDIRECT("'"&amp;$D4&amp;"'!$AE$7:$AE$500"),"Fail"),0))</f>
        <v>0</v>
      </c>
      <c r="AW4" s="93" t="n">
        <f aca="true">IF($D4="","",IFERROR(COUNTIF(INDIRECT("'"&amp;$D4&amp;"'!$AE$7:$AE$500"),"Block"),0))</f>
        <v>0</v>
      </c>
      <c r="AX4" s="93" t="n">
        <f aca="true">IF($D4="","",IFERROR(COUNTIF(INDIRECT("'"&amp;$D4&amp;"'!$AE$7:$AE$500"),"N/A"),0))</f>
        <v>0</v>
      </c>
      <c r="AY4" s="93" t="n">
        <f aca="true">IF($D4="","",IFERROR(COUNTIF(INDIRECT("'"&amp;$D4&amp;"'!$AJ$7:$AJ$500"),"&lt;&gt;"),0))</f>
        <v>0</v>
      </c>
      <c r="AZ4" s="93" t="n">
        <f aca="true">IF($D4="","",IFERROR(COUNTIF(INDIRECT("'"&amp;$D4&amp;"'!$AJ$7:$AJ$500"),"Pass"),0))</f>
        <v>0</v>
      </c>
      <c r="BA4" s="93" t="n">
        <f aca="true">IF($D4="","",IFERROR(COUNTIF(INDIRECT("'"&amp;$D4&amp;"'!$AJ$7:$AJ$500"),"Fail"),0))</f>
        <v>0</v>
      </c>
      <c r="BB4" s="93" t="n">
        <f aca="true">IF($D4="","",IFERROR(COUNTIF(INDIRECT("'"&amp;$D4&amp;"'!$AJ$7:$AJ$500"),"Block"),0))</f>
        <v>0</v>
      </c>
      <c r="BC4" s="1" t="n">
        <f aca="true">IF($D4="","",IFERROR(COUNTIF(INDIRECT("'"&amp;$D4&amp;"'!$AJ$7:$AJ$500"),"N/A"),0))</f>
        <v>0</v>
      </c>
    </row>
    <row r="5" customFormat="false" ht="15" hidden="false" customHeight="true" outlineLevel="0" collapsed="false">
      <c r="B5" s="88" t="n">
        <f aca="false">IF($D5="","",ROW()-3)</f>
        <v>2</v>
      </c>
      <c r="C5" s="89" t="s">
        <v>196</v>
      </c>
      <c r="D5" s="89" t="s">
        <v>197</v>
      </c>
      <c r="E5" s="90" t="s">
        <v>197</v>
      </c>
      <c r="F5" s="88" t="n">
        <f aca="true">IF($D5="","",IFERROR(COUNTIF(INDIRECT("'"&amp;$D5&amp;"'!$C$7:$C$500"),"?*"),0))</f>
        <v>17</v>
      </c>
      <c r="G5" s="88" t="n">
        <f aca="true">IF($D5="","",IFERROR(COUNTIF(INDIRECT("'"&amp;$D5&amp;"'!$AO$7:$AO$500"),"Pass"),0))</f>
        <v>12</v>
      </c>
      <c r="H5" s="88" t="n">
        <f aca="true">IF($D5="","",IFERROR(COUNTIF(INDIRECT("'"&amp;$D5&amp;"'!$AO$7:$AO$500"),"Fail"),0))</f>
        <v>3</v>
      </c>
      <c r="I5" s="88" t="n">
        <f aca="true">IF($D5="","",IFERROR(COUNTIF(INDIRECT("'"&amp;$D5&amp;"'!$AO$7:$AO$500"),"Block"),0))</f>
        <v>2</v>
      </c>
      <c r="J5" s="88" t="n">
        <f aca="true">IF($D5="","",IFERROR(COUNTIF(INDIRECT("'"&amp;$D5&amp;"'!$AO$7:$AO$500"),"N/A"),0))</f>
        <v>0</v>
      </c>
      <c r="K5" s="88" t="n">
        <f aca="false">IF($D5="","",MAX(0,$F5-$G5-$H5-$I5-$J5))</f>
        <v>0</v>
      </c>
      <c r="L5" s="88" t="n">
        <f aca="false">IF($D5="","",$G5+$H5+$I5+$J5)</f>
        <v>17</v>
      </c>
      <c r="M5" s="91" t="n">
        <f aca="false">IF($D5="","",IFERROR($L5/$F5,0))</f>
        <v>1</v>
      </c>
      <c r="N5" s="91" t="n">
        <f aca="false">IF($D5="","",IFERROR($G5/$L5,0))</f>
        <v>0.705882352941177</v>
      </c>
      <c r="O5" s="88" t="n">
        <f aca="true">IF($D5="","",IFERROR(COUNTIF(INDIRECT("'"&amp;$D5&amp;"'!$E$7:$E$500"),"High"),0))</f>
        <v>0</v>
      </c>
      <c r="P5" s="88" t="n">
        <f aca="true">IF($D5="","",IFERROR(COUNTIF(INDIRECT("'"&amp;$D5&amp;"'!$E$7:$E$500"),"Medium"),0))</f>
        <v>7</v>
      </c>
      <c r="Q5" s="88" t="n">
        <f aca="true">IF($D5="","",IFERROR(COUNTIF(INDIRECT("'"&amp;$D5&amp;"'!$E$7:$E$500"),"Low"),0))</f>
        <v>10</v>
      </c>
      <c r="R5" s="88" t="n">
        <f aca="true">IF($D5="","",IFERROR(COUNTIF(INDIRECT("'"&amp;$D5&amp;"'!$D$7:$D$500"),"Functional"),0))</f>
        <v>8</v>
      </c>
      <c r="S5" s="88" t="n">
        <f aca="true">IF($D5="","",IFERROR(COUNTIF(INDIRECT("'"&amp;$D5&amp;"'!$D$7:$D$500"),"UI"),0))</f>
        <v>9</v>
      </c>
      <c r="T5" s="88" t="n">
        <f aca="true">IF($D5="","",IFERROR(COUNTIF(INDIRECT("'"&amp;$D5&amp;"'!$D$7:$D$500"),"Integration"),0))</f>
        <v>0</v>
      </c>
      <c r="U5" s="88" t="n">
        <f aca="true">IF($D5="","",IFERROR(COUNTIF(INDIRECT("'"&amp;$D5&amp;"'!$D$7:$D$500"),"Database Test Case"),0))</f>
        <v>0</v>
      </c>
      <c r="V5" s="88" t="n">
        <f aca="true">IF($D5="","",IFERROR(COUNTIF(INDIRECT("'"&amp;$D5&amp;"'!$J$7:$J$500"),"AI"),0))</f>
        <v>17</v>
      </c>
      <c r="W5" s="88" t="n">
        <f aca="true">IF($D5="","",IFERROR(COUNTIF(INDIRECT("'"&amp;$D5&amp;"'!$J$7:$J$500"),"QC"),0))</f>
        <v>0</v>
      </c>
      <c r="X5" s="88" t="n">
        <f aca="true">IF($D5="","",IFERROR(COUNTIF(INDIRECT("'"&amp;$D5&amp;"'!$L$7:$L$500"),"Yes"),0))</f>
        <v>0</v>
      </c>
      <c r="Y5" s="88" t="n">
        <f aca="true">IF($D5="","",IFERROR(COUNTIF(INDIRECT("'"&amp;$D5&amp;"'!$AM$7:$AM$500"),"Yes"),0))</f>
        <v>17</v>
      </c>
      <c r="Z5" s="88" t="n">
        <f aca="true">IF($D5="","",IFERROR(COUNTIF(INDIRECT("'"&amp;$D5&amp;"'!$AN$7:$AN$500"),"Pass"),0))</f>
        <v>0</v>
      </c>
      <c r="AA5" s="88" t="n">
        <f aca="true">IF($D5="","",IFERROR(COUNTIF(INDIRECT("'"&amp;$D5&amp;"'!$K$7:$K$500"),"Reviewed"),0))</f>
        <v>0</v>
      </c>
      <c r="AB5" s="92" t="n">
        <f aca="true">IF($D5="","",IFERROR(SUMPRODUCT((INDIRECT("'"&amp;$D5&amp;"'!$E$7:$E$500")="High")*(INDIRECT("'"&amp;$D5&amp;"'!$AO$7:$AO$500")&lt;&gt;"")),0))</f>
        <v>0</v>
      </c>
      <c r="AC5" s="92" t="n">
        <f aca="true">IF($D5="","",IFERROR(SUMPRODUCT((INDIRECT("'"&amp;$D5&amp;"'!$E$7:$E$500")="Medium")*(INDIRECT("'"&amp;$D5&amp;"'!$AO$7:$AO$500")&lt;&gt;"")),0))</f>
        <v>7</v>
      </c>
      <c r="AD5" s="92" t="n">
        <f aca="true">IF($D5="","",IFERROR(SUMPRODUCT((INDIRECT("'"&amp;$D5&amp;"'!$E$7:$E$500")="Low")*(INDIRECT("'"&amp;$D5&amp;"'!$AO$7:$AO$500")&lt;&gt;"")),0))</f>
        <v>10</v>
      </c>
      <c r="AE5" s="93" t="n">
        <f aca="true">IF($D5="","",IFERROR(COUNTIF(INDIRECT("'"&amp;$D5&amp;"'!$P$7:$P$500"),"&lt;&gt;"),0))</f>
        <v>17</v>
      </c>
      <c r="AF5" s="93" t="n">
        <f aca="true">IF($D5="","",IFERROR(COUNTIF(INDIRECT("'"&amp;$D5&amp;"'!$P$7:$P$500"),"Pass"),0))</f>
        <v>6</v>
      </c>
      <c r="AG5" s="93" t="n">
        <f aca="true">IF($D5="","",IFERROR(COUNTIF(INDIRECT("'"&amp;$D5&amp;"'!$P$7:$P$500"),"Fail"),0))</f>
        <v>4</v>
      </c>
      <c r="AH5" s="93" t="n">
        <f aca="true">IF($D5="","",IFERROR(COUNTIF(INDIRECT("'"&amp;$D5&amp;"'!$P$7:$P$500"),"Block"),0))</f>
        <v>7</v>
      </c>
      <c r="AI5" s="93" t="n">
        <f aca="true">IF($D5="","",IFERROR(COUNTIF(INDIRECT("'"&amp;$D5&amp;"'!$P$7:$P$500"),"N/A"),0))</f>
        <v>0</v>
      </c>
      <c r="AJ5" s="93" t="n">
        <f aca="true">IF($D5="","",IFERROR(COUNTIF(INDIRECT("'"&amp;$D5&amp;"'!$U$7:$U$500"),"&lt;&gt;"),0))</f>
        <v>17</v>
      </c>
      <c r="AK5" s="93" t="n">
        <f aca="true">IF($D5="","",IFERROR(COUNTIF(INDIRECT("'"&amp;$D5&amp;"'!$U$7:$U$500"),"Pass"),0))</f>
        <v>8</v>
      </c>
      <c r="AL5" s="93" t="n">
        <f aca="true">IF($D5="","",IFERROR(COUNTIF(INDIRECT("'"&amp;$D5&amp;"'!$U$7:$U$500"),"Fail"),0))</f>
        <v>3</v>
      </c>
      <c r="AM5" s="93" t="n">
        <f aca="true">IF($D5="","",IFERROR(COUNTIF(INDIRECT("'"&amp;$D5&amp;"'!$U$7:$U$500"),"Block"),0))</f>
        <v>6</v>
      </c>
      <c r="AN5" s="93" t="n">
        <f aca="true">IF($D5="","",IFERROR(COUNTIF(INDIRECT("'"&amp;$D5&amp;"'!$U$7:$U$500"),"N/A"),0))</f>
        <v>0</v>
      </c>
      <c r="AO5" s="93" t="n">
        <f aca="true">IF($D5="","",IFERROR(COUNTIF(INDIRECT("'"&amp;$D5&amp;"'!$Z$7:$Z$500"),"&lt;&gt;"),0))</f>
        <v>9</v>
      </c>
      <c r="AP5" s="93" t="n">
        <f aca="true">IF($D5="","",IFERROR(COUNTIF(INDIRECT("'"&amp;$D5&amp;"'!$Z$7:$Z$500"),"Pass"),0))</f>
        <v>4</v>
      </c>
      <c r="AQ5" s="93" t="n">
        <f aca="true">IF($D5="","",IFERROR(COUNTIF(INDIRECT("'"&amp;$D5&amp;"'!$Z$7:$Z$500"),"Fail"),0))</f>
        <v>3</v>
      </c>
      <c r="AR5" s="93" t="n">
        <f aca="true">IF($D5="","",IFERROR(COUNTIF(INDIRECT("'"&amp;$D5&amp;"'!$Z$7:$Z$500"),"Block"),0))</f>
        <v>2</v>
      </c>
      <c r="AS5" s="93" t="n">
        <f aca="true">IF($D5="","",IFERROR(COUNTIF(INDIRECT("'"&amp;$D5&amp;"'!$Z$7:$Z$500"),"N/A"),0))</f>
        <v>0</v>
      </c>
      <c r="AT5" s="93" t="n">
        <f aca="true">IF($D5="","",IFERROR(COUNTIF(INDIRECT("'"&amp;$D5&amp;"'!$AE$7:$AE$500"),"&lt;&gt;"),0))</f>
        <v>0</v>
      </c>
      <c r="AU5" s="93" t="n">
        <f aca="true">IF($D5="","",IFERROR(COUNTIF(INDIRECT("'"&amp;$D5&amp;"'!$AE$7:$AE$500"),"Pass"),0))</f>
        <v>0</v>
      </c>
      <c r="AV5" s="93" t="n">
        <f aca="true">IF($D5="","",IFERROR(COUNTIF(INDIRECT("'"&amp;$D5&amp;"'!$AE$7:$AE$500"),"Fail"),0))</f>
        <v>0</v>
      </c>
      <c r="AW5" s="93" t="n">
        <f aca="true">IF($D5="","",IFERROR(COUNTIF(INDIRECT("'"&amp;$D5&amp;"'!$AE$7:$AE$500"),"Block"),0))</f>
        <v>0</v>
      </c>
      <c r="AX5" s="93" t="n">
        <f aca="true">IF($D5="","",IFERROR(COUNTIF(INDIRECT("'"&amp;$D5&amp;"'!$AE$7:$AE$500"),"N/A"),0))</f>
        <v>0</v>
      </c>
      <c r="AY5" s="93" t="n">
        <f aca="true">IF($D5="","",IFERROR(COUNTIF(INDIRECT("'"&amp;$D5&amp;"'!$AJ$7:$AJ$500"),"&lt;&gt;"),0))</f>
        <v>0</v>
      </c>
      <c r="AZ5" s="93" t="n">
        <f aca="true">IF($D5="","",IFERROR(COUNTIF(INDIRECT("'"&amp;$D5&amp;"'!$AJ$7:$AJ$500"),"Pass"),0))</f>
        <v>0</v>
      </c>
      <c r="BA5" s="93" t="n">
        <f aca="true">IF($D5="","",IFERROR(COUNTIF(INDIRECT("'"&amp;$D5&amp;"'!$AJ$7:$AJ$500"),"Fail"),0))</f>
        <v>0</v>
      </c>
      <c r="BB5" s="93" t="n">
        <f aca="true">IF($D5="","",IFERROR(COUNTIF(INDIRECT("'"&amp;$D5&amp;"'!$AJ$7:$AJ$500"),"Block"),0))</f>
        <v>0</v>
      </c>
      <c r="BC5" s="1" t="n">
        <f aca="true">IF($D5="","",IFERROR(COUNTIF(INDIRECT("'"&amp;$D5&amp;"'!$AJ$7:$AJ$500"),"N/A"),0))</f>
        <v>0</v>
      </c>
    </row>
    <row r="6" customFormat="false" ht="15" hidden="false" customHeight="true" outlineLevel="0" collapsed="false">
      <c r="B6" s="88" t="n">
        <f aca="false">IF($D6="","",ROW()-3)</f>
        <v>3</v>
      </c>
      <c r="C6" s="89" t="s">
        <v>198</v>
      </c>
      <c r="D6" s="89" t="s">
        <v>199</v>
      </c>
      <c r="E6" s="90" t="s">
        <v>199</v>
      </c>
      <c r="F6" s="88" t="n">
        <f aca="true">IF($D6="","",IFERROR(COUNTIF(INDIRECT("'"&amp;$D6&amp;"'!$C$7:$C$500"),"?*"),0))</f>
        <v>39</v>
      </c>
      <c r="G6" s="88" t="n">
        <f aca="true">IF($D6="","",IFERROR(COUNTIF(INDIRECT("'"&amp;$D6&amp;"'!$AO$7:$AO$500"),"Pass"),0))</f>
        <v>10</v>
      </c>
      <c r="H6" s="88" t="n">
        <f aca="true">IF($D6="","",IFERROR(COUNTIF(INDIRECT("'"&amp;$D6&amp;"'!$AO$7:$AO$500"),"Fail"),0))</f>
        <v>0</v>
      </c>
      <c r="I6" s="88" t="n">
        <f aca="true">IF($D6="","",IFERROR(COUNTIF(INDIRECT("'"&amp;$D6&amp;"'!$AO$7:$AO$500"),"Block"),0))</f>
        <v>29</v>
      </c>
      <c r="J6" s="88" t="n">
        <f aca="true">IF($D6="","",IFERROR(COUNTIF(INDIRECT("'"&amp;$D6&amp;"'!$AO$7:$AO$500"),"N/A"),0))</f>
        <v>0</v>
      </c>
      <c r="K6" s="88" t="n">
        <f aca="false">IF($D6="","",MAX(0,$F6-$G6-$H6-$I6-$J6))</f>
        <v>0</v>
      </c>
      <c r="L6" s="88" t="n">
        <f aca="false">IF($D6="","",$G6+$H6+$I6+$J6)</f>
        <v>39</v>
      </c>
      <c r="M6" s="91" t="n">
        <f aca="false">IF($D6="","",IFERROR($L6/$F6,0))</f>
        <v>1</v>
      </c>
      <c r="N6" s="91" t="n">
        <f aca="false">IF($D6="","",IFERROR($G6/$L6,0))</f>
        <v>0.256410256410256</v>
      </c>
      <c r="O6" s="88" t="n">
        <f aca="true">IF($D6="","",IFERROR(COUNTIF(INDIRECT("'"&amp;$D6&amp;"'!$E$7:$E$500"),"High"),0))</f>
        <v>2</v>
      </c>
      <c r="P6" s="88" t="n">
        <f aca="true">IF($D6="","",IFERROR(COUNTIF(INDIRECT("'"&amp;$D6&amp;"'!$E$7:$E$500"),"Medium"),0))</f>
        <v>24</v>
      </c>
      <c r="Q6" s="88" t="n">
        <f aca="true">IF($D6="","",IFERROR(COUNTIF(INDIRECT("'"&amp;$D6&amp;"'!$E$7:$E$500"),"Low"),0))</f>
        <v>13</v>
      </c>
      <c r="R6" s="88" t="n">
        <f aca="true">IF($D6="","",IFERROR(COUNTIF(INDIRECT("'"&amp;$D6&amp;"'!$D$7:$D$500"),"Functional"),0))</f>
        <v>27</v>
      </c>
      <c r="S6" s="88" t="n">
        <f aca="true">IF($D6="","",IFERROR(COUNTIF(INDIRECT("'"&amp;$D6&amp;"'!$D$7:$D$500"),"UI"),0))</f>
        <v>12</v>
      </c>
      <c r="T6" s="88" t="n">
        <f aca="true">IF($D6="","",IFERROR(COUNTIF(INDIRECT("'"&amp;$D6&amp;"'!$D$7:$D$500"),"Integration"),0))</f>
        <v>0</v>
      </c>
      <c r="U6" s="88" t="n">
        <f aca="true">IF($D6="","",IFERROR(COUNTIF(INDIRECT("'"&amp;$D6&amp;"'!$D$7:$D$500"),"Database Test Case"),0))</f>
        <v>0</v>
      </c>
      <c r="V6" s="88" t="n">
        <f aca="true">IF($D6="","",IFERROR(COUNTIF(INDIRECT("'"&amp;$D6&amp;"'!$J$7:$J$500"),"AI"),0))</f>
        <v>39</v>
      </c>
      <c r="W6" s="88" t="n">
        <f aca="true">IF($D6="","",IFERROR(COUNTIF(INDIRECT("'"&amp;$D6&amp;"'!$J$7:$J$500"),"QC"),0))</f>
        <v>0</v>
      </c>
      <c r="X6" s="88" t="n">
        <f aca="true">IF($D6="","",IFERROR(COUNTIF(INDIRECT("'"&amp;$D6&amp;"'!$L$7:$L$500"),"Yes"),0))</f>
        <v>0</v>
      </c>
      <c r="Y6" s="88" t="n">
        <f aca="true">IF($D6="","",IFERROR(COUNTIF(INDIRECT("'"&amp;$D6&amp;"'!$AM$7:$AM$500"),"Yes"),0))</f>
        <v>39</v>
      </c>
      <c r="Z6" s="88" t="n">
        <f aca="true">IF($D6="","",IFERROR(COUNTIF(INDIRECT("'"&amp;$D6&amp;"'!$AN$7:$AN$500"),"Pass"),0))</f>
        <v>0</v>
      </c>
      <c r="AA6" s="88" t="n">
        <f aca="true">IF($D6="","",IFERROR(COUNTIF(INDIRECT("'"&amp;$D6&amp;"'!$K$7:$K$500"),"Reviewed"),0))</f>
        <v>0</v>
      </c>
      <c r="AB6" s="92" t="n">
        <f aca="true">IF($D6="","",IFERROR(SUMPRODUCT((INDIRECT("'"&amp;$D6&amp;"'!$E$7:$E$500")="High")*(INDIRECT("'"&amp;$D6&amp;"'!$AO$7:$AO$500")&lt;&gt;"")),0))</f>
        <v>2</v>
      </c>
      <c r="AC6" s="92" t="n">
        <f aca="true">IF($D6="","",IFERROR(SUMPRODUCT((INDIRECT("'"&amp;$D6&amp;"'!$E$7:$E$500")="Medium")*(INDIRECT("'"&amp;$D6&amp;"'!$AO$7:$AO$500")&lt;&gt;"")),0))</f>
        <v>24</v>
      </c>
      <c r="AD6" s="92" t="n">
        <f aca="true">IF($D6="","",IFERROR(SUMPRODUCT((INDIRECT("'"&amp;$D6&amp;"'!$E$7:$E$500")="Low")*(INDIRECT("'"&amp;$D6&amp;"'!$AO$7:$AO$500")&lt;&gt;"")),0))</f>
        <v>13</v>
      </c>
      <c r="AE6" s="93" t="n">
        <f aca="true">IF($D6="","",IFERROR(COUNTIF(INDIRECT("'"&amp;$D6&amp;"'!$P$7:$P$500"),"&lt;&gt;"),0))</f>
        <v>39</v>
      </c>
      <c r="AF6" s="93" t="n">
        <f aca="true">IF($D6="","",IFERROR(COUNTIF(INDIRECT("'"&amp;$D6&amp;"'!$P$7:$P$500"),"Pass"),0))</f>
        <v>10</v>
      </c>
      <c r="AG6" s="93" t="n">
        <f aca="true">IF($D6="","",IFERROR(COUNTIF(INDIRECT("'"&amp;$D6&amp;"'!$P$7:$P$500"),"Fail"),0))</f>
        <v>0</v>
      </c>
      <c r="AH6" s="93" t="n">
        <f aca="true">IF($D6="","",IFERROR(COUNTIF(INDIRECT("'"&amp;$D6&amp;"'!$P$7:$P$500"),"Block"),0))</f>
        <v>29</v>
      </c>
      <c r="AI6" s="93" t="n">
        <f aca="true">IF($D6="","",IFERROR(COUNTIF(INDIRECT("'"&amp;$D6&amp;"'!$P$7:$P$500"),"N/A"),0))</f>
        <v>0</v>
      </c>
      <c r="AJ6" s="93" t="n">
        <f aca="true">IF($D6="","",IFERROR(COUNTIF(INDIRECT("'"&amp;$D6&amp;"'!$U$7:$U$500"),"&lt;&gt;"),0))</f>
        <v>0</v>
      </c>
      <c r="AK6" s="93" t="n">
        <f aca="true">IF($D6="","",IFERROR(COUNTIF(INDIRECT("'"&amp;$D6&amp;"'!$U$7:$U$500"),"Pass"),0))</f>
        <v>0</v>
      </c>
      <c r="AL6" s="93" t="n">
        <f aca="true">IF($D6="","",IFERROR(COUNTIF(INDIRECT("'"&amp;$D6&amp;"'!$U$7:$U$500"),"Fail"),0))</f>
        <v>0</v>
      </c>
      <c r="AM6" s="93" t="n">
        <f aca="true">IF($D6="","",IFERROR(COUNTIF(INDIRECT("'"&amp;$D6&amp;"'!$U$7:$U$500"),"Block"),0))</f>
        <v>0</v>
      </c>
      <c r="AN6" s="93" t="n">
        <f aca="true">IF($D6="","",IFERROR(COUNTIF(INDIRECT("'"&amp;$D6&amp;"'!$U$7:$U$500"),"N/A"),0))</f>
        <v>0</v>
      </c>
      <c r="AO6" s="93" t="n">
        <f aca="true">IF($D6="","",IFERROR(COUNTIF(INDIRECT("'"&amp;$D6&amp;"'!$Z$7:$Z$500"),"&lt;&gt;"),0))</f>
        <v>0</v>
      </c>
      <c r="AP6" s="93" t="n">
        <f aca="true">IF($D6="","",IFERROR(COUNTIF(INDIRECT("'"&amp;$D6&amp;"'!$Z$7:$Z$500"),"Pass"),0))</f>
        <v>0</v>
      </c>
      <c r="AQ6" s="93" t="n">
        <f aca="true">IF($D6="","",IFERROR(COUNTIF(INDIRECT("'"&amp;$D6&amp;"'!$Z$7:$Z$500"),"Fail"),0))</f>
        <v>0</v>
      </c>
      <c r="AR6" s="93" t="n">
        <f aca="true">IF($D6="","",IFERROR(COUNTIF(INDIRECT("'"&amp;$D6&amp;"'!$Z$7:$Z$500"),"Block"),0))</f>
        <v>0</v>
      </c>
      <c r="AS6" s="93" t="n">
        <f aca="true">IF($D6="","",IFERROR(COUNTIF(INDIRECT("'"&amp;$D6&amp;"'!$Z$7:$Z$500"),"N/A"),0))</f>
        <v>0</v>
      </c>
      <c r="AT6" s="93" t="n">
        <f aca="true">IF($D6="","",IFERROR(COUNTIF(INDIRECT("'"&amp;$D6&amp;"'!$AE$7:$AE$500"),"&lt;&gt;"),0))</f>
        <v>0</v>
      </c>
      <c r="AU6" s="93" t="n">
        <f aca="true">IF($D6="","",IFERROR(COUNTIF(INDIRECT("'"&amp;$D6&amp;"'!$AE$7:$AE$500"),"Pass"),0))</f>
        <v>0</v>
      </c>
      <c r="AV6" s="93" t="n">
        <f aca="true">IF($D6="","",IFERROR(COUNTIF(INDIRECT("'"&amp;$D6&amp;"'!$AE$7:$AE$500"),"Fail"),0))</f>
        <v>0</v>
      </c>
      <c r="AW6" s="93" t="n">
        <f aca="true">IF($D6="","",IFERROR(COUNTIF(INDIRECT("'"&amp;$D6&amp;"'!$AE$7:$AE$500"),"Block"),0))</f>
        <v>0</v>
      </c>
      <c r="AX6" s="93" t="n">
        <f aca="true">IF($D6="","",IFERROR(COUNTIF(INDIRECT("'"&amp;$D6&amp;"'!$AE$7:$AE$500"),"N/A"),0))</f>
        <v>0</v>
      </c>
      <c r="AY6" s="93" t="n">
        <f aca="true">IF($D6="","",IFERROR(COUNTIF(INDIRECT("'"&amp;$D6&amp;"'!$AJ$7:$AJ$500"),"&lt;&gt;"),0))</f>
        <v>0</v>
      </c>
      <c r="AZ6" s="93" t="n">
        <f aca="true">IF($D6="","",IFERROR(COUNTIF(INDIRECT("'"&amp;$D6&amp;"'!$AJ$7:$AJ$500"),"Pass"),0))</f>
        <v>0</v>
      </c>
      <c r="BA6" s="93" t="n">
        <f aca="true">IF($D6="","",IFERROR(COUNTIF(INDIRECT("'"&amp;$D6&amp;"'!$AJ$7:$AJ$500"),"Fail"),0))</f>
        <v>0</v>
      </c>
      <c r="BB6" s="93" t="n">
        <f aca="true">IF($D6="","",IFERROR(COUNTIF(INDIRECT("'"&amp;$D6&amp;"'!$AJ$7:$AJ$500"),"Block"),0))</f>
        <v>0</v>
      </c>
      <c r="BC6" s="1" t="n">
        <f aca="true">IF($D6="","",IFERROR(COUNTIF(INDIRECT("'"&amp;$D6&amp;"'!$AJ$7:$AJ$500"),"N/A"),0))</f>
        <v>0</v>
      </c>
    </row>
    <row r="7" customFormat="false" ht="15" hidden="false" customHeight="true" outlineLevel="0" collapsed="false">
      <c r="B7" s="88" t="n">
        <f aca="false">IF($D7="","",ROW()-3)</f>
        <v>4</v>
      </c>
      <c r="C7" s="89" t="s">
        <v>200</v>
      </c>
      <c r="D7" s="89" t="s">
        <v>201</v>
      </c>
      <c r="E7" s="90" t="s">
        <v>202</v>
      </c>
      <c r="F7" s="88" t="n">
        <f aca="true">IF($D7="","",IFERROR(COUNTIF(INDIRECT("'"&amp;$D7&amp;"'!$C$7:$C$500"),"?*"),0))</f>
        <v>112</v>
      </c>
      <c r="G7" s="88" t="n">
        <f aca="true">IF($D7="","",IFERROR(COUNTIF(INDIRECT("'"&amp;$D7&amp;"'!$AO$7:$AO$500"),"Pass"),0))</f>
        <v>4</v>
      </c>
      <c r="H7" s="88" t="n">
        <f aca="true">IF($D7="","",IFERROR(COUNTIF(INDIRECT("'"&amp;$D7&amp;"'!$AO$7:$AO$500"),"Fail"),0))</f>
        <v>4</v>
      </c>
      <c r="I7" s="88" t="n">
        <f aca="true">IF($D7="","",IFERROR(COUNTIF(INDIRECT("'"&amp;$D7&amp;"'!$AO$7:$AO$500"),"Block"),0))</f>
        <v>0</v>
      </c>
      <c r="J7" s="88" t="n">
        <f aca="true">IF($D7="","",IFERROR(COUNTIF(INDIRECT("'"&amp;$D7&amp;"'!$AO$7:$AO$500"),"N/A"),0))</f>
        <v>0</v>
      </c>
      <c r="K7" s="88" t="n">
        <f aca="false">IF($D7="","",MAX(0,$F7-$G7-$H7-$I7-$J7))</f>
        <v>104</v>
      </c>
      <c r="L7" s="88" t="n">
        <f aca="false">IF($D7="","",$G7+$H7+$I7+$J7)</f>
        <v>8</v>
      </c>
      <c r="M7" s="91" t="n">
        <f aca="false">IF($D7="","",IFERROR($L7/$F7,0))</f>
        <v>0.0714285714285714</v>
      </c>
      <c r="N7" s="91" t="n">
        <f aca="false">IF($D7="","",IFERROR($G7/$L7,0))</f>
        <v>0.5</v>
      </c>
      <c r="O7" s="88" t="n">
        <f aca="true">IF($D7="","",IFERROR(COUNTIF(INDIRECT("'"&amp;$D7&amp;"'!$E$7:$E$500"),"High"),0))</f>
        <v>4</v>
      </c>
      <c r="P7" s="88" t="n">
        <f aca="true">IF($D7="","",IFERROR(COUNTIF(INDIRECT("'"&amp;$D7&amp;"'!$E$7:$E$500"),"Medium"),0))</f>
        <v>71</v>
      </c>
      <c r="Q7" s="88" t="n">
        <f aca="true">IF($D7="","",IFERROR(COUNTIF(INDIRECT("'"&amp;$D7&amp;"'!$E$7:$E$500"),"Low"),0))</f>
        <v>37</v>
      </c>
      <c r="R7" s="88" t="n">
        <f aca="true">IF($D7="","",IFERROR(COUNTIF(INDIRECT("'"&amp;$D7&amp;"'!$D$7:$D$500"),"Functional"),0))</f>
        <v>88</v>
      </c>
      <c r="S7" s="88" t="n">
        <f aca="true">IF($D7="","",IFERROR(COUNTIF(INDIRECT("'"&amp;$D7&amp;"'!$D$7:$D$500"),"UI"),0))</f>
        <v>24</v>
      </c>
      <c r="T7" s="88" t="n">
        <f aca="true">IF($D7="","",IFERROR(COUNTIF(INDIRECT("'"&amp;$D7&amp;"'!$D$7:$D$500"),"Integration"),0))</f>
        <v>0</v>
      </c>
      <c r="U7" s="88" t="n">
        <f aca="true">IF($D7="","",IFERROR(COUNTIF(INDIRECT("'"&amp;$D7&amp;"'!$D$7:$D$500"),"Database Test Case"),0))</f>
        <v>0</v>
      </c>
      <c r="V7" s="88" t="n">
        <f aca="true">IF($D7="","",IFERROR(COUNTIF(INDIRECT("'"&amp;$D7&amp;"'!$J$7:$J$500"),"AI"),0))</f>
        <v>112</v>
      </c>
      <c r="W7" s="88" t="n">
        <f aca="true">IF($D7="","",IFERROR(COUNTIF(INDIRECT("'"&amp;$D7&amp;"'!$J$7:$J$500"),"QC"),0))</f>
        <v>0</v>
      </c>
      <c r="X7" s="88" t="n">
        <f aca="true">IF($D7="","",IFERROR(COUNTIF(INDIRECT("'"&amp;$D7&amp;"'!$L$7:$L$500"),"Yes"),0))</f>
        <v>0</v>
      </c>
      <c r="Y7" s="88" t="n">
        <f aca="true">IF($D7="","",IFERROR(COUNTIF(INDIRECT("'"&amp;$D7&amp;"'!$AM$7:$AM$500"),"Yes"),0))</f>
        <v>8</v>
      </c>
      <c r="Z7" s="88" t="n">
        <f aca="true">IF($D7="","",IFERROR(COUNTIF(INDIRECT("'"&amp;$D7&amp;"'!$AN$7:$AN$500"),"Pass"),0))</f>
        <v>0</v>
      </c>
      <c r="AA7" s="88" t="n">
        <f aca="true">IF($D7="","",IFERROR(COUNTIF(INDIRECT("'"&amp;$D7&amp;"'!$K$7:$K$500"),"Reviewed"),0))</f>
        <v>0</v>
      </c>
      <c r="AB7" s="92" t="n">
        <f aca="true">IF($D7="","",IFERROR(SUMPRODUCT((INDIRECT("'"&amp;$D7&amp;"'!$E$7:$E$500")="High")*(INDIRECT("'"&amp;$D7&amp;"'!$AO$7:$AO$500")&lt;&gt;"")),0))</f>
        <v>0</v>
      </c>
      <c r="AC7" s="92" t="n">
        <f aca="true">IF($D7="","",IFERROR(SUMPRODUCT((INDIRECT("'"&amp;$D7&amp;"'!$E$7:$E$500")="Medium")*(INDIRECT("'"&amp;$D7&amp;"'!$AO$7:$AO$500")&lt;&gt;"")),0))</f>
        <v>5</v>
      </c>
      <c r="AD7" s="92" t="n">
        <f aca="true">IF($D7="","",IFERROR(SUMPRODUCT((INDIRECT("'"&amp;$D7&amp;"'!$E$7:$E$500")="Low")*(INDIRECT("'"&amp;$D7&amp;"'!$AO$7:$AO$500")&lt;&gt;"")),0))</f>
        <v>3</v>
      </c>
      <c r="AE7" s="93" t="n">
        <f aca="true">IF($D7="","",IFERROR(COUNTIF(INDIRECT("'"&amp;$D7&amp;"'!$P$7:$P$500"),"&lt;&gt;"),0))</f>
        <v>10</v>
      </c>
      <c r="AF7" s="93" t="n">
        <f aca="true">IF($D7="","",IFERROR(COUNTIF(INDIRECT("'"&amp;$D7&amp;"'!$P$7:$P$500"),"Pass"),0))</f>
        <v>6</v>
      </c>
      <c r="AG7" s="93" t="n">
        <f aca="true">IF($D7="","",IFERROR(COUNTIF(INDIRECT("'"&amp;$D7&amp;"'!$P$7:$P$500"),"Fail"),0))</f>
        <v>4</v>
      </c>
      <c r="AH7" s="93" t="n">
        <f aca="true">IF($D7="","",IFERROR(COUNTIF(INDIRECT("'"&amp;$D7&amp;"'!$P$7:$P$500"),"Block"),0))</f>
        <v>0</v>
      </c>
      <c r="AI7" s="93" t="n">
        <f aca="true">IF($D7="","",IFERROR(COUNTIF(INDIRECT("'"&amp;$D7&amp;"'!$P$7:$P$500"),"N/A"),0))</f>
        <v>0</v>
      </c>
      <c r="AJ7" s="93" t="n">
        <f aca="true">IF($D7="","",IFERROR(COUNTIF(INDIRECT("'"&amp;$D7&amp;"'!$U$7:$U$500"),"&lt;&gt;"),0))</f>
        <v>0</v>
      </c>
      <c r="AK7" s="93" t="n">
        <f aca="true">IF($D7="","",IFERROR(COUNTIF(INDIRECT("'"&amp;$D7&amp;"'!$U$7:$U$500"),"Pass"),0))</f>
        <v>0</v>
      </c>
      <c r="AL7" s="93" t="n">
        <f aca="true">IF($D7="","",IFERROR(COUNTIF(INDIRECT("'"&amp;$D7&amp;"'!$U$7:$U$500"),"Fail"),0))</f>
        <v>0</v>
      </c>
      <c r="AM7" s="93" t="n">
        <f aca="true">IF($D7="","",IFERROR(COUNTIF(INDIRECT("'"&amp;$D7&amp;"'!$U$7:$U$500"),"Block"),0))</f>
        <v>0</v>
      </c>
      <c r="AN7" s="93" t="n">
        <f aca="true">IF($D7="","",IFERROR(COUNTIF(INDIRECT("'"&amp;$D7&amp;"'!$U$7:$U$500"),"N/A"),0))</f>
        <v>0</v>
      </c>
      <c r="AO7" s="93" t="n">
        <f aca="true">IF($D7="","",IFERROR(COUNTIF(INDIRECT("'"&amp;$D7&amp;"'!$Z$7:$Z$500"),"&lt;&gt;"),0))</f>
        <v>0</v>
      </c>
      <c r="AP7" s="93" t="n">
        <f aca="true">IF($D7="","",IFERROR(COUNTIF(INDIRECT("'"&amp;$D7&amp;"'!$Z$7:$Z$500"),"Pass"),0))</f>
        <v>0</v>
      </c>
      <c r="AQ7" s="93" t="n">
        <f aca="true">IF($D7="","",IFERROR(COUNTIF(INDIRECT("'"&amp;$D7&amp;"'!$Z$7:$Z$500"),"Fail"),0))</f>
        <v>0</v>
      </c>
      <c r="AR7" s="93" t="n">
        <f aca="true">IF($D7="","",IFERROR(COUNTIF(INDIRECT("'"&amp;$D7&amp;"'!$Z$7:$Z$500"),"Block"),0))</f>
        <v>0</v>
      </c>
      <c r="AS7" s="93" t="n">
        <f aca="true">IF($D7="","",IFERROR(COUNTIF(INDIRECT("'"&amp;$D7&amp;"'!$Z$7:$Z$500"),"N/A"),0))</f>
        <v>0</v>
      </c>
      <c r="AT7" s="93" t="n">
        <f aca="true">IF($D7="","",IFERROR(COUNTIF(INDIRECT("'"&amp;$D7&amp;"'!$AE$7:$AE$500"),"&lt;&gt;"),0))</f>
        <v>0</v>
      </c>
      <c r="AU7" s="93" t="n">
        <f aca="true">IF($D7="","",IFERROR(COUNTIF(INDIRECT("'"&amp;$D7&amp;"'!$AE$7:$AE$500"),"Pass"),0))</f>
        <v>0</v>
      </c>
      <c r="AV7" s="93" t="n">
        <f aca="true">IF($D7="","",IFERROR(COUNTIF(INDIRECT("'"&amp;$D7&amp;"'!$AE$7:$AE$500"),"Fail"),0))</f>
        <v>0</v>
      </c>
      <c r="AW7" s="93" t="n">
        <f aca="true">IF($D7="","",IFERROR(COUNTIF(INDIRECT("'"&amp;$D7&amp;"'!$AE$7:$AE$500"),"Block"),0))</f>
        <v>0</v>
      </c>
      <c r="AX7" s="93" t="n">
        <f aca="true">IF($D7="","",IFERROR(COUNTIF(INDIRECT("'"&amp;$D7&amp;"'!$AE$7:$AE$500"),"N/A"),0))</f>
        <v>0</v>
      </c>
      <c r="AY7" s="93" t="n">
        <f aca="true">IF($D7="","",IFERROR(COUNTIF(INDIRECT("'"&amp;$D7&amp;"'!$AJ$7:$AJ$500"),"&lt;&gt;"),0))</f>
        <v>0</v>
      </c>
      <c r="AZ7" s="93" t="n">
        <f aca="true">IF($D7="","",IFERROR(COUNTIF(INDIRECT("'"&amp;$D7&amp;"'!$AJ$7:$AJ$500"),"Pass"),0))</f>
        <v>0</v>
      </c>
      <c r="BA7" s="93" t="n">
        <f aca="true">IF($D7="","",IFERROR(COUNTIF(INDIRECT("'"&amp;$D7&amp;"'!$AJ$7:$AJ$500"),"Fail"),0))</f>
        <v>0</v>
      </c>
      <c r="BB7" s="93" t="n">
        <f aca="true">IF($D7="","",IFERROR(COUNTIF(INDIRECT("'"&amp;$D7&amp;"'!$AJ$7:$AJ$500"),"Block"),0))</f>
        <v>0</v>
      </c>
      <c r="BC7" s="1" t="n">
        <f aca="true">IF($D7="","",IFERROR(COUNTIF(INDIRECT("'"&amp;$D7&amp;"'!$AJ$7:$AJ$500"),"N/A"),0))</f>
        <v>0</v>
      </c>
    </row>
    <row r="8" customFormat="false" ht="15" hidden="false" customHeight="true" outlineLevel="0" collapsed="false">
      <c r="B8" s="88" t="n">
        <f aca="false">IF($D8="","",ROW()-3)</f>
        <v>5</v>
      </c>
      <c r="C8" s="89" t="s">
        <v>203</v>
      </c>
      <c r="D8" s="89" t="s">
        <v>204</v>
      </c>
      <c r="E8" s="90" t="s">
        <v>204</v>
      </c>
      <c r="F8" s="88" t="n">
        <f aca="true">IF($D8="","",IFERROR(COUNTIF(INDIRECT("'"&amp;$D8&amp;"'!$C$7:$C$500"),"?*"),0))</f>
        <v>34</v>
      </c>
      <c r="G8" s="88" t="n">
        <f aca="true">IF($D8="","",IFERROR(COUNTIF(INDIRECT("'"&amp;$D8&amp;"'!$AO$7:$AO$500"),"Pass"),0))</f>
        <v>0</v>
      </c>
      <c r="H8" s="88" t="n">
        <f aca="true">IF($D8="","",IFERROR(COUNTIF(INDIRECT("'"&amp;$D8&amp;"'!$AO$7:$AO$500"),"Fail"),0))</f>
        <v>0</v>
      </c>
      <c r="I8" s="88" t="n">
        <f aca="true">IF($D8="","",IFERROR(COUNTIF(INDIRECT("'"&amp;$D8&amp;"'!$AO$7:$AO$500"),"Block"),0))</f>
        <v>0</v>
      </c>
      <c r="J8" s="88" t="n">
        <f aca="true">IF($D8="","",IFERROR(COUNTIF(INDIRECT("'"&amp;$D8&amp;"'!$AO$7:$AO$500"),"N/A"),0))</f>
        <v>0</v>
      </c>
      <c r="K8" s="88" t="n">
        <f aca="false">IF($D8="","",MAX(0,$F8-$G8-$H8-$I8-$J8))</f>
        <v>34</v>
      </c>
      <c r="L8" s="88" t="n">
        <f aca="false">IF($D8="","",$G8+$H8+$I8+$J8)</f>
        <v>0</v>
      </c>
      <c r="M8" s="91" t="n">
        <f aca="false">IF($D8="","",IFERROR($L8/$F8,0))</f>
        <v>0</v>
      </c>
      <c r="N8" s="91" t="n">
        <f aca="false">IF($D8="","",IFERROR($G8/$L8,0))</f>
        <v>0</v>
      </c>
      <c r="O8" s="88" t="n">
        <f aca="true">IF($D8="","",IFERROR(COUNTIF(INDIRECT("'"&amp;$D8&amp;"'!$E$7:$E$500"),"High"),0))</f>
        <v>1</v>
      </c>
      <c r="P8" s="88" t="n">
        <f aca="true">IF($D8="","",IFERROR(COUNTIF(INDIRECT("'"&amp;$D8&amp;"'!$E$7:$E$500"),"Medium"),0))</f>
        <v>19</v>
      </c>
      <c r="Q8" s="88" t="n">
        <f aca="true">IF($D8="","",IFERROR(COUNTIF(INDIRECT("'"&amp;$D8&amp;"'!$E$7:$E$500"),"Low"),0))</f>
        <v>14</v>
      </c>
      <c r="R8" s="88" t="n">
        <f aca="true">IF($D8="","",IFERROR(COUNTIF(INDIRECT("'"&amp;$D8&amp;"'!$D$7:$D$500"),"Functional"),0))</f>
        <v>10</v>
      </c>
      <c r="S8" s="88" t="n">
        <f aca="true">IF($D8="","",IFERROR(COUNTIF(INDIRECT("'"&amp;$D8&amp;"'!$D$7:$D$500"),"UI"),0))</f>
        <v>24</v>
      </c>
      <c r="T8" s="88" t="n">
        <f aca="true">IF($D8="","",IFERROR(COUNTIF(INDIRECT("'"&amp;$D8&amp;"'!$D$7:$D$500"),"Integration"),0))</f>
        <v>0</v>
      </c>
      <c r="U8" s="88" t="n">
        <f aca="true">IF($D8="","",IFERROR(COUNTIF(INDIRECT("'"&amp;$D8&amp;"'!$D$7:$D$500"),"Database Test Case"),0))</f>
        <v>0</v>
      </c>
      <c r="V8" s="88" t="n">
        <f aca="true">IF($D8="","",IFERROR(COUNTIF(INDIRECT("'"&amp;$D8&amp;"'!$J$7:$J$500"),"AI"),0))</f>
        <v>34</v>
      </c>
      <c r="W8" s="88" t="n">
        <f aca="true">IF($D8="","",IFERROR(COUNTIF(INDIRECT("'"&amp;$D8&amp;"'!$J$7:$J$500"),"QC"),0))</f>
        <v>0</v>
      </c>
      <c r="X8" s="88" t="n">
        <f aca="true">IF($D8="","",IFERROR(COUNTIF(INDIRECT("'"&amp;$D8&amp;"'!$L$7:$L$500"),"Yes"),0))</f>
        <v>0</v>
      </c>
      <c r="Y8" s="88" t="n">
        <f aca="true">IF($D8="","",IFERROR(COUNTIF(INDIRECT("'"&amp;$D8&amp;"'!$AM$7:$AM$500"),"Yes"),0))</f>
        <v>0</v>
      </c>
      <c r="Z8" s="88" t="n">
        <f aca="true">IF($D8="","",IFERROR(COUNTIF(INDIRECT("'"&amp;$D8&amp;"'!$AN$7:$AN$500"),"Pass"),0))</f>
        <v>0</v>
      </c>
      <c r="AA8" s="88" t="n">
        <f aca="true">IF($D8="","",IFERROR(COUNTIF(INDIRECT("'"&amp;$D8&amp;"'!$K$7:$K$500"),"Reviewed"),0))</f>
        <v>0</v>
      </c>
      <c r="AB8" s="92" t="n">
        <f aca="true">IF($D8="","",IFERROR(SUMPRODUCT((INDIRECT("'"&amp;$D8&amp;"'!$E$7:$E$500")="High")*(INDIRECT("'"&amp;$D8&amp;"'!$AO$7:$AO$500")&lt;&gt;"")),0))</f>
        <v>0</v>
      </c>
      <c r="AC8" s="92" t="n">
        <f aca="true">IF($D8="","",IFERROR(SUMPRODUCT((INDIRECT("'"&amp;$D8&amp;"'!$E$7:$E$500")="Medium")*(INDIRECT("'"&amp;$D8&amp;"'!$AO$7:$AO$500")&lt;&gt;"")),0))</f>
        <v>0</v>
      </c>
      <c r="AD8" s="92" t="n">
        <f aca="true">IF($D8="","",IFERROR(SUMPRODUCT((INDIRECT("'"&amp;$D8&amp;"'!$E$7:$E$500")="Low")*(INDIRECT("'"&amp;$D8&amp;"'!$AO$7:$AO$500")&lt;&gt;"")),0))</f>
        <v>0</v>
      </c>
      <c r="AE8" s="93" t="n">
        <f aca="true">IF($D8="","",IFERROR(COUNTIF(INDIRECT("'"&amp;$D8&amp;"'!$P$7:$P$500"),"&lt;&gt;"),0))</f>
        <v>0</v>
      </c>
      <c r="AF8" s="93" t="n">
        <f aca="true">IF($D8="","",IFERROR(COUNTIF(INDIRECT("'"&amp;$D8&amp;"'!$P$7:$P$500"),"Pass"),0))</f>
        <v>0</v>
      </c>
      <c r="AG8" s="93" t="n">
        <f aca="true">IF($D8="","",IFERROR(COUNTIF(INDIRECT("'"&amp;$D8&amp;"'!$P$7:$P$500"),"Fail"),0))</f>
        <v>0</v>
      </c>
      <c r="AH8" s="93" t="n">
        <f aca="true">IF($D8="","",IFERROR(COUNTIF(INDIRECT("'"&amp;$D8&amp;"'!$P$7:$P$500"),"Block"),0))</f>
        <v>0</v>
      </c>
      <c r="AI8" s="93" t="n">
        <f aca="true">IF($D8="","",IFERROR(COUNTIF(INDIRECT("'"&amp;$D8&amp;"'!$P$7:$P$500"),"N/A"),0))</f>
        <v>0</v>
      </c>
      <c r="AJ8" s="93" t="n">
        <f aca="true">IF($D8="","",IFERROR(COUNTIF(INDIRECT("'"&amp;$D8&amp;"'!$U$7:$U$500"),"&lt;&gt;"),0))</f>
        <v>0</v>
      </c>
      <c r="AK8" s="93" t="n">
        <f aca="true">IF($D8="","",IFERROR(COUNTIF(INDIRECT("'"&amp;$D8&amp;"'!$U$7:$U$500"),"Pass"),0))</f>
        <v>0</v>
      </c>
      <c r="AL8" s="93" t="n">
        <f aca="true">IF($D8="","",IFERROR(COUNTIF(INDIRECT("'"&amp;$D8&amp;"'!$U$7:$U$500"),"Fail"),0))</f>
        <v>0</v>
      </c>
      <c r="AM8" s="93" t="n">
        <f aca="true">IF($D8="","",IFERROR(COUNTIF(INDIRECT("'"&amp;$D8&amp;"'!$U$7:$U$500"),"Block"),0))</f>
        <v>0</v>
      </c>
      <c r="AN8" s="93" t="n">
        <f aca="true">IF($D8="","",IFERROR(COUNTIF(INDIRECT("'"&amp;$D8&amp;"'!$U$7:$U$500"),"N/A"),0))</f>
        <v>0</v>
      </c>
      <c r="AO8" s="93" t="n">
        <f aca="true">IF($D8="","",IFERROR(COUNTIF(INDIRECT("'"&amp;$D8&amp;"'!$Z$7:$Z$500"),"&lt;&gt;"),0))</f>
        <v>0</v>
      </c>
      <c r="AP8" s="93" t="n">
        <f aca="true">IF($D8="","",IFERROR(COUNTIF(INDIRECT("'"&amp;$D8&amp;"'!$Z$7:$Z$500"),"Pass"),0))</f>
        <v>0</v>
      </c>
      <c r="AQ8" s="93" t="n">
        <f aca="true">IF($D8="","",IFERROR(COUNTIF(INDIRECT("'"&amp;$D8&amp;"'!$Z$7:$Z$500"),"Fail"),0))</f>
        <v>0</v>
      </c>
      <c r="AR8" s="93" t="n">
        <f aca="true">IF($D8="","",IFERROR(COUNTIF(INDIRECT("'"&amp;$D8&amp;"'!$Z$7:$Z$500"),"Block"),0))</f>
        <v>0</v>
      </c>
      <c r="AS8" s="93" t="n">
        <f aca="true">IF($D8="","",IFERROR(COUNTIF(INDIRECT("'"&amp;$D8&amp;"'!$Z$7:$Z$500"),"N/A"),0))</f>
        <v>0</v>
      </c>
      <c r="AT8" s="93" t="n">
        <f aca="true">IF($D8="","",IFERROR(COUNTIF(INDIRECT("'"&amp;$D8&amp;"'!$AE$7:$AE$500"),"&lt;&gt;"),0))</f>
        <v>0</v>
      </c>
      <c r="AU8" s="93" t="n">
        <f aca="true">IF($D8="","",IFERROR(COUNTIF(INDIRECT("'"&amp;$D8&amp;"'!$AE$7:$AE$500"),"Pass"),0))</f>
        <v>0</v>
      </c>
      <c r="AV8" s="93" t="n">
        <f aca="true">IF($D8="","",IFERROR(COUNTIF(INDIRECT("'"&amp;$D8&amp;"'!$AE$7:$AE$500"),"Fail"),0))</f>
        <v>0</v>
      </c>
      <c r="AW8" s="93" t="n">
        <f aca="true">IF($D8="","",IFERROR(COUNTIF(INDIRECT("'"&amp;$D8&amp;"'!$AE$7:$AE$500"),"Block"),0))</f>
        <v>0</v>
      </c>
      <c r="AX8" s="93" t="n">
        <f aca="true">IF($D8="","",IFERROR(COUNTIF(INDIRECT("'"&amp;$D8&amp;"'!$AE$7:$AE$500"),"N/A"),0))</f>
        <v>0</v>
      </c>
      <c r="AY8" s="93" t="n">
        <f aca="true">IF($D8="","",IFERROR(COUNTIF(INDIRECT("'"&amp;$D8&amp;"'!$AJ$7:$AJ$500"),"&lt;&gt;"),0))</f>
        <v>0</v>
      </c>
      <c r="AZ8" s="93" t="n">
        <f aca="true">IF($D8="","",IFERROR(COUNTIF(INDIRECT("'"&amp;$D8&amp;"'!$AJ$7:$AJ$500"),"Pass"),0))</f>
        <v>0</v>
      </c>
      <c r="BA8" s="93" t="n">
        <f aca="true">IF($D8="","",IFERROR(COUNTIF(INDIRECT("'"&amp;$D8&amp;"'!$AJ$7:$AJ$500"),"Fail"),0))</f>
        <v>0</v>
      </c>
      <c r="BB8" s="93" t="n">
        <f aca="true">IF($D8="","",IFERROR(COUNTIF(INDIRECT("'"&amp;$D8&amp;"'!$AJ$7:$AJ$500"),"Block"),0))</f>
        <v>0</v>
      </c>
      <c r="BC8" s="1" t="n">
        <f aca="true">IF($D8="","",IFERROR(COUNTIF(INDIRECT("'"&amp;$D8&amp;"'!$AJ$7:$AJ$500"),"N/A"),0))</f>
        <v>0</v>
      </c>
    </row>
    <row r="9" customFormat="false" ht="15" hidden="false" customHeight="true" outlineLevel="0" collapsed="false">
      <c r="B9" s="88" t="n">
        <f aca="false">IF($D9="","",ROW()-3)</f>
        <v>6</v>
      </c>
      <c r="C9" s="89" t="s">
        <v>205</v>
      </c>
      <c r="D9" s="89" t="s">
        <v>206</v>
      </c>
      <c r="E9" s="90" t="s">
        <v>206</v>
      </c>
      <c r="F9" s="88" t="n">
        <f aca="true">IF($D9="","",IFERROR(COUNTIF(INDIRECT("'"&amp;$D9&amp;"'!$C$7:$C$500"),"?*"),0))</f>
        <v>34</v>
      </c>
      <c r="G9" s="88" t="n">
        <f aca="true">IF($D9="","",IFERROR(COUNTIF(INDIRECT("'"&amp;$D9&amp;"'!$AO$7:$AO$500"),"Pass"),0))</f>
        <v>0</v>
      </c>
      <c r="H9" s="88" t="n">
        <f aca="true">IF($D9="","",IFERROR(COUNTIF(INDIRECT("'"&amp;$D9&amp;"'!$AO$7:$AO$500"),"Fail"),0))</f>
        <v>0</v>
      </c>
      <c r="I9" s="88" t="n">
        <f aca="true">IF($D9="","",IFERROR(COUNTIF(INDIRECT("'"&amp;$D9&amp;"'!$AO$7:$AO$500"),"Block"),0))</f>
        <v>0</v>
      </c>
      <c r="J9" s="88" t="n">
        <f aca="true">IF($D9="","",IFERROR(COUNTIF(INDIRECT("'"&amp;$D9&amp;"'!$AO$7:$AO$500"),"N/A"),0))</f>
        <v>0</v>
      </c>
      <c r="K9" s="88" t="n">
        <f aca="false">IF($D9="","",MAX(0,$F9-$G9-$H9-$I9-$J9))</f>
        <v>34</v>
      </c>
      <c r="L9" s="88" t="n">
        <f aca="false">IF($D9="","",$G9+$H9+$I9+$J9)</f>
        <v>0</v>
      </c>
      <c r="M9" s="91" t="n">
        <f aca="false">IF($D9="","",IFERROR($L9/$F9,0))</f>
        <v>0</v>
      </c>
      <c r="N9" s="91" t="n">
        <f aca="false">IF($D9="","",IFERROR($G9/$L9,0))</f>
        <v>0</v>
      </c>
      <c r="O9" s="88" t="n">
        <f aca="true">IF($D9="","",IFERROR(COUNTIF(INDIRECT("'"&amp;$D9&amp;"'!$E$7:$E$500"),"High"),0))</f>
        <v>13</v>
      </c>
      <c r="P9" s="88" t="n">
        <f aca="true">IF($D9="","",IFERROR(COUNTIF(INDIRECT("'"&amp;$D9&amp;"'!$E$7:$E$500"),"Medium"),0))</f>
        <v>17</v>
      </c>
      <c r="Q9" s="88" t="n">
        <f aca="true">IF($D9="","",IFERROR(COUNTIF(INDIRECT("'"&amp;$D9&amp;"'!$E$7:$E$500"),"Low"),0))</f>
        <v>4</v>
      </c>
      <c r="R9" s="88" t="n">
        <f aca="true">IF($D9="","",IFERROR(COUNTIF(INDIRECT("'"&amp;$D9&amp;"'!$D$7:$D$500"),"Functional"),0))</f>
        <v>17</v>
      </c>
      <c r="S9" s="88" t="n">
        <f aca="true">IF($D9="","",IFERROR(COUNTIF(INDIRECT("'"&amp;$D9&amp;"'!$D$7:$D$500"),"UI"),0))</f>
        <v>17</v>
      </c>
      <c r="T9" s="88" t="n">
        <f aca="true">IF($D9="","",IFERROR(COUNTIF(INDIRECT("'"&amp;$D9&amp;"'!$D$7:$D$500"),"Integration"),0))</f>
        <v>0</v>
      </c>
      <c r="U9" s="88" t="n">
        <f aca="true">IF($D9="","",IFERROR(COUNTIF(INDIRECT("'"&amp;$D9&amp;"'!$D$7:$D$500"),"Database Test Case"),0))</f>
        <v>0</v>
      </c>
      <c r="V9" s="88" t="n">
        <f aca="true">IF($D9="","",IFERROR(COUNTIF(INDIRECT("'"&amp;$D9&amp;"'!$J$7:$J$500"),"AI"),0))</f>
        <v>34</v>
      </c>
      <c r="W9" s="88" t="n">
        <f aca="true">IF($D9="","",IFERROR(COUNTIF(INDIRECT("'"&amp;$D9&amp;"'!$J$7:$J$500"),"QC"),0))</f>
        <v>0</v>
      </c>
      <c r="X9" s="88" t="n">
        <f aca="true">IF($D9="","",IFERROR(COUNTIF(INDIRECT("'"&amp;$D9&amp;"'!$L$7:$L$500"),"Yes"),0))</f>
        <v>0</v>
      </c>
      <c r="Y9" s="88" t="n">
        <f aca="true">IF($D9="","",IFERROR(COUNTIF(INDIRECT("'"&amp;$D9&amp;"'!$AM$7:$AM$500"),"Yes"),0))</f>
        <v>0</v>
      </c>
      <c r="Z9" s="88" t="n">
        <f aca="true">IF($D9="","",IFERROR(COUNTIF(INDIRECT("'"&amp;$D9&amp;"'!$AN$7:$AN$500"),"Pass"),0))</f>
        <v>0</v>
      </c>
      <c r="AA9" s="88" t="n">
        <f aca="true">IF($D9="","",IFERROR(COUNTIF(INDIRECT("'"&amp;$D9&amp;"'!$K$7:$K$500"),"Reviewed"),0))</f>
        <v>0</v>
      </c>
      <c r="AB9" s="92" t="n">
        <f aca="true">IF($D9="","",IFERROR(SUMPRODUCT((INDIRECT("'"&amp;$D9&amp;"'!$E$7:$E$500")="High")*(INDIRECT("'"&amp;$D9&amp;"'!$AO$7:$AO$500")&lt;&gt;"")),0))</f>
        <v>0</v>
      </c>
      <c r="AC9" s="92" t="n">
        <f aca="true">IF($D9="","",IFERROR(SUMPRODUCT((INDIRECT("'"&amp;$D9&amp;"'!$E$7:$E$500")="Medium")*(INDIRECT("'"&amp;$D9&amp;"'!$AO$7:$AO$500")&lt;&gt;"")),0))</f>
        <v>0</v>
      </c>
      <c r="AD9" s="92" t="n">
        <f aca="true">IF($D9="","",IFERROR(SUMPRODUCT((INDIRECT("'"&amp;$D9&amp;"'!$E$7:$E$500")="Low")*(INDIRECT("'"&amp;$D9&amp;"'!$AO$7:$AO$500")&lt;&gt;"")),0))</f>
        <v>0</v>
      </c>
      <c r="AE9" s="93" t="n">
        <f aca="true">IF($D9="","",IFERROR(COUNTIF(INDIRECT("'"&amp;$D9&amp;"'!$P$7:$P$500"),"&lt;&gt;"),0))</f>
        <v>0</v>
      </c>
      <c r="AF9" s="93" t="n">
        <f aca="true">IF($D9="","",IFERROR(COUNTIF(INDIRECT("'"&amp;$D9&amp;"'!$P$7:$P$500"),"Pass"),0))</f>
        <v>0</v>
      </c>
      <c r="AG9" s="93" t="n">
        <f aca="true">IF($D9="","",IFERROR(COUNTIF(INDIRECT("'"&amp;$D9&amp;"'!$P$7:$P$500"),"Fail"),0))</f>
        <v>0</v>
      </c>
      <c r="AH9" s="93" t="n">
        <f aca="true">IF($D9="","",IFERROR(COUNTIF(INDIRECT("'"&amp;$D9&amp;"'!$P$7:$P$500"),"Block"),0))</f>
        <v>0</v>
      </c>
      <c r="AI9" s="93" t="n">
        <f aca="true">IF($D9="","",IFERROR(COUNTIF(INDIRECT("'"&amp;$D9&amp;"'!$P$7:$P$500"),"N/A"),0))</f>
        <v>0</v>
      </c>
      <c r="AJ9" s="93" t="n">
        <f aca="true">IF($D9="","",IFERROR(COUNTIF(INDIRECT("'"&amp;$D9&amp;"'!$U$7:$U$500"),"&lt;&gt;"),0))</f>
        <v>0</v>
      </c>
      <c r="AK9" s="93" t="n">
        <f aca="true">IF($D9="","",IFERROR(COUNTIF(INDIRECT("'"&amp;$D9&amp;"'!$U$7:$U$500"),"Pass"),0))</f>
        <v>0</v>
      </c>
      <c r="AL9" s="93" t="n">
        <f aca="true">IF($D9="","",IFERROR(COUNTIF(INDIRECT("'"&amp;$D9&amp;"'!$U$7:$U$500"),"Fail"),0))</f>
        <v>0</v>
      </c>
      <c r="AM9" s="93" t="n">
        <f aca="true">IF($D9="","",IFERROR(COUNTIF(INDIRECT("'"&amp;$D9&amp;"'!$U$7:$U$500"),"Block"),0))</f>
        <v>0</v>
      </c>
      <c r="AN9" s="93" t="n">
        <f aca="true">IF($D9="","",IFERROR(COUNTIF(INDIRECT("'"&amp;$D9&amp;"'!$U$7:$U$500"),"N/A"),0))</f>
        <v>0</v>
      </c>
      <c r="AO9" s="93" t="n">
        <f aca="true">IF($D9="","",IFERROR(COUNTIF(INDIRECT("'"&amp;$D9&amp;"'!$Z$7:$Z$500"),"&lt;&gt;"),0))</f>
        <v>0</v>
      </c>
      <c r="AP9" s="93" t="n">
        <f aca="true">IF($D9="","",IFERROR(COUNTIF(INDIRECT("'"&amp;$D9&amp;"'!$Z$7:$Z$500"),"Pass"),0))</f>
        <v>0</v>
      </c>
      <c r="AQ9" s="93" t="n">
        <f aca="true">IF($D9="","",IFERROR(COUNTIF(INDIRECT("'"&amp;$D9&amp;"'!$Z$7:$Z$500"),"Fail"),0))</f>
        <v>0</v>
      </c>
      <c r="AR9" s="93" t="n">
        <f aca="true">IF($D9="","",IFERROR(COUNTIF(INDIRECT("'"&amp;$D9&amp;"'!$Z$7:$Z$500"),"Block"),0))</f>
        <v>0</v>
      </c>
      <c r="AS9" s="93" t="n">
        <f aca="true">IF($D9="","",IFERROR(COUNTIF(INDIRECT("'"&amp;$D9&amp;"'!$Z$7:$Z$500"),"N/A"),0))</f>
        <v>0</v>
      </c>
      <c r="AT9" s="93" t="n">
        <f aca="true">IF($D9="","",IFERROR(COUNTIF(INDIRECT("'"&amp;$D9&amp;"'!$AE$7:$AE$500"),"&lt;&gt;"),0))</f>
        <v>0</v>
      </c>
      <c r="AU9" s="93" t="n">
        <f aca="true">IF($D9="","",IFERROR(COUNTIF(INDIRECT("'"&amp;$D9&amp;"'!$AE$7:$AE$500"),"Pass"),0))</f>
        <v>0</v>
      </c>
      <c r="AV9" s="93" t="n">
        <f aca="true">IF($D9="","",IFERROR(COUNTIF(INDIRECT("'"&amp;$D9&amp;"'!$AE$7:$AE$500"),"Fail"),0))</f>
        <v>0</v>
      </c>
      <c r="AW9" s="93" t="n">
        <f aca="true">IF($D9="","",IFERROR(COUNTIF(INDIRECT("'"&amp;$D9&amp;"'!$AE$7:$AE$500"),"Block"),0))</f>
        <v>0</v>
      </c>
      <c r="AX9" s="93" t="n">
        <f aca="true">IF($D9="","",IFERROR(COUNTIF(INDIRECT("'"&amp;$D9&amp;"'!$AE$7:$AE$500"),"N/A"),0))</f>
        <v>0</v>
      </c>
      <c r="AY9" s="93" t="n">
        <f aca="true">IF($D9="","",IFERROR(COUNTIF(INDIRECT("'"&amp;$D9&amp;"'!$AJ$7:$AJ$500"),"&lt;&gt;"),0))</f>
        <v>0</v>
      </c>
      <c r="AZ9" s="93" t="n">
        <f aca="true">IF($D9="","",IFERROR(COUNTIF(INDIRECT("'"&amp;$D9&amp;"'!$AJ$7:$AJ$500"),"Pass"),0))</f>
        <v>0</v>
      </c>
      <c r="BA9" s="93" t="n">
        <f aca="true">IF($D9="","",IFERROR(COUNTIF(INDIRECT("'"&amp;$D9&amp;"'!$AJ$7:$AJ$500"),"Fail"),0))</f>
        <v>0</v>
      </c>
      <c r="BB9" s="93" t="n">
        <f aca="true">IF($D9="","",IFERROR(COUNTIF(INDIRECT("'"&amp;$D9&amp;"'!$AJ$7:$AJ$500"),"Block"),0))</f>
        <v>0</v>
      </c>
      <c r="BC9" s="1" t="n">
        <f aca="true">IF($D9="","",IFERROR(COUNTIF(INDIRECT("'"&amp;$D9&amp;"'!$AJ$7:$AJ$500"),"N/A"),0))</f>
        <v>0</v>
      </c>
    </row>
    <row r="10" customFormat="false" ht="15" hidden="false" customHeight="true" outlineLevel="0" collapsed="false">
      <c r="B10" s="88" t="n">
        <f aca="false">IF($D10="","",ROW()-3)</f>
        <v>7</v>
      </c>
      <c r="C10" s="89" t="s">
        <v>207</v>
      </c>
      <c r="D10" s="89" t="s">
        <v>208</v>
      </c>
      <c r="E10" s="90" t="s">
        <v>209</v>
      </c>
      <c r="F10" s="88" t="n">
        <f aca="true">IF($D10="","",IFERROR(COUNTIF(INDIRECT("'"&amp;$D10&amp;"'!$C$7:$C$500"),"?*"),0))</f>
        <v>45</v>
      </c>
      <c r="G10" s="88" t="n">
        <f aca="true">IF($D10="","",IFERROR(COUNTIF(INDIRECT("'"&amp;$D10&amp;"'!$AO$7:$AO$500"),"Pass"),0))</f>
        <v>0</v>
      </c>
      <c r="H10" s="88" t="n">
        <f aca="true">IF($D10="","",IFERROR(COUNTIF(INDIRECT("'"&amp;$D10&amp;"'!$AO$7:$AO$500"),"Fail"),0))</f>
        <v>0</v>
      </c>
      <c r="I10" s="88" t="n">
        <f aca="true">IF($D10="","",IFERROR(COUNTIF(INDIRECT("'"&amp;$D10&amp;"'!$AO$7:$AO$500"),"Block"),0))</f>
        <v>0</v>
      </c>
      <c r="J10" s="88" t="n">
        <f aca="true">IF($D10="","",IFERROR(COUNTIF(INDIRECT("'"&amp;$D10&amp;"'!$AO$7:$AO$500"),"N/A"),0))</f>
        <v>0</v>
      </c>
      <c r="K10" s="88" t="n">
        <f aca="false">IF($D10="","",MAX(0,$F10-$G10-$H10-$I10-$J10))</f>
        <v>45</v>
      </c>
      <c r="L10" s="88" t="n">
        <f aca="false">IF($D10="","",$G10+$H10+$I10+$J10)</f>
        <v>0</v>
      </c>
      <c r="M10" s="91" t="n">
        <f aca="false">IF($D10="","",IFERROR($L10/$F10,0))</f>
        <v>0</v>
      </c>
      <c r="N10" s="91" t="n">
        <f aca="false">IF($D10="","",IFERROR($G10/$L10,0))</f>
        <v>0</v>
      </c>
      <c r="O10" s="88" t="n">
        <f aca="true">IF($D10="","",IFERROR(COUNTIF(INDIRECT("'"&amp;$D10&amp;"'!$E$7:$E$500"),"High"),0))</f>
        <v>15</v>
      </c>
      <c r="P10" s="88" t="n">
        <f aca="true">IF($D10="","",IFERROR(COUNTIF(INDIRECT("'"&amp;$D10&amp;"'!$E$7:$E$500"),"Medium"),0))</f>
        <v>20</v>
      </c>
      <c r="Q10" s="88" t="n">
        <f aca="true">IF($D10="","",IFERROR(COUNTIF(INDIRECT("'"&amp;$D10&amp;"'!$E$7:$E$500"),"Low"),0))</f>
        <v>10</v>
      </c>
      <c r="R10" s="88" t="n">
        <f aca="true">IF($D10="","",IFERROR(COUNTIF(INDIRECT("'"&amp;$D10&amp;"'!$D$7:$D$500"),"Functional"),0))</f>
        <v>20</v>
      </c>
      <c r="S10" s="88" t="n">
        <f aca="true">IF($D10="","",IFERROR(COUNTIF(INDIRECT("'"&amp;$D10&amp;"'!$D$7:$D$500"),"UI"),0))</f>
        <v>25</v>
      </c>
      <c r="T10" s="88" t="n">
        <f aca="true">IF($D10="","",IFERROR(COUNTIF(INDIRECT("'"&amp;$D10&amp;"'!$D$7:$D$500"),"Integration"),0))</f>
        <v>0</v>
      </c>
      <c r="U10" s="88" t="n">
        <f aca="true">IF($D10="","",IFERROR(COUNTIF(INDIRECT("'"&amp;$D10&amp;"'!$D$7:$D$500"),"Database Test Case"),0))</f>
        <v>0</v>
      </c>
      <c r="V10" s="88" t="n">
        <f aca="true">IF($D10="","",IFERROR(COUNTIF(INDIRECT("'"&amp;$D10&amp;"'!$J$7:$J$500"),"AI"),0))</f>
        <v>45</v>
      </c>
      <c r="W10" s="88" t="n">
        <f aca="true">IF($D10="","",IFERROR(COUNTIF(INDIRECT("'"&amp;$D10&amp;"'!$J$7:$J$500"),"QC"),0))</f>
        <v>0</v>
      </c>
      <c r="X10" s="88" t="n">
        <f aca="true">IF($D10="","",IFERROR(COUNTIF(INDIRECT("'"&amp;$D10&amp;"'!$L$7:$L$500"),"Yes"),0))</f>
        <v>0</v>
      </c>
      <c r="Y10" s="88" t="n">
        <f aca="true">IF($D10="","",IFERROR(COUNTIF(INDIRECT("'"&amp;$D10&amp;"'!$AM$7:$AM$500"),"Yes"),0))</f>
        <v>0</v>
      </c>
      <c r="Z10" s="88" t="n">
        <f aca="true">IF($D10="","",IFERROR(COUNTIF(INDIRECT("'"&amp;$D10&amp;"'!$AN$7:$AN$500"),"Pass"),0))</f>
        <v>0</v>
      </c>
      <c r="AA10" s="88" t="n">
        <f aca="true">IF($D10="","",IFERROR(COUNTIF(INDIRECT("'"&amp;$D10&amp;"'!$K$7:$K$500"),"Reviewed"),0))</f>
        <v>0</v>
      </c>
      <c r="AB10" s="92" t="n">
        <f aca="true">IF($D10="","",IFERROR(SUMPRODUCT((INDIRECT("'"&amp;$D10&amp;"'!$E$7:$E$500")="High")*(INDIRECT("'"&amp;$D10&amp;"'!$AO$7:$AO$500")&lt;&gt;"")),0))</f>
        <v>0</v>
      </c>
      <c r="AC10" s="92" t="n">
        <f aca="true">IF($D10="","",IFERROR(SUMPRODUCT((INDIRECT("'"&amp;$D10&amp;"'!$E$7:$E$500")="Medium")*(INDIRECT("'"&amp;$D10&amp;"'!$AO$7:$AO$500")&lt;&gt;"")),0))</f>
        <v>0</v>
      </c>
      <c r="AD10" s="92" t="n">
        <f aca="true">IF($D10="","",IFERROR(SUMPRODUCT((INDIRECT("'"&amp;$D10&amp;"'!$E$7:$E$500")="Low")*(INDIRECT("'"&amp;$D10&amp;"'!$AO$7:$AO$500")&lt;&gt;"")),0))</f>
        <v>0</v>
      </c>
      <c r="AE10" s="93" t="n">
        <f aca="true">IF($D10="","",IFERROR(COUNTIF(INDIRECT("'"&amp;$D10&amp;"'!$P$7:$P$500"),"&lt;&gt;"),0))</f>
        <v>0</v>
      </c>
      <c r="AF10" s="93" t="n">
        <f aca="true">IF($D10="","",IFERROR(COUNTIF(INDIRECT("'"&amp;$D10&amp;"'!$P$7:$P$500"),"Pass"),0))</f>
        <v>0</v>
      </c>
      <c r="AG10" s="93" t="n">
        <f aca="true">IF($D10="","",IFERROR(COUNTIF(INDIRECT("'"&amp;$D10&amp;"'!$P$7:$P$500"),"Fail"),0))</f>
        <v>0</v>
      </c>
      <c r="AH10" s="93" t="n">
        <f aca="true">IF($D10="","",IFERROR(COUNTIF(INDIRECT("'"&amp;$D10&amp;"'!$P$7:$P$500"),"Block"),0))</f>
        <v>0</v>
      </c>
      <c r="AI10" s="93" t="n">
        <f aca="true">IF($D10="","",IFERROR(COUNTIF(INDIRECT("'"&amp;$D10&amp;"'!$P$7:$P$500"),"N/A"),0))</f>
        <v>0</v>
      </c>
      <c r="AJ10" s="93" t="n">
        <f aca="true">IF($D10="","",IFERROR(COUNTIF(INDIRECT("'"&amp;$D10&amp;"'!$U$7:$U$500"),"&lt;&gt;"),0))</f>
        <v>0</v>
      </c>
      <c r="AK10" s="93" t="n">
        <f aca="true">IF($D10="","",IFERROR(COUNTIF(INDIRECT("'"&amp;$D10&amp;"'!$U$7:$U$500"),"Pass"),0))</f>
        <v>0</v>
      </c>
      <c r="AL10" s="93" t="n">
        <f aca="true">IF($D10="","",IFERROR(COUNTIF(INDIRECT("'"&amp;$D10&amp;"'!$U$7:$U$500"),"Fail"),0))</f>
        <v>0</v>
      </c>
      <c r="AM10" s="93" t="n">
        <f aca="true">IF($D10="","",IFERROR(COUNTIF(INDIRECT("'"&amp;$D10&amp;"'!$U$7:$U$500"),"Block"),0))</f>
        <v>0</v>
      </c>
      <c r="AN10" s="93" t="n">
        <f aca="true">IF($D10="","",IFERROR(COUNTIF(INDIRECT("'"&amp;$D10&amp;"'!$U$7:$U$500"),"N/A"),0))</f>
        <v>0</v>
      </c>
      <c r="AO10" s="93" t="n">
        <f aca="true">IF($D10="","",IFERROR(COUNTIF(INDIRECT("'"&amp;$D10&amp;"'!$Z$7:$Z$500"),"&lt;&gt;"),0))</f>
        <v>0</v>
      </c>
      <c r="AP10" s="93" t="n">
        <f aca="true">IF($D10="","",IFERROR(COUNTIF(INDIRECT("'"&amp;$D10&amp;"'!$Z$7:$Z$500"),"Pass"),0))</f>
        <v>0</v>
      </c>
      <c r="AQ10" s="93" t="n">
        <f aca="true">IF($D10="","",IFERROR(COUNTIF(INDIRECT("'"&amp;$D10&amp;"'!$Z$7:$Z$500"),"Fail"),0))</f>
        <v>0</v>
      </c>
      <c r="AR10" s="93" t="n">
        <f aca="true">IF($D10="","",IFERROR(COUNTIF(INDIRECT("'"&amp;$D10&amp;"'!$Z$7:$Z$500"),"Block"),0))</f>
        <v>0</v>
      </c>
      <c r="AS10" s="93" t="n">
        <f aca="true">IF($D10="","",IFERROR(COUNTIF(INDIRECT("'"&amp;$D10&amp;"'!$Z$7:$Z$500"),"N/A"),0))</f>
        <v>0</v>
      </c>
      <c r="AT10" s="93" t="n">
        <f aca="true">IF($D10="","",IFERROR(COUNTIF(INDIRECT("'"&amp;$D10&amp;"'!$AE$7:$AE$500"),"&lt;&gt;"),0))</f>
        <v>0</v>
      </c>
      <c r="AU10" s="93" t="n">
        <f aca="true">IF($D10="","",IFERROR(COUNTIF(INDIRECT("'"&amp;$D10&amp;"'!$AE$7:$AE$500"),"Pass"),0))</f>
        <v>0</v>
      </c>
      <c r="AV10" s="93" t="n">
        <f aca="true">IF($D10="","",IFERROR(COUNTIF(INDIRECT("'"&amp;$D10&amp;"'!$AE$7:$AE$500"),"Fail"),0))</f>
        <v>0</v>
      </c>
      <c r="AW10" s="93" t="n">
        <f aca="true">IF($D10="","",IFERROR(COUNTIF(INDIRECT("'"&amp;$D10&amp;"'!$AE$7:$AE$500"),"Block"),0))</f>
        <v>0</v>
      </c>
      <c r="AX10" s="93" t="n">
        <f aca="true">IF($D10="","",IFERROR(COUNTIF(INDIRECT("'"&amp;$D10&amp;"'!$AE$7:$AE$500"),"N/A"),0))</f>
        <v>0</v>
      </c>
      <c r="AY10" s="93" t="n">
        <f aca="true">IF($D10="","",IFERROR(COUNTIF(INDIRECT("'"&amp;$D10&amp;"'!$AJ$7:$AJ$500"),"&lt;&gt;"),0))</f>
        <v>0</v>
      </c>
      <c r="AZ10" s="93" t="n">
        <f aca="true">IF($D10="","",IFERROR(COUNTIF(INDIRECT("'"&amp;$D10&amp;"'!$AJ$7:$AJ$500"),"Pass"),0))</f>
        <v>0</v>
      </c>
      <c r="BA10" s="93" t="n">
        <f aca="true">IF($D10="","",IFERROR(COUNTIF(INDIRECT("'"&amp;$D10&amp;"'!$AJ$7:$AJ$500"),"Fail"),0))</f>
        <v>0</v>
      </c>
      <c r="BB10" s="93" t="n">
        <f aca="true">IF($D10="","",IFERROR(COUNTIF(INDIRECT("'"&amp;$D10&amp;"'!$AJ$7:$AJ$500"),"Block"),0))</f>
        <v>0</v>
      </c>
      <c r="BC10" s="1" t="n">
        <f aca="true">IF($D10="","",IFERROR(COUNTIF(INDIRECT("'"&amp;$D10&amp;"'!$AJ$7:$AJ$500"),"N/A"),0))</f>
        <v>0</v>
      </c>
    </row>
    <row r="11" customFormat="false" ht="15" hidden="false" customHeight="true" outlineLevel="0" collapsed="false">
      <c r="B11" s="88" t="n">
        <f aca="false">IF($D11="","",ROW()-3)</f>
        <v>8</v>
      </c>
      <c r="C11" s="89" t="s">
        <v>210</v>
      </c>
      <c r="D11" s="89" t="s">
        <v>211</v>
      </c>
      <c r="E11" s="90" t="s">
        <v>211</v>
      </c>
      <c r="F11" s="88" t="n">
        <f aca="true">IF($D11="","",IFERROR(COUNTIF(INDIRECT("'"&amp;$D11&amp;"'!$C$7:$C$500"),"?*"),0))</f>
        <v>28</v>
      </c>
      <c r="G11" s="88" t="n">
        <f aca="true">IF($D11="","",IFERROR(COUNTIF(INDIRECT("'"&amp;$D11&amp;"'!$AO$7:$AO$500"),"Pass"),0))</f>
        <v>0</v>
      </c>
      <c r="H11" s="88" t="n">
        <f aca="true">IF($D11="","",IFERROR(COUNTIF(INDIRECT("'"&amp;$D11&amp;"'!$AO$7:$AO$500"),"Fail"),0))</f>
        <v>0</v>
      </c>
      <c r="I11" s="88" t="n">
        <f aca="true">IF($D11="","",IFERROR(COUNTIF(INDIRECT("'"&amp;$D11&amp;"'!$AO$7:$AO$500"),"Block"),0))</f>
        <v>0</v>
      </c>
      <c r="J11" s="88" t="n">
        <f aca="true">IF($D11="","",IFERROR(COUNTIF(INDIRECT("'"&amp;$D11&amp;"'!$AO$7:$AO$500"),"N/A"),0))</f>
        <v>0</v>
      </c>
      <c r="K11" s="88" t="n">
        <f aca="false">IF($D11="","",MAX(0,$F11-$G11-$H11-$I11-$J11))</f>
        <v>28</v>
      </c>
      <c r="L11" s="88" t="n">
        <f aca="false">IF($D11="","",$G11+$H11+$I11+$J11)</f>
        <v>0</v>
      </c>
      <c r="M11" s="91" t="n">
        <f aca="false">IF($D11="","",IFERROR($L11/$F11,0))</f>
        <v>0</v>
      </c>
      <c r="N11" s="91" t="n">
        <f aca="false">IF($D11="","",IFERROR($G11/$L11,0))</f>
        <v>0</v>
      </c>
      <c r="O11" s="88" t="n">
        <f aca="true">IF($D11="","",IFERROR(COUNTIF(INDIRECT("'"&amp;$D11&amp;"'!$E$7:$E$500"),"High"),0))</f>
        <v>14</v>
      </c>
      <c r="P11" s="88" t="n">
        <f aca="true">IF($D11="","",IFERROR(COUNTIF(INDIRECT("'"&amp;$D11&amp;"'!$E$7:$E$500"),"Medium"),0))</f>
        <v>11</v>
      </c>
      <c r="Q11" s="88" t="n">
        <f aca="true">IF($D11="","",IFERROR(COUNTIF(INDIRECT("'"&amp;$D11&amp;"'!$E$7:$E$500"),"Low"),0))</f>
        <v>3</v>
      </c>
      <c r="R11" s="88" t="n">
        <f aca="true">IF($D11="","",IFERROR(COUNTIF(INDIRECT("'"&amp;$D11&amp;"'!$D$7:$D$500"),"Functional"),0))</f>
        <v>22</v>
      </c>
      <c r="S11" s="88" t="n">
        <f aca="true">IF($D11="","",IFERROR(COUNTIF(INDIRECT("'"&amp;$D11&amp;"'!$D$7:$D$500"),"UI"),0))</f>
        <v>6</v>
      </c>
      <c r="T11" s="88" t="n">
        <f aca="true">IF($D11="","",IFERROR(COUNTIF(INDIRECT("'"&amp;$D11&amp;"'!$D$7:$D$500"),"Integration"),0))</f>
        <v>0</v>
      </c>
      <c r="U11" s="88" t="n">
        <f aca="true">IF($D11="","",IFERROR(COUNTIF(INDIRECT("'"&amp;$D11&amp;"'!$D$7:$D$500"),"Database Test Case"),0))</f>
        <v>0</v>
      </c>
      <c r="V11" s="88" t="n">
        <f aca="true">IF($D11="","",IFERROR(COUNTIF(INDIRECT("'"&amp;$D11&amp;"'!$J$7:$J$500"),"AI"),0))</f>
        <v>28</v>
      </c>
      <c r="W11" s="88" t="n">
        <f aca="true">IF($D11="","",IFERROR(COUNTIF(INDIRECT("'"&amp;$D11&amp;"'!$J$7:$J$500"),"QC"),0))</f>
        <v>0</v>
      </c>
      <c r="X11" s="88" t="n">
        <f aca="true">IF($D11="","",IFERROR(COUNTIF(INDIRECT("'"&amp;$D11&amp;"'!$L$7:$L$500"),"Yes"),0))</f>
        <v>0</v>
      </c>
      <c r="Y11" s="88" t="n">
        <f aca="true">IF($D11="","",IFERROR(COUNTIF(INDIRECT("'"&amp;$D11&amp;"'!$AM$7:$AM$500"),"Yes"),0))</f>
        <v>0</v>
      </c>
      <c r="Z11" s="88" t="n">
        <f aca="true">IF($D11="","",IFERROR(COUNTIF(INDIRECT("'"&amp;$D11&amp;"'!$AN$7:$AN$500"),"Pass"),0))</f>
        <v>0</v>
      </c>
      <c r="AA11" s="88" t="n">
        <f aca="true">IF($D11="","",IFERROR(COUNTIF(INDIRECT("'"&amp;$D11&amp;"'!$K$7:$K$500"),"Reviewed"),0))</f>
        <v>0</v>
      </c>
      <c r="AB11" s="92" t="n">
        <f aca="true">IF($D11="","",IFERROR(SUMPRODUCT((INDIRECT("'"&amp;$D11&amp;"'!$E$7:$E$500")="High")*(INDIRECT("'"&amp;$D11&amp;"'!$AO$7:$AO$500")&lt;&gt;"")),0))</f>
        <v>0</v>
      </c>
      <c r="AC11" s="92" t="n">
        <f aca="true">IF($D11="","",IFERROR(SUMPRODUCT((INDIRECT("'"&amp;$D11&amp;"'!$E$7:$E$500")="Medium")*(INDIRECT("'"&amp;$D11&amp;"'!$AO$7:$AO$500")&lt;&gt;"")),0))</f>
        <v>0</v>
      </c>
      <c r="AD11" s="92" t="n">
        <f aca="true">IF($D11="","",IFERROR(SUMPRODUCT((INDIRECT("'"&amp;$D11&amp;"'!$E$7:$E$500")="Low")*(INDIRECT("'"&amp;$D11&amp;"'!$AO$7:$AO$500")&lt;&gt;"")),0))</f>
        <v>0</v>
      </c>
      <c r="AE11" s="93" t="n">
        <f aca="true">IF($D11="","",IFERROR(COUNTIF(INDIRECT("'"&amp;$D11&amp;"'!$P$7:$P$500"),"&lt;&gt;"),0))</f>
        <v>0</v>
      </c>
      <c r="AF11" s="93" t="n">
        <f aca="true">IF($D11="","",IFERROR(COUNTIF(INDIRECT("'"&amp;$D11&amp;"'!$P$7:$P$500"),"Pass"),0))</f>
        <v>0</v>
      </c>
      <c r="AG11" s="93" t="n">
        <f aca="true">IF($D11="","",IFERROR(COUNTIF(INDIRECT("'"&amp;$D11&amp;"'!$P$7:$P$500"),"Fail"),0))</f>
        <v>0</v>
      </c>
      <c r="AH11" s="93" t="n">
        <f aca="true">IF($D11="","",IFERROR(COUNTIF(INDIRECT("'"&amp;$D11&amp;"'!$P$7:$P$500"),"Block"),0))</f>
        <v>0</v>
      </c>
      <c r="AI11" s="93" t="n">
        <f aca="true">IF($D11="","",IFERROR(COUNTIF(INDIRECT("'"&amp;$D11&amp;"'!$P$7:$P$500"),"N/A"),0))</f>
        <v>0</v>
      </c>
      <c r="AJ11" s="93" t="n">
        <f aca="true">IF($D11="","",IFERROR(COUNTIF(INDIRECT("'"&amp;$D11&amp;"'!$U$7:$U$500"),"&lt;&gt;"),0))</f>
        <v>0</v>
      </c>
      <c r="AK11" s="93" t="n">
        <f aca="true">IF($D11="","",IFERROR(COUNTIF(INDIRECT("'"&amp;$D11&amp;"'!$U$7:$U$500"),"Pass"),0))</f>
        <v>0</v>
      </c>
      <c r="AL11" s="93" t="n">
        <f aca="true">IF($D11="","",IFERROR(COUNTIF(INDIRECT("'"&amp;$D11&amp;"'!$U$7:$U$500"),"Fail"),0))</f>
        <v>0</v>
      </c>
      <c r="AM11" s="93" t="n">
        <f aca="true">IF($D11="","",IFERROR(COUNTIF(INDIRECT("'"&amp;$D11&amp;"'!$U$7:$U$500"),"Block"),0))</f>
        <v>0</v>
      </c>
      <c r="AN11" s="93" t="n">
        <f aca="true">IF($D11="","",IFERROR(COUNTIF(INDIRECT("'"&amp;$D11&amp;"'!$U$7:$U$500"),"N/A"),0))</f>
        <v>0</v>
      </c>
      <c r="AO11" s="93" t="n">
        <f aca="true">IF($D11="","",IFERROR(COUNTIF(INDIRECT("'"&amp;$D11&amp;"'!$Z$7:$Z$500"),"&lt;&gt;"),0))</f>
        <v>0</v>
      </c>
      <c r="AP11" s="93" t="n">
        <f aca="true">IF($D11="","",IFERROR(COUNTIF(INDIRECT("'"&amp;$D11&amp;"'!$Z$7:$Z$500"),"Pass"),0))</f>
        <v>0</v>
      </c>
      <c r="AQ11" s="93" t="n">
        <f aca="true">IF($D11="","",IFERROR(COUNTIF(INDIRECT("'"&amp;$D11&amp;"'!$Z$7:$Z$500"),"Fail"),0))</f>
        <v>0</v>
      </c>
      <c r="AR11" s="93" t="n">
        <f aca="true">IF($D11="","",IFERROR(COUNTIF(INDIRECT("'"&amp;$D11&amp;"'!$Z$7:$Z$500"),"Block"),0))</f>
        <v>0</v>
      </c>
      <c r="AS11" s="93" t="n">
        <f aca="true">IF($D11="","",IFERROR(COUNTIF(INDIRECT("'"&amp;$D11&amp;"'!$Z$7:$Z$500"),"N/A"),0))</f>
        <v>0</v>
      </c>
      <c r="AT11" s="93" t="n">
        <f aca="true">IF($D11="","",IFERROR(COUNTIF(INDIRECT("'"&amp;$D11&amp;"'!$AE$7:$AE$500"),"&lt;&gt;"),0))</f>
        <v>0</v>
      </c>
      <c r="AU11" s="93" t="n">
        <f aca="true">IF($D11="","",IFERROR(COUNTIF(INDIRECT("'"&amp;$D11&amp;"'!$AE$7:$AE$500"),"Pass"),0))</f>
        <v>0</v>
      </c>
      <c r="AV11" s="93" t="n">
        <f aca="true">IF($D11="","",IFERROR(COUNTIF(INDIRECT("'"&amp;$D11&amp;"'!$AE$7:$AE$500"),"Fail"),0))</f>
        <v>0</v>
      </c>
      <c r="AW11" s="93" t="n">
        <f aca="true">IF($D11="","",IFERROR(COUNTIF(INDIRECT("'"&amp;$D11&amp;"'!$AE$7:$AE$500"),"Block"),0))</f>
        <v>0</v>
      </c>
      <c r="AX11" s="93" t="n">
        <f aca="true">IF($D11="","",IFERROR(COUNTIF(INDIRECT("'"&amp;$D11&amp;"'!$AE$7:$AE$500"),"N/A"),0))</f>
        <v>0</v>
      </c>
      <c r="AY11" s="93" t="n">
        <f aca="true">IF($D11="","",IFERROR(COUNTIF(INDIRECT("'"&amp;$D11&amp;"'!$AJ$7:$AJ$500"),"&lt;&gt;"),0))</f>
        <v>0</v>
      </c>
      <c r="AZ11" s="93" t="n">
        <f aca="true">IF($D11="","",IFERROR(COUNTIF(INDIRECT("'"&amp;$D11&amp;"'!$AJ$7:$AJ$500"),"Pass"),0))</f>
        <v>0</v>
      </c>
      <c r="BA11" s="93" t="n">
        <f aca="true">IF($D11="","",IFERROR(COUNTIF(INDIRECT("'"&amp;$D11&amp;"'!$AJ$7:$AJ$500"),"Fail"),0))</f>
        <v>0</v>
      </c>
      <c r="BB11" s="93" t="n">
        <f aca="true">IF($D11="","",IFERROR(COUNTIF(INDIRECT("'"&amp;$D11&amp;"'!$AJ$7:$AJ$500"),"Block"),0))</f>
        <v>0</v>
      </c>
      <c r="BC11" s="1" t="n">
        <f aca="true">IF($D11="","",IFERROR(COUNTIF(INDIRECT("'"&amp;$D11&amp;"'!$AJ$7:$AJ$500"),"N/A"),0))</f>
        <v>0</v>
      </c>
    </row>
    <row r="12" customFormat="false" ht="15" hidden="false" customHeight="true" outlineLevel="0" collapsed="false">
      <c r="B12" s="88" t="n">
        <f aca="false">IF($D12="","",ROW()-3)</f>
        <v>9</v>
      </c>
      <c r="C12" s="89" t="s">
        <v>212</v>
      </c>
      <c r="D12" s="89" t="s">
        <v>213</v>
      </c>
      <c r="E12" s="90" t="s">
        <v>213</v>
      </c>
      <c r="F12" s="88" t="n">
        <f aca="true">IF($D12="","",IFERROR(COUNTIF(INDIRECT("'"&amp;$D12&amp;"'!$C$7:$C$500"),"?*"),0))</f>
        <v>17</v>
      </c>
      <c r="G12" s="88" t="n">
        <f aca="true">IF($D12="","",IFERROR(COUNTIF(INDIRECT("'"&amp;$D12&amp;"'!$AO$7:$AO$500"),"Pass"),0))</f>
        <v>0</v>
      </c>
      <c r="H12" s="88" t="n">
        <f aca="true">IF($D12="","",IFERROR(COUNTIF(INDIRECT("'"&amp;$D12&amp;"'!$AO$7:$AO$500"),"Fail"),0))</f>
        <v>0</v>
      </c>
      <c r="I12" s="88" t="n">
        <f aca="true">IF($D12="","",IFERROR(COUNTIF(INDIRECT("'"&amp;$D12&amp;"'!$AO$7:$AO$500"),"Block"),0))</f>
        <v>0</v>
      </c>
      <c r="J12" s="88" t="n">
        <f aca="true">IF($D12="","",IFERROR(COUNTIF(INDIRECT("'"&amp;$D12&amp;"'!$AO$7:$AO$500"),"N/A"),0))</f>
        <v>0</v>
      </c>
      <c r="K12" s="88" t="n">
        <f aca="false">IF($D12="","",MAX(0,$F12-$G12-$H12-$I12-$J12))</f>
        <v>17</v>
      </c>
      <c r="L12" s="88" t="n">
        <f aca="false">IF($D12="","",$G12+$H12+$I12+$J12)</f>
        <v>0</v>
      </c>
      <c r="M12" s="91" t="n">
        <f aca="false">IF($D12="","",IFERROR($L12/$F12,0))</f>
        <v>0</v>
      </c>
      <c r="N12" s="91" t="n">
        <f aca="false">IF($D12="","",IFERROR($G12/$L12,0))</f>
        <v>0</v>
      </c>
      <c r="O12" s="88" t="n">
        <f aca="true">IF($D12="","",IFERROR(COUNTIF(INDIRECT("'"&amp;$D12&amp;"'!$E$7:$E$500"),"High"),0))</f>
        <v>0</v>
      </c>
      <c r="P12" s="88" t="n">
        <f aca="true">IF($D12="","",IFERROR(COUNTIF(INDIRECT("'"&amp;$D12&amp;"'!$E$7:$E$500"),"Medium"),0))</f>
        <v>15</v>
      </c>
      <c r="Q12" s="88" t="n">
        <f aca="true">IF($D12="","",IFERROR(COUNTIF(INDIRECT("'"&amp;$D12&amp;"'!$E$7:$E$500"),"Low"),0))</f>
        <v>2</v>
      </c>
      <c r="R12" s="88" t="n">
        <f aca="true">IF($D12="","",IFERROR(COUNTIF(INDIRECT("'"&amp;$D12&amp;"'!$D$7:$D$500"),"Functional"),0))</f>
        <v>11</v>
      </c>
      <c r="S12" s="88" t="n">
        <f aca="true">IF($D12="","",IFERROR(COUNTIF(INDIRECT("'"&amp;$D12&amp;"'!$D$7:$D$500"),"UI"),0))</f>
        <v>5</v>
      </c>
      <c r="T12" s="88" t="n">
        <f aca="true">IF($D12="","",IFERROR(COUNTIF(INDIRECT("'"&amp;$D12&amp;"'!$D$7:$D$500"),"Integration"),0))</f>
        <v>1</v>
      </c>
      <c r="U12" s="88" t="n">
        <f aca="true">IF($D12="","",IFERROR(COUNTIF(INDIRECT("'"&amp;$D12&amp;"'!$D$7:$D$500"),"Database Test Case"),0))</f>
        <v>0</v>
      </c>
      <c r="V12" s="88" t="n">
        <f aca="true">IF($D12="","",IFERROR(COUNTIF(INDIRECT("'"&amp;$D12&amp;"'!$J$7:$J$500"),"AI"),0))</f>
        <v>17</v>
      </c>
      <c r="W12" s="88" t="n">
        <f aca="true">IF($D12="","",IFERROR(COUNTIF(INDIRECT("'"&amp;$D12&amp;"'!$J$7:$J$500"),"QC"),0))</f>
        <v>0</v>
      </c>
      <c r="X12" s="88" t="n">
        <f aca="true">IF($D12="","",IFERROR(COUNTIF(INDIRECT("'"&amp;$D12&amp;"'!$L$7:$L$500"),"Yes"),0))</f>
        <v>0</v>
      </c>
      <c r="Y12" s="88" t="n">
        <f aca="true">IF($D12="","",IFERROR(COUNTIF(INDIRECT("'"&amp;$D12&amp;"'!$AM$7:$AM$500"),"Yes"),0))</f>
        <v>0</v>
      </c>
      <c r="Z12" s="88" t="n">
        <f aca="true">IF($D12="","",IFERROR(COUNTIF(INDIRECT("'"&amp;$D12&amp;"'!$AN$7:$AN$500"),"Pass"),0))</f>
        <v>0</v>
      </c>
      <c r="AA12" s="88" t="n">
        <f aca="true">IF($D12="","",IFERROR(COUNTIF(INDIRECT("'"&amp;$D12&amp;"'!$K$7:$K$500"),"Reviewed"),0))</f>
        <v>0</v>
      </c>
      <c r="AB12" s="92" t="n">
        <f aca="true">IF($D12="","",IFERROR(SUMPRODUCT((INDIRECT("'"&amp;$D12&amp;"'!$E$7:$E$500")="High")*(INDIRECT("'"&amp;$D12&amp;"'!$AO$7:$AO$500")&lt;&gt;"")),0))</f>
        <v>0</v>
      </c>
      <c r="AC12" s="92" t="n">
        <f aca="true">IF($D12="","",IFERROR(SUMPRODUCT((INDIRECT("'"&amp;$D12&amp;"'!$E$7:$E$500")="Medium")*(INDIRECT("'"&amp;$D12&amp;"'!$AO$7:$AO$500")&lt;&gt;"")),0))</f>
        <v>0</v>
      </c>
      <c r="AD12" s="92" t="n">
        <f aca="true">IF($D12="","",IFERROR(SUMPRODUCT((INDIRECT("'"&amp;$D12&amp;"'!$E$7:$E$500")="Low")*(INDIRECT("'"&amp;$D12&amp;"'!$AO$7:$AO$500")&lt;&gt;"")),0))</f>
        <v>0</v>
      </c>
      <c r="AE12" s="93" t="n">
        <f aca="true">IF($D12="","",IFERROR(COUNTIF(INDIRECT("'"&amp;$D12&amp;"'!$P$7:$P$500"),"&lt;&gt;"),0))</f>
        <v>0</v>
      </c>
      <c r="AF12" s="93" t="n">
        <f aca="true">IF($D12="","",IFERROR(COUNTIF(INDIRECT("'"&amp;$D12&amp;"'!$P$7:$P$500"),"Pass"),0))</f>
        <v>0</v>
      </c>
      <c r="AG12" s="93" t="n">
        <f aca="true">IF($D12="","",IFERROR(COUNTIF(INDIRECT("'"&amp;$D12&amp;"'!$P$7:$P$500"),"Fail"),0))</f>
        <v>0</v>
      </c>
      <c r="AH12" s="93" t="n">
        <f aca="true">IF($D12="","",IFERROR(COUNTIF(INDIRECT("'"&amp;$D12&amp;"'!$P$7:$P$500"),"Block"),0))</f>
        <v>0</v>
      </c>
      <c r="AI12" s="93" t="n">
        <f aca="true">IF($D12="","",IFERROR(COUNTIF(INDIRECT("'"&amp;$D12&amp;"'!$P$7:$P$500"),"N/A"),0))</f>
        <v>0</v>
      </c>
      <c r="AJ12" s="93" t="n">
        <f aca="true">IF($D12="","",IFERROR(COUNTIF(INDIRECT("'"&amp;$D12&amp;"'!$U$7:$U$500"),"&lt;&gt;"),0))</f>
        <v>0</v>
      </c>
      <c r="AK12" s="93" t="n">
        <f aca="true">IF($D12="","",IFERROR(COUNTIF(INDIRECT("'"&amp;$D12&amp;"'!$U$7:$U$500"),"Pass"),0))</f>
        <v>0</v>
      </c>
      <c r="AL12" s="93" t="n">
        <f aca="true">IF($D12="","",IFERROR(COUNTIF(INDIRECT("'"&amp;$D12&amp;"'!$U$7:$U$500"),"Fail"),0))</f>
        <v>0</v>
      </c>
      <c r="AM12" s="93" t="n">
        <f aca="true">IF($D12="","",IFERROR(COUNTIF(INDIRECT("'"&amp;$D12&amp;"'!$U$7:$U$500"),"Block"),0))</f>
        <v>0</v>
      </c>
      <c r="AN12" s="93" t="n">
        <f aca="true">IF($D12="","",IFERROR(COUNTIF(INDIRECT("'"&amp;$D12&amp;"'!$U$7:$U$500"),"N/A"),0))</f>
        <v>0</v>
      </c>
      <c r="AO12" s="93" t="n">
        <f aca="true">IF($D12="","",IFERROR(COUNTIF(INDIRECT("'"&amp;$D12&amp;"'!$Z$7:$Z$500"),"&lt;&gt;"),0))</f>
        <v>0</v>
      </c>
      <c r="AP12" s="93" t="n">
        <f aca="true">IF($D12="","",IFERROR(COUNTIF(INDIRECT("'"&amp;$D12&amp;"'!$Z$7:$Z$500"),"Pass"),0))</f>
        <v>0</v>
      </c>
      <c r="AQ12" s="93" t="n">
        <f aca="true">IF($D12="","",IFERROR(COUNTIF(INDIRECT("'"&amp;$D12&amp;"'!$Z$7:$Z$500"),"Fail"),0))</f>
        <v>0</v>
      </c>
      <c r="AR12" s="93" t="n">
        <f aca="true">IF($D12="","",IFERROR(COUNTIF(INDIRECT("'"&amp;$D12&amp;"'!$Z$7:$Z$500"),"Block"),0))</f>
        <v>0</v>
      </c>
      <c r="AS12" s="93" t="n">
        <f aca="true">IF($D12="","",IFERROR(COUNTIF(INDIRECT("'"&amp;$D12&amp;"'!$Z$7:$Z$500"),"N/A"),0))</f>
        <v>0</v>
      </c>
      <c r="AT12" s="93" t="n">
        <f aca="true">IF($D12="","",IFERROR(COUNTIF(INDIRECT("'"&amp;$D12&amp;"'!$AE$7:$AE$500"),"&lt;&gt;"),0))</f>
        <v>0</v>
      </c>
      <c r="AU12" s="93" t="n">
        <f aca="true">IF($D12="","",IFERROR(COUNTIF(INDIRECT("'"&amp;$D12&amp;"'!$AE$7:$AE$500"),"Pass"),0))</f>
        <v>0</v>
      </c>
      <c r="AV12" s="93" t="n">
        <f aca="true">IF($D12="","",IFERROR(COUNTIF(INDIRECT("'"&amp;$D12&amp;"'!$AE$7:$AE$500"),"Fail"),0))</f>
        <v>0</v>
      </c>
      <c r="AW12" s="93" t="n">
        <f aca="true">IF($D12="","",IFERROR(COUNTIF(INDIRECT("'"&amp;$D12&amp;"'!$AE$7:$AE$500"),"Block"),0))</f>
        <v>0</v>
      </c>
      <c r="AX12" s="93" t="n">
        <f aca="true">IF($D12="","",IFERROR(COUNTIF(INDIRECT("'"&amp;$D12&amp;"'!$AE$7:$AE$500"),"N/A"),0))</f>
        <v>0</v>
      </c>
      <c r="AY12" s="93" t="n">
        <f aca="true">IF($D12="","",IFERROR(COUNTIF(INDIRECT("'"&amp;$D12&amp;"'!$AJ$7:$AJ$500"),"&lt;&gt;"),0))</f>
        <v>0</v>
      </c>
      <c r="AZ12" s="93" t="n">
        <f aca="true">IF($D12="","",IFERROR(COUNTIF(INDIRECT("'"&amp;$D12&amp;"'!$AJ$7:$AJ$500"),"Pass"),0))</f>
        <v>0</v>
      </c>
      <c r="BA12" s="93" t="n">
        <f aca="true">IF($D12="","",IFERROR(COUNTIF(INDIRECT("'"&amp;$D12&amp;"'!$AJ$7:$AJ$500"),"Fail"),0))</f>
        <v>0</v>
      </c>
      <c r="BB12" s="93" t="n">
        <f aca="true">IF($D12="","",IFERROR(COUNTIF(INDIRECT("'"&amp;$D12&amp;"'!$AJ$7:$AJ$500"),"Block"),0))</f>
        <v>0</v>
      </c>
      <c r="BC12" s="1" t="n">
        <f aca="true">IF($D12="","",IFERROR(COUNTIF(INDIRECT("'"&amp;$D12&amp;"'!$AJ$7:$AJ$500"),"N/A"),0))</f>
        <v>0</v>
      </c>
    </row>
    <row r="13" customFormat="false" ht="15" hidden="false" customHeight="true" outlineLevel="0" collapsed="false">
      <c r="B13" s="88" t="str">
        <f aca="false">IF($D13="","",ROW()-3)</f>
        <v/>
      </c>
      <c r="C13" s="89"/>
      <c r="D13" s="89"/>
      <c r="E13" s="90"/>
      <c r="F13" s="88" t="str">
        <f aca="true">IF($D13="","",IFERROR(COUNTIF(INDIRECT("'"&amp;$D13&amp;"'!$C$7:$C$500"),"?*"),0))</f>
        <v/>
      </c>
      <c r="G13" s="88" t="str">
        <f aca="true">IF($D13="","",IFERROR(COUNTIF(INDIRECT("'"&amp;$D13&amp;"'!$AO$7:$AO$500"),"Pass"),0))</f>
        <v/>
      </c>
      <c r="H13" s="88" t="str">
        <f aca="true">IF($D13="","",IFERROR(COUNTIF(INDIRECT("'"&amp;$D13&amp;"'!$AO$7:$AO$500"),"Fail"),0))</f>
        <v/>
      </c>
      <c r="I13" s="88" t="str">
        <f aca="true">IF($D13="","",IFERROR(COUNTIF(INDIRECT("'"&amp;$D13&amp;"'!$AO$7:$AO$500"),"Block"),0))</f>
        <v/>
      </c>
      <c r="J13" s="88" t="str">
        <f aca="true">IF($D13="","",IFERROR(COUNTIF(INDIRECT("'"&amp;$D13&amp;"'!$AO$7:$AO$500"),"N/A"),0))</f>
        <v/>
      </c>
      <c r="K13" s="88" t="str">
        <f aca="false">IF($D13="","",MAX(0,$F13-$G13-$H13-$I13-$J13))</f>
        <v/>
      </c>
      <c r="L13" s="88" t="str">
        <f aca="false">IF($D13="","",$G13+$H13+$I13+$J13)</f>
        <v/>
      </c>
      <c r="M13" s="91" t="str">
        <f aca="false">IF($D13="","",IFERROR($L13/$F13,0))</f>
        <v/>
      </c>
      <c r="N13" s="91" t="str">
        <f aca="false">IF($D13="","",IFERROR($G13/$L13,0))</f>
        <v/>
      </c>
      <c r="O13" s="88" t="str">
        <f aca="true">IF($D13="","",IFERROR(COUNTIF(INDIRECT("'"&amp;$D13&amp;"'!$E$7:$E$500"),"High"),0))</f>
        <v/>
      </c>
      <c r="P13" s="88" t="str">
        <f aca="true">IF($D13="","",IFERROR(COUNTIF(INDIRECT("'"&amp;$D13&amp;"'!$E$7:$E$500"),"Medium"),0))</f>
        <v/>
      </c>
      <c r="Q13" s="88" t="str">
        <f aca="true">IF($D13="","",IFERROR(COUNTIF(INDIRECT("'"&amp;$D13&amp;"'!$E$7:$E$500"),"Low"),0))</f>
        <v/>
      </c>
      <c r="R13" s="88" t="str">
        <f aca="true">IF($D13="","",IFERROR(COUNTIF(INDIRECT("'"&amp;$D13&amp;"'!$D$7:$D$500"),"Functional"),0))</f>
        <v/>
      </c>
      <c r="S13" s="88" t="str">
        <f aca="true">IF($D13="","",IFERROR(COUNTIF(INDIRECT("'"&amp;$D13&amp;"'!$D$7:$D$500"),"UI"),0))</f>
        <v/>
      </c>
      <c r="T13" s="88" t="str">
        <f aca="true">IF($D13="","",IFERROR(COUNTIF(INDIRECT("'"&amp;$D13&amp;"'!$D$7:$D$500"),"Integration"),0))</f>
        <v/>
      </c>
      <c r="U13" s="88" t="str">
        <f aca="true">IF($D13="","",IFERROR(COUNTIF(INDIRECT("'"&amp;$D13&amp;"'!$D$7:$D$500"),"Database Test Case"),0))</f>
        <v/>
      </c>
      <c r="V13" s="88" t="str">
        <f aca="true">IF($D13="","",IFERROR(COUNTIF(INDIRECT("'"&amp;$D13&amp;"'!$J$7:$J$500"),"AI"),0))</f>
        <v/>
      </c>
      <c r="W13" s="88" t="str">
        <f aca="true">IF($D13="","",IFERROR(COUNTIF(INDIRECT("'"&amp;$D13&amp;"'!$J$7:$J$500"),"QC"),0))</f>
        <v/>
      </c>
      <c r="X13" s="88" t="str">
        <f aca="true">IF($D13="","",IFERROR(COUNTIF(INDIRECT("'"&amp;$D13&amp;"'!$L$7:$L$500"),"Yes"),0))</f>
        <v/>
      </c>
      <c r="Y13" s="88" t="str">
        <f aca="true">IF($D13="","",IFERROR(COUNTIF(INDIRECT("'"&amp;$D13&amp;"'!$AM$7:$AM$500"),"Yes"),0))</f>
        <v/>
      </c>
      <c r="Z13" s="88" t="str">
        <f aca="true">IF($D13="","",IFERROR(COUNTIF(INDIRECT("'"&amp;$D13&amp;"'!$AN$7:$AN$500"),"Pass"),0))</f>
        <v/>
      </c>
      <c r="AA13" s="88" t="str">
        <f aca="true">IF($D13="","",IFERROR(COUNTIF(INDIRECT("'"&amp;$D13&amp;"'!$K$7:$K$500"),"Reviewed"),0))</f>
        <v/>
      </c>
      <c r="AB13" s="92" t="str">
        <f aca="true">IF($D13="","",IFERROR(SUMPRODUCT((INDIRECT("'"&amp;$D13&amp;"'!$E$7:$E$500")="High")*(INDIRECT("'"&amp;$D13&amp;"'!$AO$7:$AO$500")&lt;&gt;"")),0))</f>
        <v/>
      </c>
      <c r="AC13" s="92" t="str">
        <f aca="true">IF($D13="","",IFERROR(SUMPRODUCT((INDIRECT("'"&amp;$D13&amp;"'!$E$7:$E$500")="Medium")*(INDIRECT("'"&amp;$D13&amp;"'!$AO$7:$AO$500")&lt;&gt;"")),0))</f>
        <v/>
      </c>
      <c r="AD13" s="92" t="str">
        <f aca="true">IF($D13="","",IFERROR(SUMPRODUCT((INDIRECT("'"&amp;$D13&amp;"'!$E$7:$E$500")="Low")*(INDIRECT("'"&amp;$D13&amp;"'!$AO$7:$AO$500")&lt;&gt;"")),0))</f>
        <v/>
      </c>
      <c r="AE13" s="93" t="str">
        <f aca="true">IF($D13="","",IFERROR(COUNTIF(INDIRECT("'"&amp;$D13&amp;"'!$P$7:$P$500"),"&lt;&gt;"),0))</f>
        <v/>
      </c>
      <c r="AF13" s="93" t="str">
        <f aca="true">IF($D13="","",IFERROR(COUNTIF(INDIRECT("'"&amp;$D13&amp;"'!$P$7:$P$500"),"Pass"),0))</f>
        <v/>
      </c>
      <c r="AG13" s="93" t="str">
        <f aca="true">IF($D13="","",IFERROR(COUNTIF(INDIRECT("'"&amp;$D13&amp;"'!$P$7:$P$500"),"Fail"),0))</f>
        <v/>
      </c>
      <c r="AH13" s="93" t="str">
        <f aca="true">IF($D13="","",IFERROR(COUNTIF(INDIRECT("'"&amp;$D13&amp;"'!$P$7:$P$500"),"Block"),0))</f>
        <v/>
      </c>
      <c r="AI13" s="93" t="str">
        <f aca="true">IF($D13="","",IFERROR(COUNTIF(INDIRECT("'"&amp;$D13&amp;"'!$P$7:$P$500"),"N/A"),0))</f>
        <v/>
      </c>
      <c r="AJ13" s="93" t="str">
        <f aca="true">IF($D13="","",IFERROR(COUNTIF(INDIRECT("'"&amp;$D13&amp;"'!$U$7:$U$500"),"&lt;&gt;"),0))</f>
        <v/>
      </c>
      <c r="AK13" s="93" t="str">
        <f aca="true">IF($D13="","",IFERROR(COUNTIF(INDIRECT("'"&amp;$D13&amp;"'!$U$7:$U$500"),"Pass"),0))</f>
        <v/>
      </c>
      <c r="AL13" s="93" t="str">
        <f aca="true">IF($D13="","",IFERROR(COUNTIF(INDIRECT("'"&amp;$D13&amp;"'!$U$7:$U$500"),"Fail"),0))</f>
        <v/>
      </c>
      <c r="AM13" s="93" t="str">
        <f aca="true">IF($D13="","",IFERROR(COUNTIF(INDIRECT("'"&amp;$D13&amp;"'!$U$7:$U$500"),"Block"),0))</f>
        <v/>
      </c>
      <c r="AN13" s="93" t="str">
        <f aca="true">IF($D13="","",IFERROR(COUNTIF(INDIRECT("'"&amp;$D13&amp;"'!$U$7:$U$500"),"N/A"),0))</f>
        <v/>
      </c>
      <c r="AO13" s="93" t="str">
        <f aca="true">IF($D13="","",IFERROR(COUNTIF(INDIRECT("'"&amp;$D13&amp;"'!$Z$7:$Z$500"),"&lt;&gt;"),0))</f>
        <v/>
      </c>
      <c r="AP13" s="93" t="str">
        <f aca="true">IF($D13="","",IFERROR(COUNTIF(INDIRECT("'"&amp;$D13&amp;"'!$Z$7:$Z$500"),"Pass"),0))</f>
        <v/>
      </c>
      <c r="AQ13" s="93" t="str">
        <f aca="true">IF($D13="","",IFERROR(COUNTIF(INDIRECT("'"&amp;$D13&amp;"'!$Z$7:$Z$500"),"Fail"),0))</f>
        <v/>
      </c>
      <c r="AR13" s="93" t="str">
        <f aca="true">IF($D13="","",IFERROR(COUNTIF(INDIRECT("'"&amp;$D13&amp;"'!$Z$7:$Z$500"),"Block"),0))</f>
        <v/>
      </c>
      <c r="AS13" s="93" t="str">
        <f aca="true">IF($D13="","",IFERROR(COUNTIF(INDIRECT("'"&amp;$D13&amp;"'!$Z$7:$Z$500"),"N/A"),0))</f>
        <v/>
      </c>
      <c r="AT13" s="93" t="str">
        <f aca="true">IF($D13="","",IFERROR(COUNTIF(INDIRECT("'"&amp;$D13&amp;"'!$AE$7:$AE$500"),"&lt;&gt;"),0))</f>
        <v/>
      </c>
      <c r="AU13" s="93" t="str">
        <f aca="true">IF($D13="","",IFERROR(COUNTIF(INDIRECT("'"&amp;$D13&amp;"'!$AE$7:$AE$500"),"Pass"),0))</f>
        <v/>
      </c>
      <c r="AV13" s="93" t="str">
        <f aca="true">IF($D13="","",IFERROR(COUNTIF(INDIRECT("'"&amp;$D13&amp;"'!$AE$7:$AE$500"),"Fail"),0))</f>
        <v/>
      </c>
      <c r="AW13" s="93" t="str">
        <f aca="true">IF($D13="","",IFERROR(COUNTIF(INDIRECT("'"&amp;$D13&amp;"'!$AE$7:$AE$500"),"Block"),0))</f>
        <v/>
      </c>
      <c r="AX13" s="93" t="str">
        <f aca="true">IF($D13="","",IFERROR(COUNTIF(INDIRECT("'"&amp;$D13&amp;"'!$AE$7:$AE$500"),"N/A"),0))</f>
        <v/>
      </c>
      <c r="AY13" s="93" t="str">
        <f aca="true">IF($D13="","",IFERROR(COUNTIF(INDIRECT("'"&amp;$D13&amp;"'!$AJ$7:$AJ$500"),"&lt;&gt;"),0))</f>
        <v/>
      </c>
      <c r="AZ13" s="93" t="str">
        <f aca="true">IF($D13="","",IFERROR(COUNTIF(INDIRECT("'"&amp;$D13&amp;"'!$AJ$7:$AJ$500"),"Pass"),0))</f>
        <v/>
      </c>
      <c r="BA13" s="93" t="str">
        <f aca="true">IF($D13="","",IFERROR(COUNTIF(INDIRECT("'"&amp;$D13&amp;"'!$AJ$7:$AJ$500"),"Fail"),0))</f>
        <v/>
      </c>
      <c r="BB13" s="93" t="str">
        <f aca="true">IF($D13="","",IFERROR(COUNTIF(INDIRECT("'"&amp;$D13&amp;"'!$AJ$7:$AJ$500"),"Block"),0))</f>
        <v/>
      </c>
      <c r="BC13" s="1" t="str">
        <f aca="true">IF($D13="","",IFERROR(COUNTIF(INDIRECT("'"&amp;$D13&amp;"'!$AJ$7:$AJ$500"),"N/A"),0))</f>
        <v/>
      </c>
    </row>
    <row r="14" customFormat="false" ht="15" hidden="false" customHeight="true" outlineLevel="0" collapsed="false">
      <c r="B14" s="88" t="str">
        <f aca="false">IF($D14="","",ROW()-3)</f>
        <v/>
      </c>
      <c r="C14" s="89"/>
      <c r="D14" s="89"/>
      <c r="E14" s="90"/>
      <c r="F14" s="88" t="str">
        <f aca="true">IF($D14="","",IFERROR(COUNTIF(INDIRECT("'"&amp;$D14&amp;"'!$C$7:$C$500"),"?*"),0))</f>
        <v/>
      </c>
      <c r="G14" s="88" t="str">
        <f aca="true">IF($D14="","",IFERROR(COUNTIF(INDIRECT("'"&amp;$D14&amp;"'!$AO$7:$AO$500"),"Pass"),0))</f>
        <v/>
      </c>
      <c r="H14" s="88" t="str">
        <f aca="true">IF($D14="","",IFERROR(COUNTIF(INDIRECT("'"&amp;$D14&amp;"'!$AO$7:$AO$500"),"Fail"),0))</f>
        <v/>
      </c>
      <c r="I14" s="88" t="str">
        <f aca="true">IF($D14="","",IFERROR(COUNTIF(INDIRECT("'"&amp;$D14&amp;"'!$AO$7:$AO$500"),"Block"),0))</f>
        <v/>
      </c>
      <c r="J14" s="88" t="str">
        <f aca="true">IF($D14="","",IFERROR(COUNTIF(INDIRECT("'"&amp;$D14&amp;"'!$AO$7:$AO$500"),"N/A"),0))</f>
        <v/>
      </c>
      <c r="K14" s="88" t="str">
        <f aca="false">IF($D14="","",MAX(0,$F14-$G14-$H14-$I14-$J14))</f>
        <v/>
      </c>
      <c r="L14" s="88" t="str">
        <f aca="false">IF($D14="","",$G14+$H14+$I14+$J14)</f>
        <v/>
      </c>
      <c r="M14" s="91" t="str">
        <f aca="false">IF($D14="","",IFERROR($L14/$F14,0))</f>
        <v/>
      </c>
      <c r="N14" s="91" t="str">
        <f aca="false">IF($D14="","",IFERROR($G14/$L14,0))</f>
        <v/>
      </c>
      <c r="O14" s="88" t="str">
        <f aca="true">IF($D14="","",IFERROR(COUNTIF(INDIRECT("'"&amp;$D14&amp;"'!$E$7:$E$500"),"High"),0))</f>
        <v/>
      </c>
      <c r="P14" s="88" t="str">
        <f aca="true">IF($D14="","",IFERROR(COUNTIF(INDIRECT("'"&amp;$D14&amp;"'!$E$7:$E$500"),"Medium"),0))</f>
        <v/>
      </c>
      <c r="Q14" s="88" t="str">
        <f aca="true">IF($D14="","",IFERROR(COUNTIF(INDIRECT("'"&amp;$D14&amp;"'!$E$7:$E$500"),"Low"),0))</f>
        <v/>
      </c>
      <c r="R14" s="88" t="str">
        <f aca="true">IF($D14="","",IFERROR(COUNTIF(INDIRECT("'"&amp;$D14&amp;"'!$D$7:$D$500"),"Functional"),0))</f>
        <v/>
      </c>
      <c r="S14" s="88" t="str">
        <f aca="true">IF($D14="","",IFERROR(COUNTIF(INDIRECT("'"&amp;$D14&amp;"'!$D$7:$D$500"),"UI"),0))</f>
        <v/>
      </c>
      <c r="T14" s="88" t="str">
        <f aca="true">IF($D14="","",IFERROR(COUNTIF(INDIRECT("'"&amp;$D14&amp;"'!$D$7:$D$500"),"Integration"),0))</f>
        <v/>
      </c>
      <c r="U14" s="88" t="str">
        <f aca="true">IF($D14="","",IFERROR(COUNTIF(INDIRECT("'"&amp;$D14&amp;"'!$D$7:$D$500"),"Database Test Case"),0))</f>
        <v/>
      </c>
      <c r="V14" s="88" t="str">
        <f aca="true">IF($D14="","",IFERROR(COUNTIF(INDIRECT("'"&amp;$D14&amp;"'!$J$7:$J$500"),"AI"),0))</f>
        <v/>
      </c>
      <c r="W14" s="88" t="str">
        <f aca="true">IF($D14="","",IFERROR(COUNTIF(INDIRECT("'"&amp;$D14&amp;"'!$J$7:$J$500"),"QC"),0))</f>
        <v/>
      </c>
      <c r="X14" s="88" t="str">
        <f aca="true">IF($D14="","",IFERROR(COUNTIF(INDIRECT("'"&amp;$D14&amp;"'!$L$7:$L$500"),"Yes"),0))</f>
        <v/>
      </c>
      <c r="Y14" s="88" t="str">
        <f aca="true">IF($D14="","",IFERROR(COUNTIF(INDIRECT("'"&amp;$D14&amp;"'!$AM$7:$AM$500"),"Yes"),0))</f>
        <v/>
      </c>
      <c r="Z14" s="88" t="str">
        <f aca="true">IF($D14="","",IFERROR(COUNTIF(INDIRECT("'"&amp;$D14&amp;"'!$AN$7:$AN$500"),"Pass"),0))</f>
        <v/>
      </c>
      <c r="AA14" s="88" t="str">
        <f aca="true">IF($D14="","",IFERROR(COUNTIF(INDIRECT("'"&amp;$D14&amp;"'!$K$7:$K$500"),"Reviewed"),0))</f>
        <v/>
      </c>
      <c r="AB14" s="92" t="str">
        <f aca="true">IF($D14="","",IFERROR(SUMPRODUCT((INDIRECT("'"&amp;$D14&amp;"'!$E$7:$E$500")="High")*(INDIRECT("'"&amp;$D14&amp;"'!$AO$7:$AO$500")&lt;&gt;"")),0))</f>
        <v/>
      </c>
      <c r="AC14" s="92" t="str">
        <f aca="true">IF($D14="","",IFERROR(SUMPRODUCT((INDIRECT("'"&amp;$D14&amp;"'!$E$7:$E$500")="Medium")*(INDIRECT("'"&amp;$D14&amp;"'!$AO$7:$AO$500")&lt;&gt;"")),0))</f>
        <v/>
      </c>
      <c r="AD14" s="92" t="str">
        <f aca="true">IF($D14="","",IFERROR(SUMPRODUCT((INDIRECT("'"&amp;$D14&amp;"'!$E$7:$E$500")="Low")*(INDIRECT("'"&amp;$D14&amp;"'!$AO$7:$AO$500")&lt;&gt;"")),0))</f>
        <v/>
      </c>
      <c r="AE14" s="93" t="str">
        <f aca="true">IF($D14="","",IFERROR(COUNTIF(INDIRECT("'"&amp;$D14&amp;"'!$P$7:$P$500"),"&lt;&gt;"),0))</f>
        <v/>
      </c>
      <c r="AF14" s="93" t="str">
        <f aca="true">IF($D14="","",IFERROR(COUNTIF(INDIRECT("'"&amp;$D14&amp;"'!$P$7:$P$500"),"Pass"),0))</f>
        <v/>
      </c>
      <c r="AG14" s="93" t="str">
        <f aca="true">IF($D14="","",IFERROR(COUNTIF(INDIRECT("'"&amp;$D14&amp;"'!$P$7:$P$500"),"Fail"),0))</f>
        <v/>
      </c>
      <c r="AH14" s="93" t="str">
        <f aca="true">IF($D14="","",IFERROR(COUNTIF(INDIRECT("'"&amp;$D14&amp;"'!$P$7:$P$500"),"Block"),0))</f>
        <v/>
      </c>
      <c r="AI14" s="93" t="str">
        <f aca="true">IF($D14="","",IFERROR(COUNTIF(INDIRECT("'"&amp;$D14&amp;"'!$P$7:$P$500"),"N/A"),0))</f>
        <v/>
      </c>
      <c r="AJ14" s="93" t="str">
        <f aca="true">IF($D14="","",IFERROR(COUNTIF(INDIRECT("'"&amp;$D14&amp;"'!$U$7:$U$500"),"&lt;&gt;"),0))</f>
        <v/>
      </c>
      <c r="AK14" s="93" t="str">
        <f aca="true">IF($D14="","",IFERROR(COUNTIF(INDIRECT("'"&amp;$D14&amp;"'!$U$7:$U$500"),"Pass"),0))</f>
        <v/>
      </c>
      <c r="AL14" s="93" t="str">
        <f aca="true">IF($D14="","",IFERROR(COUNTIF(INDIRECT("'"&amp;$D14&amp;"'!$U$7:$U$500"),"Fail"),0))</f>
        <v/>
      </c>
      <c r="AM14" s="93" t="str">
        <f aca="true">IF($D14="","",IFERROR(COUNTIF(INDIRECT("'"&amp;$D14&amp;"'!$U$7:$U$500"),"Block"),0))</f>
        <v/>
      </c>
      <c r="AN14" s="93" t="str">
        <f aca="true">IF($D14="","",IFERROR(COUNTIF(INDIRECT("'"&amp;$D14&amp;"'!$U$7:$U$500"),"N/A"),0))</f>
        <v/>
      </c>
      <c r="AO14" s="93" t="str">
        <f aca="true">IF($D14="","",IFERROR(COUNTIF(INDIRECT("'"&amp;$D14&amp;"'!$Z$7:$Z$500"),"&lt;&gt;"),0))</f>
        <v/>
      </c>
      <c r="AP14" s="93" t="str">
        <f aca="true">IF($D14="","",IFERROR(COUNTIF(INDIRECT("'"&amp;$D14&amp;"'!$Z$7:$Z$500"),"Pass"),0))</f>
        <v/>
      </c>
      <c r="AQ14" s="93" t="str">
        <f aca="true">IF($D14="","",IFERROR(COUNTIF(INDIRECT("'"&amp;$D14&amp;"'!$Z$7:$Z$500"),"Fail"),0))</f>
        <v/>
      </c>
      <c r="AR14" s="93" t="str">
        <f aca="true">IF($D14="","",IFERROR(COUNTIF(INDIRECT("'"&amp;$D14&amp;"'!$Z$7:$Z$500"),"Block"),0))</f>
        <v/>
      </c>
      <c r="AS14" s="93" t="str">
        <f aca="true">IF($D14="","",IFERROR(COUNTIF(INDIRECT("'"&amp;$D14&amp;"'!$Z$7:$Z$500"),"N/A"),0))</f>
        <v/>
      </c>
      <c r="AT14" s="93" t="str">
        <f aca="true">IF($D14="","",IFERROR(COUNTIF(INDIRECT("'"&amp;$D14&amp;"'!$AE$7:$AE$500"),"&lt;&gt;"),0))</f>
        <v/>
      </c>
      <c r="AU14" s="93" t="str">
        <f aca="true">IF($D14="","",IFERROR(COUNTIF(INDIRECT("'"&amp;$D14&amp;"'!$AE$7:$AE$500"),"Pass"),0))</f>
        <v/>
      </c>
      <c r="AV14" s="93" t="str">
        <f aca="true">IF($D14="","",IFERROR(COUNTIF(INDIRECT("'"&amp;$D14&amp;"'!$AE$7:$AE$500"),"Fail"),0))</f>
        <v/>
      </c>
      <c r="AW14" s="93" t="str">
        <f aca="true">IF($D14="","",IFERROR(COUNTIF(INDIRECT("'"&amp;$D14&amp;"'!$AE$7:$AE$500"),"Block"),0))</f>
        <v/>
      </c>
      <c r="AX14" s="93" t="str">
        <f aca="true">IF($D14="","",IFERROR(COUNTIF(INDIRECT("'"&amp;$D14&amp;"'!$AE$7:$AE$500"),"N/A"),0))</f>
        <v/>
      </c>
      <c r="AY14" s="93" t="str">
        <f aca="true">IF($D14="","",IFERROR(COUNTIF(INDIRECT("'"&amp;$D14&amp;"'!$AJ$7:$AJ$500"),"&lt;&gt;"),0))</f>
        <v/>
      </c>
      <c r="AZ14" s="93" t="str">
        <f aca="true">IF($D14="","",IFERROR(COUNTIF(INDIRECT("'"&amp;$D14&amp;"'!$AJ$7:$AJ$500"),"Pass"),0))</f>
        <v/>
      </c>
      <c r="BA14" s="93" t="str">
        <f aca="true">IF($D14="","",IFERROR(COUNTIF(INDIRECT("'"&amp;$D14&amp;"'!$AJ$7:$AJ$500"),"Fail"),0))</f>
        <v/>
      </c>
      <c r="BB14" s="93" t="str">
        <f aca="true">IF($D14="","",IFERROR(COUNTIF(INDIRECT("'"&amp;$D14&amp;"'!$AJ$7:$AJ$500"),"Block"),0))</f>
        <v/>
      </c>
      <c r="BC14" s="1" t="str">
        <f aca="true">IF($D14="","",IFERROR(COUNTIF(INDIRECT("'"&amp;$D14&amp;"'!$AJ$7:$AJ$500"),"N/A"),0))</f>
        <v/>
      </c>
    </row>
    <row r="15" customFormat="false" ht="15" hidden="false" customHeight="true" outlineLevel="0" collapsed="false">
      <c r="B15" s="88" t="str">
        <f aca="false">IF($D15="","",ROW()-3)</f>
        <v/>
      </c>
      <c r="C15" s="89"/>
      <c r="D15" s="89"/>
      <c r="E15" s="90"/>
      <c r="F15" s="88" t="str">
        <f aca="true">IF($D15="","",IFERROR(COUNTIF(INDIRECT("'"&amp;$D15&amp;"'!$C$7:$C$500"),"?*"),0))</f>
        <v/>
      </c>
      <c r="G15" s="88" t="str">
        <f aca="true">IF($D15="","",IFERROR(COUNTIF(INDIRECT("'"&amp;$D15&amp;"'!$AO$7:$AO$500"),"Pass"),0))</f>
        <v/>
      </c>
      <c r="H15" s="88" t="str">
        <f aca="true">IF($D15="","",IFERROR(COUNTIF(INDIRECT("'"&amp;$D15&amp;"'!$AO$7:$AO$500"),"Fail"),0))</f>
        <v/>
      </c>
      <c r="I15" s="88" t="str">
        <f aca="true">IF($D15="","",IFERROR(COUNTIF(INDIRECT("'"&amp;$D15&amp;"'!$AO$7:$AO$500"),"Block"),0))</f>
        <v/>
      </c>
      <c r="J15" s="88" t="str">
        <f aca="true">IF($D15="","",IFERROR(COUNTIF(INDIRECT("'"&amp;$D15&amp;"'!$AO$7:$AO$500"),"N/A"),0))</f>
        <v/>
      </c>
      <c r="K15" s="88" t="str">
        <f aca="false">IF($D15="","",MAX(0,$F15-$G15-$H15-$I15-$J15))</f>
        <v/>
      </c>
      <c r="L15" s="88" t="str">
        <f aca="false">IF($D15="","",$G15+$H15+$I15+$J15)</f>
        <v/>
      </c>
      <c r="M15" s="91" t="str">
        <f aca="false">IF($D15="","",IFERROR($L15/$F15,0))</f>
        <v/>
      </c>
      <c r="N15" s="91" t="str">
        <f aca="false">IF($D15="","",IFERROR($G15/$L15,0))</f>
        <v/>
      </c>
      <c r="O15" s="88" t="str">
        <f aca="true">IF($D15="","",IFERROR(COUNTIF(INDIRECT("'"&amp;$D15&amp;"'!$E$7:$E$500"),"High"),0))</f>
        <v/>
      </c>
      <c r="P15" s="88" t="str">
        <f aca="true">IF($D15="","",IFERROR(COUNTIF(INDIRECT("'"&amp;$D15&amp;"'!$E$7:$E$500"),"Medium"),0))</f>
        <v/>
      </c>
      <c r="Q15" s="88" t="str">
        <f aca="true">IF($D15="","",IFERROR(COUNTIF(INDIRECT("'"&amp;$D15&amp;"'!$E$7:$E$500"),"Low"),0))</f>
        <v/>
      </c>
      <c r="R15" s="88" t="str">
        <f aca="true">IF($D15="","",IFERROR(COUNTIF(INDIRECT("'"&amp;$D15&amp;"'!$D$7:$D$500"),"Functional"),0))</f>
        <v/>
      </c>
      <c r="S15" s="88" t="str">
        <f aca="true">IF($D15="","",IFERROR(COUNTIF(INDIRECT("'"&amp;$D15&amp;"'!$D$7:$D$500"),"UI"),0))</f>
        <v/>
      </c>
      <c r="T15" s="88" t="str">
        <f aca="true">IF($D15="","",IFERROR(COUNTIF(INDIRECT("'"&amp;$D15&amp;"'!$D$7:$D$500"),"Integration"),0))</f>
        <v/>
      </c>
      <c r="U15" s="88" t="str">
        <f aca="true">IF($D15="","",IFERROR(COUNTIF(INDIRECT("'"&amp;$D15&amp;"'!$D$7:$D$500"),"Database Test Case"),0))</f>
        <v/>
      </c>
      <c r="V15" s="88" t="str">
        <f aca="true">IF($D15="","",IFERROR(COUNTIF(INDIRECT("'"&amp;$D15&amp;"'!$J$7:$J$500"),"AI"),0))</f>
        <v/>
      </c>
      <c r="W15" s="88" t="str">
        <f aca="true">IF($D15="","",IFERROR(COUNTIF(INDIRECT("'"&amp;$D15&amp;"'!$J$7:$J$500"),"QC"),0))</f>
        <v/>
      </c>
      <c r="X15" s="88" t="str">
        <f aca="true">IF($D15="","",IFERROR(COUNTIF(INDIRECT("'"&amp;$D15&amp;"'!$L$7:$L$500"),"Yes"),0))</f>
        <v/>
      </c>
      <c r="Y15" s="88" t="str">
        <f aca="true">IF($D15="","",IFERROR(COUNTIF(INDIRECT("'"&amp;$D15&amp;"'!$AM$7:$AM$500"),"Yes"),0))</f>
        <v/>
      </c>
      <c r="Z15" s="88" t="str">
        <f aca="true">IF($D15="","",IFERROR(COUNTIF(INDIRECT("'"&amp;$D15&amp;"'!$AN$7:$AN$500"),"Pass"),0))</f>
        <v/>
      </c>
      <c r="AA15" s="88" t="str">
        <f aca="true">IF($D15="","",IFERROR(COUNTIF(INDIRECT("'"&amp;$D15&amp;"'!$K$7:$K$500"),"Reviewed"),0))</f>
        <v/>
      </c>
      <c r="AB15" s="92" t="str">
        <f aca="true">IF($D15="","",IFERROR(SUMPRODUCT((INDIRECT("'"&amp;$D15&amp;"'!$E$7:$E$500")="High")*(INDIRECT("'"&amp;$D15&amp;"'!$AO$7:$AO$500")&lt;&gt;"")),0))</f>
        <v/>
      </c>
      <c r="AC15" s="92" t="str">
        <f aca="true">IF($D15="","",IFERROR(SUMPRODUCT((INDIRECT("'"&amp;$D15&amp;"'!$E$7:$E$500")="Medium")*(INDIRECT("'"&amp;$D15&amp;"'!$AO$7:$AO$500")&lt;&gt;"")),0))</f>
        <v/>
      </c>
      <c r="AD15" s="92" t="str">
        <f aca="true">IF($D15="","",IFERROR(SUMPRODUCT((INDIRECT("'"&amp;$D15&amp;"'!$E$7:$E$500")="Low")*(INDIRECT("'"&amp;$D15&amp;"'!$AO$7:$AO$500")&lt;&gt;"")),0))</f>
        <v/>
      </c>
      <c r="AE15" s="93" t="str">
        <f aca="true">IF($D15="","",IFERROR(COUNTIF(INDIRECT("'"&amp;$D15&amp;"'!$P$7:$P$500"),"&lt;&gt;"),0))</f>
        <v/>
      </c>
      <c r="AF15" s="93" t="str">
        <f aca="true">IF($D15="","",IFERROR(COUNTIF(INDIRECT("'"&amp;$D15&amp;"'!$P$7:$P$500"),"Pass"),0))</f>
        <v/>
      </c>
      <c r="AG15" s="93" t="str">
        <f aca="true">IF($D15="","",IFERROR(COUNTIF(INDIRECT("'"&amp;$D15&amp;"'!$P$7:$P$500"),"Fail"),0))</f>
        <v/>
      </c>
      <c r="AH15" s="93" t="str">
        <f aca="true">IF($D15="","",IFERROR(COUNTIF(INDIRECT("'"&amp;$D15&amp;"'!$P$7:$P$500"),"Block"),0))</f>
        <v/>
      </c>
      <c r="AI15" s="93" t="str">
        <f aca="true">IF($D15="","",IFERROR(COUNTIF(INDIRECT("'"&amp;$D15&amp;"'!$P$7:$P$500"),"N/A"),0))</f>
        <v/>
      </c>
      <c r="AJ15" s="93" t="str">
        <f aca="true">IF($D15="","",IFERROR(COUNTIF(INDIRECT("'"&amp;$D15&amp;"'!$U$7:$U$500"),"&lt;&gt;"),0))</f>
        <v/>
      </c>
      <c r="AK15" s="93" t="str">
        <f aca="true">IF($D15="","",IFERROR(COUNTIF(INDIRECT("'"&amp;$D15&amp;"'!$U$7:$U$500"),"Pass"),0))</f>
        <v/>
      </c>
      <c r="AL15" s="93" t="str">
        <f aca="true">IF($D15="","",IFERROR(COUNTIF(INDIRECT("'"&amp;$D15&amp;"'!$U$7:$U$500"),"Fail"),0))</f>
        <v/>
      </c>
      <c r="AM15" s="93" t="str">
        <f aca="true">IF($D15="","",IFERROR(COUNTIF(INDIRECT("'"&amp;$D15&amp;"'!$U$7:$U$500"),"Block"),0))</f>
        <v/>
      </c>
      <c r="AN15" s="93" t="str">
        <f aca="true">IF($D15="","",IFERROR(COUNTIF(INDIRECT("'"&amp;$D15&amp;"'!$U$7:$U$500"),"N/A"),0))</f>
        <v/>
      </c>
      <c r="AO15" s="93" t="str">
        <f aca="true">IF($D15="","",IFERROR(COUNTIF(INDIRECT("'"&amp;$D15&amp;"'!$Z$7:$Z$500"),"&lt;&gt;"),0))</f>
        <v/>
      </c>
      <c r="AP15" s="93" t="str">
        <f aca="true">IF($D15="","",IFERROR(COUNTIF(INDIRECT("'"&amp;$D15&amp;"'!$Z$7:$Z$500"),"Pass"),0))</f>
        <v/>
      </c>
      <c r="AQ15" s="93" t="str">
        <f aca="true">IF($D15="","",IFERROR(COUNTIF(INDIRECT("'"&amp;$D15&amp;"'!$Z$7:$Z$500"),"Fail"),0))</f>
        <v/>
      </c>
      <c r="AR15" s="93" t="str">
        <f aca="true">IF($D15="","",IFERROR(COUNTIF(INDIRECT("'"&amp;$D15&amp;"'!$Z$7:$Z$500"),"Block"),0))</f>
        <v/>
      </c>
      <c r="AS15" s="93" t="str">
        <f aca="true">IF($D15="","",IFERROR(COUNTIF(INDIRECT("'"&amp;$D15&amp;"'!$Z$7:$Z$500"),"N/A"),0))</f>
        <v/>
      </c>
      <c r="AT15" s="93" t="str">
        <f aca="true">IF($D15="","",IFERROR(COUNTIF(INDIRECT("'"&amp;$D15&amp;"'!$AE$7:$AE$500"),"&lt;&gt;"),0))</f>
        <v/>
      </c>
      <c r="AU15" s="93" t="str">
        <f aca="true">IF($D15="","",IFERROR(COUNTIF(INDIRECT("'"&amp;$D15&amp;"'!$AE$7:$AE$500"),"Pass"),0))</f>
        <v/>
      </c>
      <c r="AV15" s="93" t="str">
        <f aca="true">IF($D15="","",IFERROR(COUNTIF(INDIRECT("'"&amp;$D15&amp;"'!$AE$7:$AE$500"),"Fail"),0))</f>
        <v/>
      </c>
      <c r="AW15" s="93" t="str">
        <f aca="true">IF($D15="","",IFERROR(COUNTIF(INDIRECT("'"&amp;$D15&amp;"'!$AE$7:$AE$500"),"Block"),0))</f>
        <v/>
      </c>
      <c r="AX15" s="93" t="str">
        <f aca="true">IF($D15="","",IFERROR(COUNTIF(INDIRECT("'"&amp;$D15&amp;"'!$AE$7:$AE$500"),"N/A"),0))</f>
        <v/>
      </c>
      <c r="AY15" s="93" t="str">
        <f aca="true">IF($D15="","",IFERROR(COUNTIF(INDIRECT("'"&amp;$D15&amp;"'!$AJ$7:$AJ$500"),"&lt;&gt;"),0))</f>
        <v/>
      </c>
      <c r="AZ15" s="93" t="str">
        <f aca="true">IF($D15="","",IFERROR(COUNTIF(INDIRECT("'"&amp;$D15&amp;"'!$AJ$7:$AJ$500"),"Pass"),0))</f>
        <v/>
      </c>
      <c r="BA15" s="93" t="str">
        <f aca="true">IF($D15="","",IFERROR(COUNTIF(INDIRECT("'"&amp;$D15&amp;"'!$AJ$7:$AJ$500"),"Fail"),0))</f>
        <v/>
      </c>
      <c r="BB15" s="93" t="str">
        <f aca="true">IF($D15="","",IFERROR(COUNTIF(INDIRECT("'"&amp;$D15&amp;"'!$AJ$7:$AJ$500"),"Block"),0))</f>
        <v/>
      </c>
      <c r="BC15" s="1" t="str">
        <f aca="true">IF($D15="","",IFERROR(COUNTIF(INDIRECT("'"&amp;$D15&amp;"'!$AJ$7:$AJ$500"),"N/A"),0))</f>
        <v/>
      </c>
    </row>
    <row r="16" customFormat="false" ht="15" hidden="false" customHeight="true" outlineLevel="0" collapsed="false">
      <c r="B16" s="88" t="str">
        <f aca="false">IF($D16="","",ROW()-3)</f>
        <v/>
      </c>
      <c r="C16" s="89"/>
      <c r="D16" s="89"/>
      <c r="E16" s="90"/>
      <c r="F16" s="88" t="str">
        <f aca="true">IF($D16="","",IFERROR(COUNTIF(INDIRECT("'"&amp;$D16&amp;"'!$C$7:$C$500"),"?*"),0))</f>
        <v/>
      </c>
      <c r="G16" s="88" t="str">
        <f aca="true">IF($D16="","",IFERROR(COUNTIF(INDIRECT("'"&amp;$D16&amp;"'!$AO$7:$AO$500"),"Pass"),0))</f>
        <v/>
      </c>
      <c r="H16" s="88" t="str">
        <f aca="true">IF($D16="","",IFERROR(COUNTIF(INDIRECT("'"&amp;$D16&amp;"'!$AO$7:$AO$500"),"Fail"),0))</f>
        <v/>
      </c>
      <c r="I16" s="88" t="str">
        <f aca="true">IF($D16="","",IFERROR(COUNTIF(INDIRECT("'"&amp;$D16&amp;"'!$AO$7:$AO$500"),"Block"),0))</f>
        <v/>
      </c>
      <c r="J16" s="88" t="str">
        <f aca="true">IF($D16="","",IFERROR(COUNTIF(INDIRECT("'"&amp;$D16&amp;"'!$AO$7:$AO$500"),"N/A"),0))</f>
        <v/>
      </c>
      <c r="K16" s="88" t="str">
        <f aca="false">IF($D16="","",MAX(0,$F16-$G16-$H16-$I16-$J16))</f>
        <v/>
      </c>
      <c r="L16" s="88" t="str">
        <f aca="false">IF($D16="","",$G16+$H16+$I16+$J16)</f>
        <v/>
      </c>
      <c r="M16" s="91" t="str">
        <f aca="false">IF($D16="","",IFERROR($L16/$F16,0))</f>
        <v/>
      </c>
      <c r="N16" s="91" t="str">
        <f aca="false">IF($D16="","",IFERROR($G16/$L16,0))</f>
        <v/>
      </c>
      <c r="O16" s="88" t="str">
        <f aca="true">IF($D16="","",IFERROR(COUNTIF(INDIRECT("'"&amp;$D16&amp;"'!$E$7:$E$500"),"High"),0))</f>
        <v/>
      </c>
      <c r="P16" s="88" t="str">
        <f aca="true">IF($D16="","",IFERROR(COUNTIF(INDIRECT("'"&amp;$D16&amp;"'!$E$7:$E$500"),"Medium"),0))</f>
        <v/>
      </c>
      <c r="Q16" s="88" t="str">
        <f aca="true">IF($D16="","",IFERROR(COUNTIF(INDIRECT("'"&amp;$D16&amp;"'!$E$7:$E$500"),"Low"),0))</f>
        <v/>
      </c>
      <c r="R16" s="88" t="str">
        <f aca="true">IF($D16="","",IFERROR(COUNTIF(INDIRECT("'"&amp;$D16&amp;"'!$D$7:$D$500"),"Functional"),0))</f>
        <v/>
      </c>
      <c r="S16" s="88" t="str">
        <f aca="true">IF($D16="","",IFERROR(COUNTIF(INDIRECT("'"&amp;$D16&amp;"'!$D$7:$D$500"),"UI"),0))</f>
        <v/>
      </c>
      <c r="T16" s="88" t="str">
        <f aca="true">IF($D16="","",IFERROR(COUNTIF(INDIRECT("'"&amp;$D16&amp;"'!$D$7:$D$500"),"Integration"),0))</f>
        <v/>
      </c>
      <c r="U16" s="88" t="str">
        <f aca="true">IF($D16="","",IFERROR(COUNTIF(INDIRECT("'"&amp;$D16&amp;"'!$D$7:$D$500"),"Database Test Case"),0))</f>
        <v/>
      </c>
      <c r="V16" s="88" t="str">
        <f aca="true">IF($D16="","",IFERROR(COUNTIF(INDIRECT("'"&amp;$D16&amp;"'!$J$7:$J$500"),"AI"),0))</f>
        <v/>
      </c>
      <c r="W16" s="88" t="str">
        <f aca="true">IF($D16="","",IFERROR(COUNTIF(INDIRECT("'"&amp;$D16&amp;"'!$J$7:$J$500"),"QC"),0))</f>
        <v/>
      </c>
      <c r="X16" s="88" t="str">
        <f aca="true">IF($D16="","",IFERROR(COUNTIF(INDIRECT("'"&amp;$D16&amp;"'!$L$7:$L$500"),"Yes"),0))</f>
        <v/>
      </c>
      <c r="Y16" s="88" t="str">
        <f aca="true">IF($D16="","",IFERROR(COUNTIF(INDIRECT("'"&amp;$D16&amp;"'!$AM$7:$AM$500"),"Yes"),0))</f>
        <v/>
      </c>
      <c r="Z16" s="88" t="str">
        <f aca="true">IF($D16="","",IFERROR(COUNTIF(INDIRECT("'"&amp;$D16&amp;"'!$AN$7:$AN$500"),"Pass"),0))</f>
        <v/>
      </c>
      <c r="AA16" s="88" t="str">
        <f aca="true">IF($D16="","",IFERROR(COUNTIF(INDIRECT("'"&amp;$D16&amp;"'!$K$7:$K$500"),"Reviewed"),0))</f>
        <v/>
      </c>
      <c r="AB16" s="92" t="str">
        <f aca="true">IF($D16="","",IFERROR(SUMPRODUCT((INDIRECT("'"&amp;$D16&amp;"'!$E$7:$E$500")="High")*(INDIRECT("'"&amp;$D16&amp;"'!$AO$7:$AO$500")&lt;&gt;"")),0))</f>
        <v/>
      </c>
      <c r="AC16" s="92" t="str">
        <f aca="true">IF($D16="","",IFERROR(SUMPRODUCT((INDIRECT("'"&amp;$D16&amp;"'!$E$7:$E$500")="Medium")*(INDIRECT("'"&amp;$D16&amp;"'!$AO$7:$AO$500")&lt;&gt;"")),0))</f>
        <v/>
      </c>
      <c r="AD16" s="92" t="str">
        <f aca="true">IF($D16="","",IFERROR(SUMPRODUCT((INDIRECT("'"&amp;$D16&amp;"'!$E$7:$E$500")="Low")*(INDIRECT("'"&amp;$D16&amp;"'!$AO$7:$AO$500")&lt;&gt;"")),0))</f>
        <v/>
      </c>
      <c r="AE16" s="93" t="str">
        <f aca="true">IF($D16="","",IFERROR(COUNTIF(INDIRECT("'"&amp;$D16&amp;"'!$P$7:$P$500"),"&lt;&gt;"),0))</f>
        <v/>
      </c>
      <c r="AF16" s="93" t="str">
        <f aca="true">IF($D16="","",IFERROR(COUNTIF(INDIRECT("'"&amp;$D16&amp;"'!$P$7:$P$500"),"Pass"),0))</f>
        <v/>
      </c>
      <c r="AG16" s="93" t="str">
        <f aca="true">IF($D16="","",IFERROR(COUNTIF(INDIRECT("'"&amp;$D16&amp;"'!$P$7:$P$500"),"Fail"),0))</f>
        <v/>
      </c>
      <c r="AH16" s="93" t="str">
        <f aca="true">IF($D16="","",IFERROR(COUNTIF(INDIRECT("'"&amp;$D16&amp;"'!$P$7:$P$500"),"Block"),0))</f>
        <v/>
      </c>
      <c r="AI16" s="93" t="str">
        <f aca="true">IF($D16="","",IFERROR(COUNTIF(INDIRECT("'"&amp;$D16&amp;"'!$P$7:$P$500"),"N/A"),0))</f>
        <v/>
      </c>
      <c r="AJ16" s="93" t="str">
        <f aca="true">IF($D16="","",IFERROR(COUNTIF(INDIRECT("'"&amp;$D16&amp;"'!$U$7:$U$500"),"&lt;&gt;"),0))</f>
        <v/>
      </c>
      <c r="AK16" s="93" t="str">
        <f aca="true">IF($D16="","",IFERROR(COUNTIF(INDIRECT("'"&amp;$D16&amp;"'!$U$7:$U$500"),"Pass"),0))</f>
        <v/>
      </c>
      <c r="AL16" s="93" t="str">
        <f aca="true">IF($D16="","",IFERROR(COUNTIF(INDIRECT("'"&amp;$D16&amp;"'!$U$7:$U$500"),"Fail"),0))</f>
        <v/>
      </c>
      <c r="AM16" s="93" t="str">
        <f aca="true">IF($D16="","",IFERROR(COUNTIF(INDIRECT("'"&amp;$D16&amp;"'!$U$7:$U$500"),"Block"),0))</f>
        <v/>
      </c>
      <c r="AN16" s="93" t="str">
        <f aca="true">IF($D16="","",IFERROR(COUNTIF(INDIRECT("'"&amp;$D16&amp;"'!$U$7:$U$500"),"N/A"),0))</f>
        <v/>
      </c>
      <c r="AO16" s="93" t="str">
        <f aca="true">IF($D16="","",IFERROR(COUNTIF(INDIRECT("'"&amp;$D16&amp;"'!$Z$7:$Z$500"),"&lt;&gt;"),0))</f>
        <v/>
      </c>
      <c r="AP16" s="93" t="str">
        <f aca="true">IF($D16="","",IFERROR(COUNTIF(INDIRECT("'"&amp;$D16&amp;"'!$Z$7:$Z$500"),"Pass"),0))</f>
        <v/>
      </c>
      <c r="AQ16" s="93" t="str">
        <f aca="true">IF($D16="","",IFERROR(COUNTIF(INDIRECT("'"&amp;$D16&amp;"'!$Z$7:$Z$500"),"Fail"),0))</f>
        <v/>
      </c>
      <c r="AR16" s="93" t="str">
        <f aca="true">IF($D16="","",IFERROR(COUNTIF(INDIRECT("'"&amp;$D16&amp;"'!$Z$7:$Z$500"),"Block"),0))</f>
        <v/>
      </c>
      <c r="AS16" s="93" t="str">
        <f aca="true">IF($D16="","",IFERROR(COUNTIF(INDIRECT("'"&amp;$D16&amp;"'!$Z$7:$Z$500"),"N/A"),0))</f>
        <v/>
      </c>
      <c r="AT16" s="93" t="str">
        <f aca="true">IF($D16="","",IFERROR(COUNTIF(INDIRECT("'"&amp;$D16&amp;"'!$AE$7:$AE$500"),"&lt;&gt;"),0))</f>
        <v/>
      </c>
      <c r="AU16" s="93" t="str">
        <f aca="true">IF($D16="","",IFERROR(COUNTIF(INDIRECT("'"&amp;$D16&amp;"'!$AE$7:$AE$500"),"Pass"),0))</f>
        <v/>
      </c>
      <c r="AV16" s="93" t="str">
        <f aca="true">IF($D16="","",IFERROR(COUNTIF(INDIRECT("'"&amp;$D16&amp;"'!$AE$7:$AE$500"),"Fail"),0))</f>
        <v/>
      </c>
      <c r="AW16" s="93" t="str">
        <f aca="true">IF($D16="","",IFERROR(COUNTIF(INDIRECT("'"&amp;$D16&amp;"'!$AE$7:$AE$500"),"Block"),0))</f>
        <v/>
      </c>
      <c r="AX16" s="93" t="str">
        <f aca="true">IF($D16="","",IFERROR(COUNTIF(INDIRECT("'"&amp;$D16&amp;"'!$AE$7:$AE$500"),"N/A"),0))</f>
        <v/>
      </c>
      <c r="AY16" s="93" t="str">
        <f aca="true">IF($D16="","",IFERROR(COUNTIF(INDIRECT("'"&amp;$D16&amp;"'!$AJ$7:$AJ$500"),"&lt;&gt;"),0))</f>
        <v/>
      </c>
      <c r="AZ16" s="93" t="str">
        <f aca="true">IF($D16="","",IFERROR(COUNTIF(INDIRECT("'"&amp;$D16&amp;"'!$AJ$7:$AJ$500"),"Pass"),0))</f>
        <v/>
      </c>
      <c r="BA16" s="93" t="str">
        <f aca="true">IF($D16="","",IFERROR(COUNTIF(INDIRECT("'"&amp;$D16&amp;"'!$AJ$7:$AJ$500"),"Fail"),0))</f>
        <v/>
      </c>
      <c r="BB16" s="93" t="str">
        <f aca="true">IF($D16="","",IFERROR(COUNTIF(INDIRECT("'"&amp;$D16&amp;"'!$AJ$7:$AJ$500"),"Block"),0))</f>
        <v/>
      </c>
      <c r="BC16" s="1" t="str">
        <f aca="true">IF($D16="","",IFERROR(COUNTIF(INDIRECT("'"&amp;$D16&amp;"'!$AJ$7:$AJ$500"),"N/A"),0))</f>
        <v/>
      </c>
    </row>
    <row r="17" customFormat="false" ht="15" hidden="false" customHeight="true" outlineLevel="0" collapsed="false">
      <c r="B17" s="88" t="str">
        <f aca="false">IF($D17="","",ROW()-3)</f>
        <v/>
      </c>
      <c r="C17" s="89"/>
      <c r="D17" s="89"/>
      <c r="E17" s="90"/>
      <c r="F17" s="88" t="str">
        <f aca="true">IF($D17="","",IFERROR(COUNTIF(INDIRECT("'"&amp;$D17&amp;"'!$C$7:$C$500"),"?*"),0))</f>
        <v/>
      </c>
      <c r="G17" s="88" t="str">
        <f aca="true">IF($D17="","",IFERROR(COUNTIF(INDIRECT("'"&amp;$D17&amp;"'!$AO$7:$AO$500"),"Pass"),0))</f>
        <v/>
      </c>
      <c r="H17" s="88" t="str">
        <f aca="true">IF($D17="","",IFERROR(COUNTIF(INDIRECT("'"&amp;$D17&amp;"'!$AO$7:$AO$500"),"Fail"),0))</f>
        <v/>
      </c>
      <c r="I17" s="88" t="str">
        <f aca="true">IF($D17="","",IFERROR(COUNTIF(INDIRECT("'"&amp;$D17&amp;"'!$AO$7:$AO$500"),"Block"),0))</f>
        <v/>
      </c>
      <c r="J17" s="88" t="str">
        <f aca="true">IF($D17="","",IFERROR(COUNTIF(INDIRECT("'"&amp;$D17&amp;"'!$AO$7:$AO$500"),"N/A"),0))</f>
        <v/>
      </c>
      <c r="K17" s="88" t="str">
        <f aca="false">IF($D17="","",MAX(0,$F17-$G17-$H17-$I17-$J17))</f>
        <v/>
      </c>
      <c r="L17" s="88" t="str">
        <f aca="false">IF($D17="","",$G17+$H17+$I17+$J17)</f>
        <v/>
      </c>
      <c r="M17" s="91" t="str">
        <f aca="false">IF($D17="","",IFERROR($L17/$F17,0))</f>
        <v/>
      </c>
      <c r="N17" s="91" t="str">
        <f aca="false">IF($D17="","",IFERROR($G17/$L17,0))</f>
        <v/>
      </c>
      <c r="O17" s="88" t="str">
        <f aca="true">IF($D17="","",IFERROR(COUNTIF(INDIRECT("'"&amp;$D17&amp;"'!$E$7:$E$500"),"High"),0))</f>
        <v/>
      </c>
      <c r="P17" s="88" t="str">
        <f aca="true">IF($D17="","",IFERROR(COUNTIF(INDIRECT("'"&amp;$D17&amp;"'!$E$7:$E$500"),"Medium"),0))</f>
        <v/>
      </c>
      <c r="Q17" s="88" t="str">
        <f aca="true">IF($D17="","",IFERROR(COUNTIF(INDIRECT("'"&amp;$D17&amp;"'!$E$7:$E$500"),"Low"),0))</f>
        <v/>
      </c>
      <c r="R17" s="88" t="str">
        <f aca="true">IF($D17="","",IFERROR(COUNTIF(INDIRECT("'"&amp;$D17&amp;"'!$D$7:$D$500"),"Functional"),0))</f>
        <v/>
      </c>
      <c r="S17" s="88" t="str">
        <f aca="true">IF($D17="","",IFERROR(COUNTIF(INDIRECT("'"&amp;$D17&amp;"'!$D$7:$D$500"),"UI"),0))</f>
        <v/>
      </c>
      <c r="T17" s="88" t="str">
        <f aca="true">IF($D17="","",IFERROR(COUNTIF(INDIRECT("'"&amp;$D17&amp;"'!$D$7:$D$500"),"Integration"),0))</f>
        <v/>
      </c>
      <c r="U17" s="88" t="str">
        <f aca="true">IF($D17="","",IFERROR(COUNTIF(INDIRECT("'"&amp;$D17&amp;"'!$D$7:$D$500"),"Database Test Case"),0))</f>
        <v/>
      </c>
      <c r="V17" s="88" t="str">
        <f aca="true">IF($D17="","",IFERROR(COUNTIF(INDIRECT("'"&amp;$D17&amp;"'!$J$7:$J$500"),"AI"),0))</f>
        <v/>
      </c>
      <c r="W17" s="88" t="str">
        <f aca="true">IF($D17="","",IFERROR(COUNTIF(INDIRECT("'"&amp;$D17&amp;"'!$J$7:$J$500"),"QC"),0))</f>
        <v/>
      </c>
      <c r="X17" s="88" t="str">
        <f aca="true">IF($D17="","",IFERROR(COUNTIF(INDIRECT("'"&amp;$D17&amp;"'!$L$7:$L$500"),"Yes"),0))</f>
        <v/>
      </c>
      <c r="Y17" s="88" t="str">
        <f aca="true">IF($D17="","",IFERROR(COUNTIF(INDIRECT("'"&amp;$D17&amp;"'!$AM$7:$AM$500"),"Yes"),0))</f>
        <v/>
      </c>
      <c r="Z17" s="88" t="str">
        <f aca="true">IF($D17="","",IFERROR(COUNTIF(INDIRECT("'"&amp;$D17&amp;"'!$AN$7:$AN$500"),"Pass"),0))</f>
        <v/>
      </c>
      <c r="AA17" s="88" t="str">
        <f aca="true">IF($D17="","",IFERROR(COUNTIF(INDIRECT("'"&amp;$D17&amp;"'!$K$7:$K$500"),"Reviewed"),0))</f>
        <v/>
      </c>
      <c r="AB17" s="92" t="str">
        <f aca="true">IF($D17="","",IFERROR(SUMPRODUCT((INDIRECT("'"&amp;$D17&amp;"'!$E$7:$E$500")="High")*(INDIRECT("'"&amp;$D17&amp;"'!$AO$7:$AO$500")&lt;&gt;"")),0))</f>
        <v/>
      </c>
      <c r="AC17" s="92" t="str">
        <f aca="true">IF($D17="","",IFERROR(SUMPRODUCT((INDIRECT("'"&amp;$D17&amp;"'!$E$7:$E$500")="Medium")*(INDIRECT("'"&amp;$D17&amp;"'!$AO$7:$AO$500")&lt;&gt;"")),0))</f>
        <v/>
      </c>
      <c r="AD17" s="92" t="str">
        <f aca="true">IF($D17="","",IFERROR(SUMPRODUCT((INDIRECT("'"&amp;$D17&amp;"'!$E$7:$E$500")="Low")*(INDIRECT("'"&amp;$D17&amp;"'!$AO$7:$AO$500")&lt;&gt;"")),0))</f>
        <v/>
      </c>
      <c r="AE17" s="93" t="str">
        <f aca="true">IF($D17="","",IFERROR(COUNTIF(INDIRECT("'"&amp;$D17&amp;"'!$P$7:$P$500"),"&lt;&gt;"),0))</f>
        <v/>
      </c>
      <c r="AF17" s="93" t="str">
        <f aca="true">IF($D17="","",IFERROR(COUNTIF(INDIRECT("'"&amp;$D17&amp;"'!$P$7:$P$500"),"Pass"),0))</f>
        <v/>
      </c>
      <c r="AG17" s="93" t="str">
        <f aca="true">IF($D17="","",IFERROR(COUNTIF(INDIRECT("'"&amp;$D17&amp;"'!$P$7:$P$500"),"Fail"),0))</f>
        <v/>
      </c>
      <c r="AH17" s="93" t="str">
        <f aca="true">IF($D17="","",IFERROR(COUNTIF(INDIRECT("'"&amp;$D17&amp;"'!$P$7:$P$500"),"Block"),0))</f>
        <v/>
      </c>
      <c r="AI17" s="93" t="str">
        <f aca="true">IF($D17="","",IFERROR(COUNTIF(INDIRECT("'"&amp;$D17&amp;"'!$P$7:$P$500"),"N/A"),0))</f>
        <v/>
      </c>
      <c r="AJ17" s="93" t="str">
        <f aca="true">IF($D17="","",IFERROR(COUNTIF(INDIRECT("'"&amp;$D17&amp;"'!$U$7:$U$500"),"&lt;&gt;"),0))</f>
        <v/>
      </c>
      <c r="AK17" s="93" t="str">
        <f aca="true">IF($D17="","",IFERROR(COUNTIF(INDIRECT("'"&amp;$D17&amp;"'!$U$7:$U$500"),"Pass"),0))</f>
        <v/>
      </c>
      <c r="AL17" s="93" t="str">
        <f aca="true">IF($D17="","",IFERROR(COUNTIF(INDIRECT("'"&amp;$D17&amp;"'!$U$7:$U$500"),"Fail"),0))</f>
        <v/>
      </c>
      <c r="AM17" s="93" t="str">
        <f aca="true">IF($D17="","",IFERROR(COUNTIF(INDIRECT("'"&amp;$D17&amp;"'!$U$7:$U$500"),"Block"),0))</f>
        <v/>
      </c>
      <c r="AN17" s="93" t="str">
        <f aca="true">IF($D17="","",IFERROR(COUNTIF(INDIRECT("'"&amp;$D17&amp;"'!$U$7:$U$500"),"N/A"),0))</f>
        <v/>
      </c>
      <c r="AO17" s="93" t="str">
        <f aca="true">IF($D17="","",IFERROR(COUNTIF(INDIRECT("'"&amp;$D17&amp;"'!$Z$7:$Z$500"),"&lt;&gt;"),0))</f>
        <v/>
      </c>
      <c r="AP17" s="93" t="str">
        <f aca="true">IF($D17="","",IFERROR(COUNTIF(INDIRECT("'"&amp;$D17&amp;"'!$Z$7:$Z$500"),"Pass"),0))</f>
        <v/>
      </c>
      <c r="AQ17" s="93" t="str">
        <f aca="true">IF($D17="","",IFERROR(COUNTIF(INDIRECT("'"&amp;$D17&amp;"'!$Z$7:$Z$500"),"Fail"),0))</f>
        <v/>
      </c>
      <c r="AR17" s="93" t="str">
        <f aca="true">IF($D17="","",IFERROR(COUNTIF(INDIRECT("'"&amp;$D17&amp;"'!$Z$7:$Z$500"),"Block"),0))</f>
        <v/>
      </c>
      <c r="AS17" s="93" t="str">
        <f aca="true">IF($D17="","",IFERROR(COUNTIF(INDIRECT("'"&amp;$D17&amp;"'!$Z$7:$Z$500"),"N/A"),0))</f>
        <v/>
      </c>
      <c r="AT17" s="93" t="str">
        <f aca="true">IF($D17="","",IFERROR(COUNTIF(INDIRECT("'"&amp;$D17&amp;"'!$AE$7:$AE$500"),"&lt;&gt;"),0))</f>
        <v/>
      </c>
      <c r="AU17" s="93" t="str">
        <f aca="true">IF($D17="","",IFERROR(COUNTIF(INDIRECT("'"&amp;$D17&amp;"'!$AE$7:$AE$500"),"Pass"),0))</f>
        <v/>
      </c>
      <c r="AV17" s="93" t="str">
        <f aca="true">IF($D17="","",IFERROR(COUNTIF(INDIRECT("'"&amp;$D17&amp;"'!$AE$7:$AE$500"),"Fail"),0))</f>
        <v/>
      </c>
      <c r="AW17" s="93" t="str">
        <f aca="true">IF($D17="","",IFERROR(COUNTIF(INDIRECT("'"&amp;$D17&amp;"'!$AE$7:$AE$500"),"Block"),0))</f>
        <v/>
      </c>
      <c r="AX17" s="93" t="str">
        <f aca="true">IF($D17="","",IFERROR(COUNTIF(INDIRECT("'"&amp;$D17&amp;"'!$AE$7:$AE$500"),"N/A"),0))</f>
        <v/>
      </c>
      <c r="AY17" s="93" t="str">
        <f aca="true">IF($D17="","",IFERROR(COUNTIF(INDIRECT("'"&amp;$D17&amp;"'!$AJ$7:$AJ$500"),"&lt;&gt;"),0))</f>
        <v/>
      </c>
      <c r="AZ17" s="93" t="str">
        <f aca="true">IF($D17="","",IFERROR(COUNTIF(INDIRECT("'"&amp;$D17&amp;"'!$AJ$7:$AJ$500"),"Pass"),0))</f>
        <v/>
      </c>
      <c r="BA17" s="93" t="str">
        <f aca="true">IF($D17="","",IFERROR(COUNTIF(INDIRECT("'"&amp;$D17&amp;"'!$AJ$7:$AJ$500"),"Fail"),0))</f>
        <v/>
      </c>
      <c r="BB17" s="93" t="str">
        <f aca="true">IF($D17="","",IFERROR(COUNTIF(INDIRECT("'"&amp;$D17&amp;"'!$AJ$7:$AJ$500"),"Block"),0))</f>
        <v/>
      </c>
      <c r="BC17" s="1" t="str">
        <f aca="true">IF($D17="","",IFERROR(COUNTIF(INDIRECT("'"&amp;$D17&amp;"'!$AJ$7:$AJ$500"),"N/A"),0))</f>
        <v/>
      </c>
    </row>
    <row r="18" customFormat="false" ht="15" hidden="false" customHeight="true" outlineLevel="0" collapsed="false">
      <c r="B18" s="88" t="str">
        <f aca="false">IF($D18="","",ROW()-3)</f>
        <v/>
      </c>
      <c r="C18" s="89"/>
      <c r="D18" s="89"/>
      <c r="E18" s="90"/>
      <c r="F18" s="88" t="str">
        <f aca="true">IF($D18="","",IFERROR(COUNTIF(INDIRECT("'"&amp;$D18&amp;"'!$C$7:$C$500"),"?*"),0))</f>
        <v/>
      </c>
      <c r="G18" s="88" t="str">
        <f aca="true">IF($D18="","",IFERROR(COUNTIF(INDIRECT("'"&amp;$D18&amp;"'!$AO$7:$AO$500"),"Pass"),0))</f>
        <v/>
      </c>
      <c r="H18" s="88" t="str">
        <f aca="true">IF($D18="","",IFERROR(COUNTIF(INDIRECT("'"&amp;$D18&amp;"'!$AO$7:$AO$500"),"Fail"),0))</f>
        <v/>
      </c>
      <c r="I18" s="88" t="str">
        <f aca="true">IF($D18="","",IFERROR(COUNTIF(INDIRECT("'"&amp;$D18&amp;"'!$AO$7:$AO$500"),"Block"),0))</f>
        <v/>
      </c>
      <c r="J18" s="88" t="str">
        <f aca="true">IF($D18="","",IFERROR(COUNTIF(INDIRECT("'"&amp;$D18&amp;"'!$AO$7:$AO$500"),"N/A"),0))</f>
        <v/>
      </c>
      <c r="K18" s="88" t="str">
        <f aca="false">IF($D18="","",MAX(0,$F18-$G18-$H18-$I18-$J18))</f>
        <v/>
      </c>
      <c r="L18" s="88" t="str">
        <f aca="false">IF($D18="","",$G18+$H18+$I18+$J18)</f>
        <v/>
      </c>
      <c r="M18" s="91" t="str">
        <f aca="false">IF($D18="","",IFERROR($L18/$F18,0))</f>
        <v/>
      </c>
      <c r="N18" s="91" t="str">
        <f aca="false">IF($D18="","",IFERROR($G18/$L18,0))</f>
        <v/>
      </c>
      <c r="O18" s="88" t="str">
        <f aca="true">IF($D18="","",IFERROR(COUNTIF(INDIRECT("'"&amp;$D18&amp;"'!$E$7:$E$500"),"High"),0))</f>
        <v/>
      </c>
      <c r="P18" s="88" t="str">
        <f aca="true">IF($D18="","",IFERROR(COUNTIF(INDIRECT("'"&amp;$D18&amp;"'!$E$7:$E$500"),"Medium"),0))</f>
        <v/>
      </c>
      <c r="Q18" s="88" t="str">
        <f aca="true">IF($D18="","",IFERROR(COUNTIF(INDIRECT("'"&amp;$D18&amp;"'!$E$7:$E$500"),"Low"),0))</f>
        <v/>
      </c>
      <c r="R18" s="88" t="str">
        <f aca="true">IF($D18="","",IFERROR(COUNTIF(INDIRECT("'"&amp;$D18&amp;"'!$D$7:$D$500"),"Functional"),0))</f>
        <v/>
      </c>
      <c r="S18" s="88" t="str">
        <f aca="true">IF($D18="","",IFERROR(COUNTIF(INDIRECT("'"&amp;$D18&amp;"'!$D$7:$D$500"),"UI"),0))</f>
        <v/>
      </c>
      <c r="T18" s="88" t="str">
        <f aca="true">IF($D18="","",IFERROR(COUNTIF(INDIRECT("'"&amp;$D18&amp;"'!$D$7:$D$500"),"Integration"),0))</f>
        <v/>
      </c>
      <c r="U18" s="88" t="str">
        <f aca="true">IF($D18="","",IFERROR(COUNTIF(INDIRECT("'"&amp;$D18&amp;"'!$D$7:$D$500"),"Database Test Case"),0))</f>
        <v/>
      </c>
      <c r="V18" s="88" t="str">
        <f aca="true">IF($D18="","",IFERROR(COUNTIF(INDIRECT("'"&amp;$D18&amp;"'!$J$7:$J$500"),"AI"),0))</f>
        <v/>
      </c>
      <c r="W18" s="88" t="str">
        <f aca="true">IF($D18="","",IFERROR(COUNTIF(INDIRECT("'"&amp;$D18&amp;"'!$J$7:$J$500"),"QC"),0))</f>
        <v/>
      </c>
      <c r="X18" s="88" t="str">
        <f aca="true">IF($D18="","",IFERROR(COUNTIF(INDIRECT("'"&amp;$D18&amp;"'!$L$7:$L$500"),"Yes"),0))</f>
        <v/>
      </c>
      <c r="Y18" s="88" t="str">
        <f aca="true">IF($D18="","",IFERROR(COUNTIF(INDIRECT("'"&amp;$D18&amp;"'!$AM$7:$AM$500"),"Yes"),0))</f>
        <v/>
      </c>
      <c r="Z18" s="88" t="str">
        <f aca="true">IF($D18="","",IFERROR(COUNTIF(INDIRECT("'"&amp;$D18&amp;"'!$AN$7:$AN$500"),"Pass"),0))</f>
        <v/>
      </c>
      <c r="AA18" s="88" t="str">
        <f aca="true">IF($D18="","",IFERROR(COUNTIF(INDIRECT("'"&amp;$D18&amp;"'!$K$7:$K$500"),"Reviewed"),0))</f>
        <v/>
      </c>
      <c r="AB18" s="92" t="str">
        <f aca="true">IF($D18="","",IFERROR(SUMPRODUCT((INDIRECT("'"&amp;$D18&amp;"'!$E$7:$E$500")="High")*(INDIRECT("'"&amp;$D18&amp;"'!$AO$7:$AO$500")&lt;&gt;"")),0))</f>
        <v/>
      </c>
      <c r="AC18" s="92" t="str">
        <f aca="true">IF($D18="","",IFERROR(SUMPRODUCT((INDIRECT("'"&amp;$D18&amp;"'!$E$7:$E$500")="Medium")*(INDIRECT("'"&amp;$D18&amp;"'!$AO$7:$AO$500")&lt;&gt;"")),0))</f>
        <v/>
      </c>
      <c r="AD18" s="92" t="str">
        <f aca="true">IF($D18="","",IFERROR(SUMPRODUCT((INDIRECT("'"&amp;$D18&amp;"'!$E$7:$E$500")="Low")*(INDIRECT("'"&amp;$D18&amp;"'!$AO$7:$AO$500")&lt;&gt;"")),0))</f>
        <v/>
      </c>
      <c r="AE18" s="93" t="str">
        <f aca="true">IF($D18="","",IFERROR(COUNTIF(INDIRECT("'"&amp;$D18&amp;"'!$P$7:$P$500"),"&lt;&gt;"),0))</f>
        <v/>
      </c>
      <c r="AF18" s="93" t="str">
        <f aca="true">IF($D18="","",IFERROR(COUNTIF(INDIRECT("'"&amp;$D18&amp;"'!$P$7:$P$500"),"Pass"),0))</f>
        <v/>
      </c>
      <c r="AG18" s="93" t="str">
        <f aca="true">IF($D18="","",IFERROR(COUNTIF(INDIRECT("'"&amp;$D18&amp;"'!$P$7:$P$500"),"Fail"),0))</f>
        <v/>
      </c>
      <c r="AH18" s="93" t="str">
        <f aca="true">IF($D18="","",IFERROR(COUNTIF(INDIRECT("'"&amp;$D18&amp;"'!$P$7:$P$500"),"Block"),0))</f>
        <v/>
      </c>
      <c r="AI18" s="93" t="str">
        <f aca="true">IF($D18="","",IFERROR(COUNTIF(INDIRECT("'"&amp;$D18&amp;"'!$P$7:$P$500"),"N/A"),0))</f>
        <v/>
      </c>
      <c r="AJ18" s="93" t="str">
        <f aca="true">IF($D18="","",IFERROR(COUNTIF(INDIRECT("'"&amp;$D18&amp;"'!$U$7:$U$500"),"&lt;&gt;"),0))</f>
        <v/>
      </c>
      <c r="AK18" s="93" t="str">
        <f aca="true">IF($D18="","",IFERROR(COUNTIF(INDIRECT("'"&amp;$D18&amp;"'!$U$7:$U$500"),"Pass"),0))</f>
        <v/>
      </c>
      <c r="AL18" s="93" t="str">
        <f aca="true">IF($D18="","",IFERROR(COUNTIF(INDIRECT("'"&amp;$D18&amp;"'!$U$7:$U$500"),"Fail"),0))</f>
        <v/>
      </c>
      <c r="AM18" s="93" t="str">
        <f aca="true">IF($D18="","",IFERROR(COUNTIF(INDIRECT("'"&amp;$D18&amp;"'!$U$7:$U$500"),"Block"),0))</f>
        <v/>
      </c>
      <c r="AN18" s="93" t="str">
        <f aca="true">IF($D18="","",IFERROR(COUNTIF(INDIRECT("'"&amp;$D18&amp;"'!$U$7:$U$500"),"N/A"),0))</f>
        <v/>
      </c>
      <c r="AO18" s="93" t="str">
        <f aca="true">IF($D18="","",IFERROR(COUNTIF(INDIRECT("'"&amp;$D18&amp;"'!$Z$7:$Z$500"),"&lt;&gt;"),0))</f>
        <v/>
      </c>
      <c r="AP18" s="93" t="str">
        <f aca="true">IF($D18="","",IFERROR(COUNTIF(INDIRECT("'"&amp;$D18&amp;"'!$Z$7:$Z$500"),"Pass"),0))</f>
        <v/>
      </c>
      <c r="AQ18" s="93" t="str">
        <f aca="true">IF($D18="","",IFERROR(COUNTIF(INDIRECT("'"&amp;$D18&amp;"'!$Z$7:$Z$500"),"Fail"),0))</f>
        <v/>
      </c>
      <c r="AR18" s="93" t="str">
        <f aca="true">IF($D18="","",IFERROR(COUNTIF(INDIRECT("'"&amp;$D18&amp;"'!$Z$7:$Z$500"),"Block"),0))</f>
        <v/>
      </c>
      <c r="AS18" s="93" t="str">
        <f aca="true">IF($D18="","",IFERROR(COUNTIF(INDIRECT("'"&amp;$D18&amp;"'!$Z$7:$Z$500"),"N/A"),0))</f>
        <v/>
      </c>
      <c r="AT18" s="93" t="str">
        <f aca="true">IF($D18="","",IFERROR(COUNTIF(INDIRECT("'"&amp;$D18&amp;"'!$AE$7:$AE$500"),"&lt;&gt;"),0))</f>
        <v/>
      </c>
      <c r="AU18" s="93" t="str">
        <f aca="true">IF($D18="","",IFERROR(COUNTIF(INDIRECT("'"&amp;$D18&amp;"'!$AE$7:$AE$500"),"Pass"),0))</f>
        <v/>
      </c>
      <c r="AV18" s="93" t="str">
        <f aca="true">IF($D18="","",IFERROR(COUNTIF(INDIRECT("'"&amp;$D18&amp;"'!$AE$7:$AE$500"),"Fail"),0))</f>
        <v/>
      </c>
      <c r="AW18" s="93" t="str">
        <f aca="true">IF($D18="","",IFERROR(COUNTIF(INDIRECT("'"&amp;$D18&amp;"'!$AE$7:$AE$500"),"Block"),0))</f>
        <v/>
      </c>
      <c r="AX18" s="93" t="str">
        <f aca="true">IF($D18="","",IFERROR(COUNTIF(INDIRECT("'"&amp;$D18&amp;"'!$AE$7:$AE$500"),"N/A"),0))</f>
        <v/>
      </c>
      <c r="AY18" s="93" t="str">
        <f aca="true">IF($D18="","",IFERROR(COUNTIF(INDIRECT("'"&amp;$D18&amp;"'!$AJ$7:$AJ$500"),"&lt;&gt;"),0))</f>
        <v/>
      </c>
      <c r="AZ18" s="93" t="str">
        <f aca="true">IF($D18="","",IFERROR(COUNTIF(INDIRECT("'"&amp;$D18&amp;"'!$AJ$7:$AJ$500"),"Pass"),0))</f>
        <v/>
      </c>
      <c r="BA18" s="93" t="str">
        <f aca="true">IF($D18="","",IFERROR(COUNTIF(INDIRECT("'"&amp;$D18&amp;"'!$AJ$7:$AJ$500"),"Fail"),0))</f>
        <v/>
      </c>
      <c r="BB18" s="93" t="str">
        <f aca="true">IF($D18="","",IFERROR(COUNTIF(INDIRECT("'"&amp;$D18&amp;"'!$AJ$7:$AJ$500"),"Block"),0))</f>
        <v/>
      </c>
      <c r="BC18" s="1" t="str">
        <f aca="true">IF($D18="","",IFERROR(COUNTIF(INDIRECT("'"&amp;$D18&amp;"'!$AJ$7:$AJ$500"),"N/A"),0))</f>
        <v/>
      </c>
    </row>
    <row r="19" customFormat="false" ht="15" hidden="false" customHeight="true" outlineLevel="0" collapsed="false">
      <c r="B19" s="88" t="str">
        <f aca="false">IF($D19="","",ROW()-3)</f>
        <v/>
      </c>
      <c r="C19" s="89"/>
      <c r="D19" s="89"/>
      <c r="E19" s="90"/>
      <c r="F19" s="88" t="str">
        <f aca="true">IF($D19="","",IFERROR(COUNTIF(INDIRECT("'"&amp;$D19&amp;"'!$C$7:$C$500"),"?*"),0))</f>
        <v/>
      </c>
      <c r="G19" s="88" t="str">
        <f aca="true">IF($D19="","",IFERROR(COUNTIF(INDIRECT("'"&amp;$D19&amp;"'!$AO$7:$AO$500"),"Pass"),0))</f>
        <v/>
      </c>
      <c r="H19" s="88" t="str">
        <f aca="true">IF($D19="","",IFERROR(COUNTIF(INDIRECT("'"&amp;$D19&amp;"'!$AO$7:$AO$500"),"Fail"),0))</f>
        <v/>
      </c>
      <c r="I19" s="88" t="str">
        <f aca="true">IF($D19="","",IFERROR(COUNTIF(INDIRECT("'"&amp;$D19&amp;"'!$AO$7:$AO$500"),"Block"),0))</f>
        <v/>
      </c>
      <c r="J19" s="88" t="str">
        <f aca="true">IF($D19="","",IFERROR(COUNTIF(INDIRECT("'"&amp;$D19&amp;"'!$AO$7:$AO$500"),"N/A"),0))</f>
        <v/>
      </c>
      <c r="K19" s="88" t="str">
        <f aca="false">IF($D19="","",MAX(0,$F19-$G19-$H19-$I19-$J19))</f>
        <v/>
      </c>
      <c r="L19" s="88" t="str">
        <f aca="false">IF($D19="","",$G19+$H19+$I19+$J19)</f>
        <v/>
      </c>
      <c r="M19" s="91" t="str">
        <f aca="false">IF($D19="","",IFERROR($L19/$F19,0))</f>
        <v/>
      </c>
      <c r="N19" s="91" t="str">
        <f aca="false">IF($D19="","",IFERROR($G19/$L19,0))</f>
        <v/>
      </c>
      <c r="O19" s="88" t="str">
        <f aca="true">IF($D19="","",IFERROR(COUNTIF(INDIRECT("'"&amp;$D19&amp;"'!$E$7:$E$500"),"High"),0))</f>
        <v/>
      </c>
      <c r="P19" s="88" t="str">
        <f aca="true">IF($D19="","",IFERROR(COUNTIF(INDIRECT("'"&amp;$D19&amp;"'!$E$7:$E$500"),"Medium"),0))</f>
        <v/>
      </c>
      <c r="Q19" s="88" t="str">
        <f aca="true">IF($D19="","",IFERROR(COUNTIF(INDIRECT("'"&amp;$D19&amp;"'!$E$7:$E$500"),"Low"),0))</f>
        <v/>
      </c>
      <c r="R19" s="88" t="str">
        <f aca="true">IF($D19="","",IFERROR(COUNTIF(INDIRECT("'"&amp;$D19&amp;"'!$D$7:$D$500"),"Functional"),0))</f>
        <v/>
      </c>
      <c r="S19" s="88" t="str">
        <f aca="true">IF($D19="","",IFERROR(COUNTIF(INDIRECT("'"&amp;$D19&amp;"'!$D$7:$D$500"),"UI"),0))</f>
        <v/>
      </c>
      <c r="T19" s="88" t="str">
        <f aca="true">IF($D19="","",IFERROR(COUNTIF(INDIRECT("'"&amp;$D19&amp;"'!$D$7:$D$500"),"Integration"),0))</f>
        <v/>
      </c>
      <c r="U19" s="88" t="str">
        <f aca="true">IF($D19="","",IFERROR(COUNTIF(INDIRECT("'"&amp;$D19&amp;"'!$D$7:$D$500"),"Database Test Case"),0))</f>
        <v/>
      </c>
      <c r="V19" s="88" t="str">
        <f aca="true">IF($D19="","",IFERROR(COUNTIF(INDIRECT("'"&amp;$D19&amp;"'!$J$7:$J$500"),"AI"),0))</f>
        <v/>
      </c>
      <c r="W19" s="88" t="str">
        <f aca="true">IF($D19="","",IFERROR(COUNTIF(INDIRECT("'"&amp;$D19&amp;"'!$J$7:$J$500"),"QC"),0))</f>
        <v/>
      </c>
      <c r="X19" s="88" t="str">
        <f aca="true">IF($D19="","",IFERROR(COUNTIF(INDIRECT("'"&amp;$D19&amp;"'!$L$7:$L$500"),"Yes"),0))</f>
        <v/>
      </c>
      <c r="Y19" s="88" t="str">
        <f aca="true">IF($D19="","",IFERROR(COUNTIF(INDIRECT("'"&amp;$D19&amp;"'!$AM$7:$AM$500"),"Yes"),0))</f>
        <v/>
      </c>
      <c r="Z19" s="88" t="str">
        <f aca="true">IF($D19="","",IFERROR(COUNTIF(INDIRECT("'"&amp;$D19&amp;"'!$AN$7:$AN$500"),"Pass"),0))</f>
        <v/>
      </c>
      <c r="AA19" s="88" t="str">
        <f aca="true">IF($D19="","",IFERROR(COUNTIF(INDIRECT("'"&amp;$D19&amp;"'!$K$7:$K$500"),"Reviewed"),0))</f>
        <v/>
      </c>
      <c r="AB19" s="92" t="str">
        <f aca="true">IF($D19="","",IFERROR(SUMPRODUCT((INDIRECT("'"&amp;$D19&amp;"'!$E$7:$E$500")="High")*(INDIRECT("'"&amp;$D19&amp;"'!$AO$7:$AO$500")&lt;&gt;"")),0))</f>
        <v/>
      </c>
      <c r="AC19" s="92" t="str">
        <f aca="true">IF($D19="","",IFERROR(SUMPRODUCT((INDIRECT("'"&amp;$D19&amp;"'!$E$7:$E$500")="Medium")*(INDIRECT("'"&amp;$D19&amp;"'!$AO$7:$AO$500")&lt;&gt;"")),0))</f>
        <v/>
      </c>
      <c r="AD19" s="92" t="str">
        <f aca="true">IF($D19="","",IFERROR(SUMPRODUCT((INDIRECT("'"&amp;$D19&amp;"'!$E$7:$E$500")="Low")*(INDIRECT("'"&amp;$D19&amp;"'!$AO$7:$AO$500")&lt;&gt;"")),0))</f>
        <v/>
      </c>
      <c r="AE19" s="93" t="str">
        <f aca="true">IF($D19="","",IFERROR(COUNTIF(INDIRECT("'"&amp;$D19&amp;"'!$P$7:$P$500"),"&lt;&gt;"),0))</f>
        <v/>
      </c>
      <c r="AF19" s="93" t="str">
        <f aca="true">IF($D19="","",IFERROR(COUNTIF(INDIRECT("'"&amp;$D19&amp;"'!$P$7:$P$500"),"Pass"),0))</f>
        <v/>
      </c>
      <c r="AG19" s="93" t="str">
        <f aca="true">IF($D19="","",IFERROR(COUNTIF(INDIRECT("'"&amp;$D19&amp;"'!$P$7:$P$500"),"Fail"),0))</f>
        <v/>
      </c>
      <c r="AH19" s="93" t="str">
        <f aca="true">IF($D19="","",IFERROR(COUNTIF(INDIRECT("'"&amp;$D19&amp;"'!$P$7:$P$500"),"Block"),0))</f>
        <v/>
      </c>
      <c r="AI19" s="93" t="str">
        <f aca="true">IF($D19="","",IFERROR(COUNTIF(INDIRECT("'"&amp;$D19&amp;"'!$P$7:$P$500"),"N/A"),0))</f>
        <v/>
      </c>
      <c r="AJ19" s="93" t="str">
        <f aca="true">IF($D19="","",IFERROR(COUNTIF(INDIRECT("'"&amp;$D19&amp;"'!$U$7:$U$500"),"&lt;&gt;"),0))</f>
        <v/>
      </c>
      <c r="AK19" s="93" t="str">
        <f aca="true">IF($D19="","",IFERROR(COUNTIF(INDIRECT("'"&amp;$D19&amp;"'!$U$7:$U$500"),"Pass"),0))</f>
        <v/>
      </c>
      <c r="AL19" s="93" t="str">
        <f aca="true">IF($D19="","",IFERROR(COUNTIF(INDIRECT("'"&amp;$D19&amp;"'!$U$7:$U$500"),"Fail"),0))</f>
        <v/>
      </c>
      <c r="AM19" s="93" t="str">
        <f aca="true">IF($D19="","",IFERROR(COUNTIF(INDIRECT("'"&amp;$D19&amp;"'!$U$7:$U$500"),"Block"),0))</f>
        <v/>
      </c>
      <c r="AN19" s="93" t="str">
        <f aca="true">IF($D19="","",IFERROR(COUNTIF(INDIRECT("'"&amp;$D19&amp;"'!$U$7:$U$500"),"N/A"),0))</f>
        <v/>
      </c>
      <c r="AO19" s="93" t="str">
        <f aca="true">IF($D19="","",IFERROR(COUNTIF(INDIRECT("'"&amp;$D19&amp;"'!$Z$7:$Z$500"),"&lt;&gt;"),0))</f>
        <v/>
      </c>
      <c r="AP19" s="93" t="str">
        <f aca="true">IF($D19="","",IFERROR(COUNTIF(INDIRECT("'"&amp;$D19&amp;"'!$Z$7:$Z$500"),"Pass"),0))</f>
        <v/>
      </c>
      <c r="AQ19" s="93" t="str">
        <f aca="true">IF($D19="","",IFERROR(COUNTIF(INDIRECT("'"&amp;$D19&amp;"'!$Z$7:$Z$500"),"Fail"),0))</f>
        <v/>
      </c>
      <c r="AR19" s="93" t="str">
        <f aca="true">IF($D19="","",IFERROR(COUNTIF(INDIRECT("'"&amp;$D19&amp;"'!$Z$7:$Z$500"),"Block"),0))</f>
        <v/>
      </c>
      <c r="AS19" s="93" t="str">
        <f aca="true">IF($D19="","",IFERROR(COUNTIF(INDIRECT("'"&amp;$D19&amp;"'!$Z$7:$Z$500"),"N/A"),0))</f>
        <v/>
      </c>
      <c r="AT19" s="93" t="str">
        <f aca="true">IF($D19="","",IFERROR(COUNTIF(INDIRECT("'"&amp;$D19&amp;"'!$AE$7:$AE$500"),"&lt;&gt;"),0))</f>
        <v/>
      </c>
      <c r="AU19" s="93" t="str">
        <f aca="true">IF($D19="","",IFERROR(COUNTIF(INDIRECT("'"&amp;$D19&amp;"'!$AE$7:$AE$500"),"Pass"),0))</f>
        <v/>
      </c>
      <c r="AV19" s="93" t="str">
        <f aca="true">IF($D19="","",IFERROR(COUNTIF(INDIRECT("'"&amp;$D19&amp;"'!$AE$7:$AE$500"),"Fail"),0))</f>
        <v/>
      </c>
      <c r="AW19" s="93" t="str">
        <f aca="true">IF($D19="","",IFERROR(COUNTIF(INDIRECT("'"&amp;$D19&amp;"'!$AE$7:$AE$500"),"Block"),0))</f>
        <v/>
      </c>
      <c r="AX19" s="93" t="str">
        <f aca="true">IF($D19="","",IFERROR(COUNTIF(INDIRECT("'"&amp;$D19&amp;"'!$AE$7:$AE$500"),"N/A"),0))</f>
        <v/>
      </c>
      <c r="AY19" s="93" t="str">
        <f aca="true">IF($D19="","",IFERROR(COUNTIF(INDIRECT("'"&amp;$D19&amp;"'!$AJ$7:$AJ$500"),"&lt;&gt;"),0))</f>
        <v/>
      </c>
      <c r="AZ19" s="93" t="str">
        <f aca="true">IF($D19="","",IFERROR(COUNTIF(INDIRECT("'"&amp;$D19&amp;"'!$AJ$7:$AJ$500"),"Pass"),0))</f>
        <v/>
      </c>
      <c r="BA19" s="93" t="str">
        <f aca="true">IF($D19="","",IFERROR(COUNTIF(INDIRECT("'"&amp;$D19&amp;"'!$AJ$7:$AJ$500"),"Fail"),0))</f>
        <v/>
      </c>
      <c r="BB19" s="93" t="str">
        <f aca="true">IF($D19="","",IFERROR(COUNTIF(INDIRECT("'"&amp;$D19&amp;"'!$AJ$7:$AJ$500"),"Block"),0))</f>
        <v/>
      </c>
      <c r="BC19" s="1" t="str">
        <f aca="true">IF($D19="","",IFERROR(COUNTIF(INDIRECT("'"&amp;$D19&amp;"'!$AJ$7:$AJ$500"),"N/A"),0))</f>
        <v/>
      </c>
    </row>
    <row r="20" customFormat="false" ht="15" hidden="false" customHeight="true" outlineLevel="0" collapsed="false">
      <c r="B20" s="88" t="str">
        <f aca="false">IF($D20="","",ROW()-3)</f>
        <v/>
      </c>
      <c r="C20" s="89"/>
      <c r="D20" s="89"/>
      <c r="E20" s="90"/>
      <c r="F20" s="88" t="str">
        <f aca="true">IF($D20="","",IFERROR(COUNTIF(INDIRECT("'"&amp;$D20&amp;"'!$C$7:$C$500"),"?*"),0))</f>
        <v/>
      </c>
      <c r="G20" s="88" t="str">
        <f aca="true">IF($D20="","",IFERROR(COUNTIF(INDIRECT("'"&amp;$D20&amp;"'!$AO$7:$AO$500"),"Pass"),0))</f>
        <v/>
      </c>
      <c r="H20" s="88" t="str">
        <f aca="true">IF($D20="","",IFERROR(COUNTIF(INDIRECT("'"&amp;$D20&amp;"'!$AO$7:$AO$500"),"Fail"),0))</f>
        <v/>
      </c>
      <c r="I20" s="88" t="str">
        <f aca="true">IF($D20="","",IFERROR(COUNTIF(INDIRECT("'"&amp;$D20&amp;"'!$AO$7:$AO$500"),"Block"),0))</f>
        <v/>
      </c>
      <c r="J20" s="88" t="str">
        <f aca="true">IF($D20="","",IFERROR(COUNTIF(INDIRECT("'"&amp;$D20&amp;"'!$AO$7:$AO$500"),"N/A"),0))</f>
        <v/>
      </c>
      <c r="K20" s="88" t="str">
        <f aca="false">IF($D20="","",MAX(0,$F20-$G20-$H20-$I20-$J20))</f>
        <v/>
      </c>
      <c r="L20" s="88" t="str">
        <f aca="false">IF($D20="","",$G20+$H20+$I20+$J20)</f>
        <v/>
      </c>
      <c r="M20" s="91" t="str">
        <f aca="false">IF($D20="","",IFERROR($L20/$F20,0))</f>
        <v/>
      </c>
      <c r="N20" s="91" t="str">
        <f aca="false">IF($D20="","",IFERROR($G20/$L20,0))</f>
        <v/>
      </c>
      <c r="O20" s="88" t="str">
        <f aca="true">IF($D20="","",IFERROR(COUNTIF(INDIRECT("'"&amp;$D20&amp;"'!$E$7:$E$500"),"High"),0))</f>
        <v/>
      </c>
      <c r="P20" s="88" t="str">
        <f aca="true">IF($D20="","",IFERROR(COUNTIF(INDIRECT("'"&amp;$D20&amp;"'!$E$7:$E$500"),"Medium"),0))</f>
        <v/>
      </c>
      <c r="Q20" s="88" t="str">
        <f aca="true">IF($D20="","",IFERROR(COUNTIF(INDIRECT("'"&amp;$D20&amp;"'!$E$7:$E$500"),"Low"),0))</f>
        <v/>
      </c>
      <c r="R20" s="88" t="str">
        <f aca="true">IF($D20="","",IFERROR(COUNTIF(INDIRECT("'"&amp;$D20&amp;"'!$D$7:$D$500"),"Functional"),0))</f>
        <v/>
      </c>
      <c r="S20" s="88" t="str">
        <f aca="true">IF($D20="","",IFERROR(COUNTIF(INDIRECT("'"&amp;$D20&amp;"'!$D$7:$D$500"),"UI"),0))</f>
        <v/>
      </c>
      <c r="T20" s="88" t="str">
        <f aca="true">IF($D20="","",IFERROR(COUNTIF(INDIRECT("'"&amp;$D20&amp;"'!$D$7:$D$500"),"Integration"),0))</f>
        <v/>
      </c>
      <c r="U20" s="88" t="str">
        <f aca="true">IF($D20="","",IFERROR(COUNTIF(INDIRECT("'"&amp;$D20&amp;"'!$D$7:$D$500"),"Database Test Case"),0))</f>
        <v/>
      </c>
      <c r="V20" s="88" t="str">
        <f aca="true">IF($D20="","",IFERROR(COUNTIF(INDIRECT("'"&amp;$D20&amp;"'!$J$7:$J$500"),"AI"),0))</f>
        <v/>
      </c>
      <c r="W20" s="88" t="str">
        <f aca="true">IF($D20="","",IFERROR(COUNTIF(INDIRECT("'"&amp;$D20&amp;"'!$J$7:$J$500"),"QC"),0))</f>
        <v/>
      </c>
      <c r="X20" s="88" t="str">
        <f aca="true">IF($D20="","",IFERROR(COUNTIF(INDIRECT("'"&amp;$D20&amp;"'!$L$7:$L$500"),"Yes"),0))</f>
        <v/>
      </c>
      <c r="Y20" s="88" t="str">
        <f aca="true">IF($D20="","",IFERROR(COUNTIF(INDIRECT("'"&amp;$D20&amp;"'!$AM$7:$AM$500"),"Yes"),0))</f>
        <v/>
      </c>
      <c r="Z20" s="88" t="str">
        <f aca="true">IF($D20="","",IFERROR(COUNTIF(INDIRECT("'"&amp;$D20&amp;"'!$AN$7:$AN$500"),"Pass"),0))</f>
        <v/>
      </c>
      <c r="AA20" s="88" t="str">
        <f aca="true">IF($D20="","",IFERROR(COUNTIF(INDIRECT("'"&amp;$D20&amp;"'!$K$7:$K$500"),"Reviewed"),0))</f>
        <v/>
      </c>
      <c r="AB20" s="92" t="str">
        <f aca="true">IF($D20="","",IFERROR(SUMPRODUCT((INDIRECT("'"&amp;$D20&amp;"'!$E$7:$E$500")="High")*(INDIRECT("'"&amp;$D20&amp;"'!$AO$7:$AO$500")&lt;&gt;"")),0))</f>
        <v/>
      </c>
      <c r="AC20" s="92" t="str">
        <f aca="true">IF($D20="","",IFERROR(SUMPRODUCT((INDIRECT("'"&amp;$D20&amp;"'!$E$7:$E$500")="Medium")*(INDIRECT("'"&amp;$D20&amp;"'!$AO$7:$AO$500")&lt;&gt;"")),0))</f>
        <v/>
      </c>
      <c r="AD20" s="92" t="str">
        <f aca="true">IF($D20="","",IFERROR(SUMPRODUCT((INDIRECT("'"&amp;$D20&amp;"'!$E$7:$E$500")="Low")*(INDIRECT("'"&amp;$D20&amp;"'!$AO$7:$AO$500")&lt;&gt;"")),0))</f>
        <v/>
      </c>
      <c r="AE20" s="93" t="str">
        <f aca="true">IF($D20="","",IFERROR(COUNTIF(INDIRECT("'"&amp;$D20&amp;"'!$P$7:$P$500"),"&lt;&gt;"),0))</f>
        <v/>
      </c>
      <c r="AF20" s="93" t="str">
        <f aca="true">IF($D20="","",IFERROR(COUNTIF(INDIRECT("'"&amp;$D20&amp;"'!$P$7:$P$500"),"Pass"),0))</f>
        <v/>
      </c>
      <c r="AG20" s="93" t="str">
        <f aca="true">IF($D20="","",IFERROR(COUNTIF(INDIRECT("'"&amp;$D20&amp;"'!$P$7:$P$500"),"Fail"),0))</f>
        <v/>
      </c>
      <c r="AH20" s="93" t="str">
        <f aca="true">IF($D20="","",IFERROR(COUNTIF(INDIRECT("'"&amp;$D20&amp;"'!$P$7:$P$500"),"Block"),0))</f>
        <v/>
      </c>
      <c r="AI20" s="93" t="str">
        <f aca="true">IF($D20="","",IFERROR(COUNTIF(INDIRECT("'"&amp;$D20&amp;"'!$P$7:$P$500"),"N/A"),0))</f>
        <v/>
      </c>
      <c r="AJ20" s="93" t="str">
        <f aca="true">IF($D20="","",IFERROR(COUNTIF(INDIRECT("'"&amp;$D20&amp;"'!$U$7:$U$500"),"&lt;&gt;"),0))</f>
        <v/>
      </c>
      <c r="AK20" s="93" t="str">
        <f aca="true">IF($D20="","",IFERROR(COUNTIF(INDIRECT("'"&amp;$D20&amp;"'!$U$7:$U$500"),"Pass"),0))</f>
        <v/>
      </c>
      <c r="AL20" s="93" t="str">
        <f aca="true">IF($D20="","",IFERROR(COUNTIF(INDIRECT("'"&amp;$D20&amp;"'!$U$7:$U$500"),"Fail"),0))</f>
        <v/>
      </c>
      <c r="AM20" s="93" t="str">
        <f aca="true">IF($D20="","",IFERROR(COUNTIF(INDIRECT("'"&amp;$D20&amp;"'!$U$7:$U$500"),"Block"),0))</f>
        <v/>
      </c>
      <c r="AN20" s="93" t="str">
        <f aca="true">IF($D20="","",IFERROR(COUNTIF(INDIRECT("'"&amp;$D20&amp;"'!$U$7:$U$500"),"N/A"),0))</f>
        <v/>
      </c>
      <c r="AO20" s="93" t="str">
        <f aca="true">IF($D20="","",IFERROR(COUNTIF(INDIRECT("'"&amp;$D20&amp;"'!$Z$7:$Z$500"),"&lt;&gt;"),0))</f>
        <v/>
      </c>
      <c r="AP20" s="93" t="str">
        <f aca="true">IF($D20="","",IFERROR(COUNTIF(INDIRECT("'"&amp;$D20&amp;"'!$Z$7:$Z$500"),"Pass"),0))</f>
        <v/>
      </c>
      <c r="AQ20" s="93" t="str">
        <f aca="true">IF($D20="","",IFERROR(COUNTIF(INDIRECT("'"&amp;$D20&amp;"'!$Z$7:$Z$500"),"Fail"),0))</f>
        <v/>
      </c>
      <c r="AR20" s="93" t="str">
        <f aca="true">IF($D20="","",IFERROR(COUNTIF(INDIRECT("'"&amp;$D20&amp;"'!$Z$7:$Z$500"),"Block"),0))</f>
        <v/>
      </c>
      <c r="AS20" s="93" t="str">
        <f aca="true">IF($D20="","",IFERROR(COUNTIF(INDIRECT("'"&amp;$D20&amp;"'!$Z$7:$Z$500"),"N/A"),0))</f>
        <v/>
      </c>
      <c r="AT20" s="93" t="str">
        <f aca="true">IF($D20="","",IFERROR(COUNTIF(INDIRECT("'"&amp;$D20&amp;"'!$AE$7:$AE$500"),"&lt;&gt;"),0))</f>
        <v/>
      </c>
      <c r="AU20" s="93" t="str">
        <f aca="true">IF($D20="","",IFERROR(COUNTIF(INDIRECT("'"&amp;$D20&amp;"'!$AE$7:$AE$500"),"Pass"),0))</f>
        <v/>
      </c>
      <c r="AV20" s="93" t="str">
        <f aca="true">IF($D20="","",IFERROR(COUNTIF(INDIRECT("'"&amp;$D20&amp;"'!$AE$7:$AE$500"),"Fail"),0))</f>
        <v/>
      </c>
      <c r="AW20" s="93" t="str">
        <f aca="true">IF($D20="","",IFERROR(COUNTIF(INDIRECT("'"&amp;$D20&amp;"'!$AE$7:$AE$500"),"Block"),0))</f>
        <v/>
      </c>
      <c r="AX20" s="93" t="str">
        <f aca="true">IF($D20="","",IFERROR(COUNTIF(INDIRECT("'"&amp;$D20&amp;"'!$AE$7:$AE$500"),"N/A"),0))</f>
        <v/>
      </c>
      <c r="AY20" s="93" t="str">
        <f aca="true">IF($D20="","",IFERROR(COUNTIF(INDIRECT("'"&amp;$D20&amp;"'!$AJ$7:$AJ$500"),"&lt;&gt;"),0))</f>
        <v/>
      </c>
      <c r="AZ20" s="93" t="str">
        <f aca="true">IF($D20="","",IFERROR(COUNTIF(INDIRECT("'"&amp;$D20&amp;"'!$AJ$7:$AJ$500"),"Pass"),0))</f>
        <v/>
      </c>
      <c r="BA20" s="93" t="str">
        <f aca="true">IF($D20="","",IFERROR(COUNTIF(INDIRECT("'"&amp;$D20&amp;"'!$AJ$7:$AJ$500"),"Fail"),0))</f>
        <v/>
      </c>
      <c r="BB20" s="93" t="str">
        <f aca="true">IF($D20="","",IFERROR(COUNTIF(INDIRECT("'"&amp;$D20&amp;"'!$AJ$7:$AJ$500"),"Block"),0))</f>
        <v/>
      </c>
      <c r="BC20" s="1" t="str">
        <f aca="true">IF($D20="","",IFERROR(COUNTIF(INDIRECT("'"&amp;$D20&amp;"'!$AJ$7:$AJ$500"),"N/A"),0))</f>
        <v/>
      </c>
    </row>
    <row r="21" customFormat="false" ht="15.75" hidden="false" customHeight="true" outlineLevel="0" collapsed="false">
      <c r="B21" s="88" t="str">
        <f aca="false">IF($D21="","",ROW()-3)</f>
        <v/>
      </c>
      <c r="C21" s="89"/>
      <c r="D21" s="89"/>
      <c r="E21" s="90"/>
      <c r="F21" s="88" t="str">
        <f aca="true">IF($D21="","",IFERROR(COUNTIF(INDIRECT("'"&amp;$D21&amp;"'!$C$7:$C$500"),"?*"),0))</f>
        <v/>
      </c>
      <c r="G21" s="88" t="str">
        <f aca="true">IF($D21="","",IFERROR(COUNTIF(INDIRECT("'"&amp;$D21&amp;"'!$AO$7:$AO$500"),"Pass"),0))</f>
        <v/>
      </c>
      <c r="H21" s="88" t="str">
        <f aca="true">IF($D21="","",IFERROR(COUNTIF(INDIRECT("'"&amp;$D21&amp;"'!$AO$7:$AO$500"),"Fail"),0))</f>
        <v/>
      </c>
      <c r="I21" s="88" t="str">
        <f aca="true">IF($D21="","",IFERROR(COUNTIF(INDIRECT("'"&amp;$D21&amp;"'!$AO$7:$AO$500"),"Block"),0))</f>
        <v/>
      </c>
      <c r="J21" s="88" t="str">
        <f aca="true">IF($D21="","",IFERROR(COUNTIF(INDIRECT("'"&amp;$D21&amp;"'!$AO$7:$AO$500"),"N/A"),0))</f>
        <v/>
      </c>
      <c r="K21" s="88" t="str">
        <f aca="false">IF($D21="","",MAX(0,$F21-$G21-$H21-$I21-$J21))</f>
        <v/>
      </c>
      <c r="L21" s="88" t="str">
        <f aca="false">IF($D21="","",$G21+$H21+$I21+$J21)</f>
        <v/>
      </c>
      <c r="M21" s="91" t="str">
        <f aca="false">IF($D21="","",IFERROR($L21/$F21,0))</f>
        <v/>
      </c>
      <c r="N21" s="91" t="str">
        <f aca="false">IF($D21="","",IFERROR($G21/$L21,0))</f>
        <v/>
      </c>
      <c r="O21" s="88" t="str">
        <f aca="true">IF($D21="","",IFERROR(COUNTIF(INDIRECT("'"&amp;$D21&amp;"'!$E$7:$E$500"),"High"),0))</f>
        <v/>
      </c>
      <c r="P21" s="88" t="str">
        <f aca="true">IF($D21="","",IFERROR(COUNTIF(INDIRECT("'"&amp;$D21&amp;"'!$E$7:$E$500"),"Medium"),0))</f>
        <v/>
      </c>
      <c r="Q21" s="88" t="str">
        <f aca="true">IF($D21="","",IFERROR(COUNTIF(INDIRECT("'"&amp;$D21&amp;"'!$E$7:$E$500"),"Low"),0))</f>
        <v/>
      </c>
      <c r="R21" s="88" t="str">
        <f aca="true">IF($D21="","",IFERROR(COUNTIF(INDIRECT("'"&amp;$D21&amp;"'!$D$7:$D$500"),"Functional"),0))</f>
        <v/>
      </c>
      <c r="S21" s="88" t="str">
        <f aca="true">IF($D21="","",IFERROR(COUNTIF(INDIRECT("'"&amp;$D21&amp;"'!$D$7:$D$500"),"UI"),0))</f>
        <v/>
      </c>
      <c r="T21" s="88" t="str">
        <f aca="true">IF($D21="","",IFERROR(COUNTIF(INDIRECT("'"&amp;$D21&amp;"'!$D$7:$D$500"),"Integration"),0))</f>
        <v/>
      </c>
      <c r="U21" s="88" t="str">
        <f aca="true">IF($D21="","",IFERROR(COUNTIF(INDIRECT("'"&amp;$D21&amp;"'!$D$7:$D$500"),"Database Test Case"),0))</f>
        <v/>
      </c>
      <c r="V21" s="88" t="str">
        <f aca="true">IF($D21="","",IFERROR(COUNTIF(INDIRECT("'"&amp;$D21&amp;"'!$J$7:$J$500"),"AI"),0))</f>
        <v/>
      </c>
      <c r="W21" s="88" t="str">
        <f aca="true">IF($D21="","",IFERROR(COUNTIF(INDIRECT("'"&amp;$D21&amp;"'!$J$7:$J$500"),"QC"),0))</f>
        <v/>
      </c>
      <c r="X21" s="88" t="str">
        <f aca="true">IF($D21="","",IFERROR(COUNTIF(INDIRECT("'"&amp;$D21&amp;"'!$L$7:$L$500"),"Yes"),0))</f>
        <v/>
      </c>
      <c r="Y21" s="88" t="str">
        <f aca="true">IF($D21="","",IFERROR(COUNTIF(INDIRECT("'"&amp;$D21&amp;"'!$AM$7:$AM$500"),"Yes"),0))</f>
        <v/>
      </c>
      <c r="Z21" s="88" t="str">
        <f aca="true">IF($D21="","",IFERROR(COUNTIF(INDIRECT("'"&amp;$D21&amp;"'!$AN$7:$AN$500"),"Pass"),0))</f>
        <v/>
      </c>
      <c r="AA21" s="88" t="str">
        <f aca="true">IF($D21="","",IFERROR(COUNTIF(INDIRECT("'"&amp;$D21&amp;"'!$K$7:$K$500"),"Reviewed"),0))</f>
        <v/>
      </c>
      <c r="AB21" s="92" t="str">
        <f aca="true">IF($D21="","",IFERROR(SUMPRODUCT((INDIRECT("'"&amp;$D21&amp;"'!$E$7:$E$500")="High")*(INDIRECT("'"&amp;$D21&amp;"'!$AO$7:$AO$500")&lt;&gt;"")),0))</f>
        <v/>
      </c>
      <c r="AC21" s="92" t="str">
        <f aca="true">IF($D21="","",IFERROR(SUMPRODUCT((INDIRECT("'"&amp;$D21&amp;"'!$E$7:$E$500")="Medium")*(INDIRECT("'"&amp;$D21&amp;"'!$AO$7:$AO$500")&lt;&gt;"")),0))</f>
        <v/>
      </c>
      <c r="AD21" s="92" t="str">
        <f aca="true">IF($D21="","",IFERROR(SUMPRODUCT((INDIRECT("'"&amp;$D21&amp;"'!$E$7:$E$500")="Low")*(INDIRECT("'"&amp;$D21&amp;"'!$AO$7:$AO$500")&lt;&gt;"")),0))</f>
        <v/>
      </c>
      <c r="AE21" s="93" t="str">
        <f aca="true">IF($D21="","",IFERROR(COUNTIF(INDIRECT("'"&amp;$D21&amp;"'!$P$7:$P$500"),"&lt;&gt;"),0))</f>
        <v/>
      </c>
      <c r="AF21" s="93" t="str">
        <f aca="true">IF($D21="","",IFERROR(COUNTIF(INDIRECT("'"&amp;$D21&amp;"'!$P$7:$P$500"),"Pass"),0))</f>
        <v/>
      </c>
      <c r="AG21" s="93" t="str">
        <f aca="true">IF($D21="","",IFERROR(COUNTIF(INDIRECT("'"&amp;$D21&amp;"'!$P$7:$P$500"),"Fail"),0))</f>
        <v/>
      </c>
      <c r="AH21" s="93" t="str">
        <f aca="true">IF($D21="","",IFERROR(COUNTIF(INDIRECT("'"&amp;$D21&amp;"'!$P$7:$P$500"),"Block"),0))</f>
        <v/>
      </c>
      <c r="AI21" s="93" t="str">
        <f aca="true">IF($D21="","",IFERROR(COUNTIF(INDIRECT("'"&amp;$D21&amp;"'!$P$7:$P$500"),"N/A"),0))</f>
        <v/>
      </c>
      <c r="AJ21" s="93" t="str">
        <f aca="true">IF($D21="","",IFERROR(COUNTIF(INDIRECT("'"&amp;$D21&amp;"'!$U$7:$U$500"),"&lt;&gt;"),0))</f>
        <v/>
      </c>
      <c r="AK21" s="93" t="str">
        <f aca="true">IF($D21="","",IFERROR(COUNTIF(INDIRECT("'"&amp;$D21&amp;"'!$U$7:$U$500"),"Pass"),0))</f>
        <v/>
      </c>
      <c r="AL21" s="93" t="str">
        <f aca="true">IF($D21="","",IFERROR(COUNTIF(INDIRECT("'"&amp;$D21&amp;"'!$U$7:$U$500"),"Fail"),0))</f>
        <v/>
      </c>
      <c r="AM21" s="93" t="str">
        <f aca="true">IF($D21="","",IFERROR(COUNTIF(INDIRECT("'"&amp;$D21&amp;"'!$U$7:$U$500"),"Block"),0))</f>
        <v/>
      </c>
      <c r="AN21" s="93" t="str">
        <f aca="true">IF($D21="","",IFERROR(COUNTIF(INDIRECT("'"&amp;$D21&amp;"'!$U$7:$U$500"),"N/A"),0))</f>
        <v/>
      </c>
      <c r="AO21" s="93" t="str">
        <f aca="true">IF($D21="","",IFERROR(COUNTIF(INDIRECT("'"&amp;$D21&amp;"'!$Z$7:$Z$500"),"&lt;&gt;"),0))</f>
        <v/>
      </c>
      <c r="AP21" s="93" t="str">
        <f aca="true">IF($D21="","",IFERROR(COUNTIF(INDIRECT("'"&amp;$D21&amp;"'!$Z$7:$Z$500"),"Pass"),0))</f>
        <v/>
      </c>
      <c r="AQ21" s="93" t="str">
        <f aca="true">IF($D21="","",IFERROR(COUNTIF(INDIRECT("'"&amp;$D21&amp;"'!$Z$7:$Z$500"),"Fail"),0))</f>
        <v/>
      </c>
      <c r="AR21" s="93" t="str">
        <f aca="true">IF($D21="","",IFERROR(COUNTIF(INDIRECT("'"&amp;$D21&amp;"'!$Z$7:$Z$500"),"Block"),0))</f>
        <v/>
      </c>
      <c r="AS21" s="93" t="str">
        <f aca="true">IF($D21="","",IFERROR(COUNTIF(INDIRECT("'"&amp;$D21&amp;"'!$Z$7:$Z$500"),"N/A"),0))</f>
        <v/>
      </c>
      <c r="AT21" s="93" t="str">
        <f aca="true">IF($D21="","",IFERROR(COUNTIF(INDIRECT("'"&amp;$D21&amp;"'!$AE$7:$AE$500"),"&lt;&gt;"),0))</f>
        <v/>
      </c>
      <c r="AU21" s="93" t="str">
        <f aca="true">IF($D21="","",IFERROR(COUNTIF(INDIRECT("'"&amp;$D21&amp;"'!$AE$7:$AE$500"),"Pass"),0))</f>
        <v/>
      </c>
      <c r="AV21" s="93" t="str">
        <f aca="true">IF($D21="","",IFERROR(COUNTIF(INDIRECT("'"&amp;$D21&amp;"'!$AE$7:$AE$500"),"Fail"),0))</f>
        <v/>
      </c>
      <c r="AW21" s="93" t="str">
        <f aca="true">IF($D21="","",IFERROR(COUNTIF(INDIRECT("'"&amp;$D21&amp;"'!$AE$7:$AE$500"),"Block"),0))</f>
        <v/>
      </c>
      <c r="AX21" s="93" t="str">
        <f aca="true">IF($D21="","",IFERROR(COUNTIF(INDIRECT("'"&amp;$D21&amp;"'!$AE$7:$AE$500"),"N/A"),0))</f>
        <v/>
      </c>
      <c r="AY21" s="93" t="str">
        <f aca="true">IF($D21="","",IFERROR(COUNTIF(INDIRECT("'"&amp;$D21&amp;"'!$AJ$7:$AJ$500"),"&lt;&gt;"),0))</f>
        <v/>
      </c>
      <c r="AZ21" s="93" t="str">
        <f aca="true">IF($D21="","",IFERROR(COUNTIF(INDIRECT("'"&amp;$D21&amp;"'!$AJ$7:$AJ$500"),"Pass"),0))</f>
        <v/>
      </c>
      <c r="BA21" s="93" t="str">
        <f aca="true">IF($D21="","",IFERROR(COUNTIF(INDIRECT("'"&amp;$D21&amp;"'!$AJ$7:$AJ$500"),"Fail"),0))</f>
        <v/>
      </c>
      <c r="BB21" s="93" t="str">
        <f aca="true">IF($D21="","",IFERROR(COUNTIF(INDIRECT("'"&amp;$D21&amp;"'!$AJ$7:$AJ$500"),"Block"),0))</f>
        <v/>
      </c>
      <c r="BC21" s="1" t="str">
        <f aca="true">IF($D21="","",IFERROR(COUNTIF(INDIRECT("'"&amp;$D21&amp;"'!$AJ$7:$AJ$500"),"N/A"),0))</f>
        <v/>
      </c>
    </row>
    <row r="22" customFormat="false" ht="15.75" hidden="false" customHeight="true" outlineLevel="0" collapsed="false">
      <c r="B22" s="88" t="str">
        <f aca="false">IF($D22="","",ROW()-3)</f>
        <v/>
      </c>
      <c r="C22" s="89"/>
      <c r="D22" s="89"/>
      <c r="E22" s="90"/>
      <c r="F22" s="88" t="str">
        <f aca="true">IF($D22="","",IFERROR(COUNTIF(INDIRECT("'"&amp;$D22&amp;"'!$C$7:$C$500"),"?*"),0))</f>
        <v/>
      </c>
      <c r="G22" s="88" t="str">
        <f aca="true">IF($D22="","",IFERROR(COUNTIF(INDIRECT("'"&amp;$D22&amp;"'!$AO$7:$AO$500"),"Pass"),0))</f>
        <v/>
      </c>
      <c r="H22" s="88" t="str">
        <f aca="true">IF($D22="","",IFERROR(COUNTIF(INDIRECT("'"&amp;$D22&amp;"'!$AO$7:$AO$500"),"Fail"),0))</f>
        <v/>
      </c>
      <c r="I22" s="88" t="str">
        <f aca="true">IF($D22="","",IFERROR(COUNTIF(INDIRECT("'"&amp;$D22&amp;"'!$AO$7:$AO$500"),"Block"),0))</f>
        <v/>
      </c>
      <c r="J22" s="88" t="str">
        <f aca="true">IF($D22="","",IFERROR(COUNTIF(INDIRECT("'"&amp;$D22&amp;"'!$AO$7:$AO$500"),"N/A"),0))</f>
        <v/>
      </c>
      <c r="K22" s="88" t="str">
        <f aca="false">IF($D22="","",MAX(0,$F22-$G22-$H22-$I22-$J22))</f>
        <v/>
      </c>
      <c r="L22" s="88" t="str">
        <f aca="false">IF($D22="","",$G22+$H22+$I22+$J22)</f>
        <v/>
      </c>
      <c r="M22" s="91" t="str">
        <f aca="false">IF($D22="","",IFERROR($L22/$F22,0))</f>
        <v/>
      </c>
      <c r="N22" s="91" t="str">
        <f aca="false">IF($D22="","",IFERROR($G22/$L22,0))</f>
        <v/>
      </c>
      <c r="O22" s="88" t="str">
        <f aca="true">IF($D22="","",IFERROR(COUNTIF(INDIRECT("'"&amp;$D22&amp;"'!$E$7:$E$500"),"High"),0))</f>
        <v/>
      </c>
      <c r="P22" s="88" t="str">
        <f aca="true">IF($D22="","",IFERROR(COUNTIF(INDIRECT("'"&amp;$D22&amp;"'!$E$7:$E$500"),"Medium"),0))</f>
        <v/>
      </c>
      <c r="Q22" s="88" t="str">
        <f aca="true">IF($D22="","",IFERROR(COUNTIF(INDIRECT("'"&amp;$D22&amp;"'!$E$7:$E$500"),"Low"),0))</f>
        <v/>
      </c>
      <c r="R22" s="88" t="str">
        <f aca="true">IF($D22="","",IFERROR(COUNTIF(INDIRECT("'"&amp;$D22&amp;"'!$D$7:$D$500"),"Functional"),0))</f>
        <v/>
      </c>
      <c r="S22" s="88" t="str">
        <f aca="true">IF($D22="","",IFERROR(COUNTIF(INDIRECT("'"&amp;$D22&amp;"'!$D$7:$D$500"),"UI"),0))</f>
        <v/>
      </c>
      <c r="T22" s="88" t="str">
        <f aca="true">IF($D22="","",IFERROR(COUNTIF(INDIRECT("'"&amp;$D22&amp;"'!$D$7:$D$500"),"Integration"),0))</f>
        <v/>
      </c>
      <c r="U22" s="88" t="str">
        <f aca="true">IF($D22="","",IFERROR(COUNTIF(INDIRECT("'"&amp;$D22&amp;"'!$D$7:$D$500"),"Database Test Case"),0))</f>
        <v/>
      </c>
      <c r="V22" s="88" t="str">
        <f aca="true">IF($D22="","",IFERROR(COUNTIF(INDIRECT("'"&amp;$D22&amp;"'!$J$7:$J$500"),"AI"),0))</f>
        <v/>
      </c>
      <c r="W22" s="88" t="str">
        <f aca="true">IF($D22="","",IFERROR(COUNTIF(INDIRECT("'"&amp;$D22&amp;"'!$J$7:$J$500"),"QC"),0))</f>
        <v/>
      </c>
      <c r="X22" s="88" t="str">
        <f aca="true">IF($D22="","",IFERROR(COUNTIF(INDIRECT("'"&amp;$D22&amp;"'!$L$7:$L$500"),"Yes"),0))</f>
        <v/>
      </c>
      <c r="Y22" s="88" t="str">
        <f aca="true">IF($D22="","",IFERROR(COUNTIF(INDIRECT("'"&amp;$D22&amp;"'!$AM$7:$AM$500"),"Yes"),0))</f>
        <v/>
      </c>
      <c r="Z22" s="88" t="str">
        <f aca="true">IF($D22="","",IFERROR(COUNTIF(INDIRECT("'"&amp;$D22&amp;"'!$AN$7:$AN$500"),"Pass"),0))</f>
        <v/>
      </c>
      <c r="AA22" s="88" t="str">
        <f aca="true">IF($D22="","",IFERROR(COUNTIF(INDIRECT("'"&amp;$D22&amp;"'!$K$7:$K$500"),"Reviewed"),0))</f>
        <v/>
      </c>
      <c r="AB22" s="92" t="str">
        <f aca="true">IF($D22="","",IFERROR(SUMPRODUCT((INDIRECT("'"&amp;$D22&amp;"'!$E$7:$E$500")="High")*(INDIRECT("'"&amp;$D22&amp;"'!$AO$7:$AO$500")&lt;&gt;"")),0))</f>
        <v/>
      </c>
      <c r="AC22" s="92" t="str">
        <f aca="true">IF($D22="","",IFERROR(SUMPRODUCT((INDIRECT("'"&amp;$D22&amp;"'!$E$7:$E$500")="Medium")*(INDIRECT("'"&amp;$D22&amp;"'!$AO$7:$AO$500")&lt;&gt;"")),0))</f>
        <v/>
      </c>
      <c r="AD22" s="92" t="str">
        <f aca="true">IF($D22="","",IFERROR(SUMPRODUCT((INDIRECT("'"&amp;$D22&amp;"'!$E$7:$E$500")="Low")*(INDIRECT("'"&amp;$D22&amp;"'!$AO$7:$AO$500")&lt;&gt;"")),0))</f>
        <v/>
      </c>
      <c r="AE22" s="93" t="str">
        <f aca="true">IF($D22="","",IFERROR(COUNTIF(INDIRECT("'"&amp;$D22&amp;"'!$P$7:$P$500"),"&lt;&gt;"),0))</f>
        <v/>
      </c>
      <c r="AF22" s="93" t="str">
        <f aca="true">IF($D22="","",IFERROR(COUNTIF(INDIRECT("'"&amp;$D22&amp;"'!$P$7:$P$500"),"Pass"),0))</f>
        <v/>
      </c>
      <c r="AG22" s="93" t="str">
        <f aca="true">IF($D22="","",IFERROR(COUNTIF(INDIRECT("'"&amp;$D22&amp;"'!$P$7:$P$500"),"Fail"),0))</f>
        <v/>
      </c>
      <c r="AH22" s="93" t="str">
        <f aca="true">IF($D22="","",IFERROR(COUNTIF(INDIRECT("'"&amp;$D22&amp;"'!$P$7:$P$500"),"Block"),0))</f>
        <v/>
      </c>
      <c r="AI22" s="93" t="str">
        <f aca="true">IF($D22="","",IFERROR(COUNTIF(INDIRECT("'"&amp;$D22&amp;"'!$P$7:$P$500"),"N/A"),0))</f>
        <v/>
      </c>
      <c r="AJ22" s="93" t="str">
        <f aca="true">IF($D22="","",IFERROR(COUNTIF(INDIRECT("'"&amp;$D22&amp;"'!$U$7:$U$500"),"&lt;&gt;"),0))</f>
        <v/>
      </c>
      <c r="AK22" s="93" t="str">
        <f aca="true">IF($D22="","",IFERROR(COUNTIF(INDIRECT("'"&amp;$D22&amp;"'!$U$7:$U$500"),"Pass"),0))</f>
        <v/>
      </c>
      <c r="AL22" s="93" t="str">
        <f aca="true">IF($D22="","",IFERROR(COUNTIF(INDIRECT("'"&amp;$D22&amp;"'!$U$7:$U$500"),"Fail"),0))</f>
        <v/>
      </c>
      <c r="AM22" s="93" t="str">
        <f aca="true">IF($D22="","",IFERROR(COUNTIF(INDIRECT("'"&amp;$D22&amp;"'!$U$7:$U$500"),"Block"),0))</f>
        <v/>
      </c>
      <c r="AN22" s="93" t="str">
        <f aca="true">IF($D22="","",IFERROR(COUNTIF(INDIRECT("'"&amp;$D22&amp;"'!$U$7:$U$500"),"N/A"),0))</f>
        <v/>
      </c>
      <c r="AO22" s="93" t="str">
        <f aca="true">IF($D22="","",IFERROR(COUNTIF(INDIRECT("'"&amp;$D22&amp;"'!$Z$7:$Z$500"),"&lt;&gt;"),0))</f>
        <v/>
      </c>
      <c r="AP22" s="93" t="str">
        <f aca="true">IF($D22="","",IFERROR(COUNTIF(INDIRECT("'"&amp;$D22&amp;"'!$Z$7:$Z$500"),"Pass"),0))</f>
        <v/>
      </c>
      <c r="AQ22" s="93" t="str">
        <f aca="true">IF($D22="","",IFERROR(COUNTIF(INDIRECT("'"&amp;$D22&amp;"'!$Z$7:$Z$500"),"Fail"),0))</f>
        <v/>
      </c>
      <c r="AR22" s="93" t="str">
        <f aca="true">IF($D22="","",IFERROR(COUNTIF(INDIRECT("'"&amp;$D22&amp;"'!$Z$7:$Z$500"),"Block"),0))</f>
        <v/>
      </c>
      <c r="AS22" s="93" t="str">
        <f aca="true">IF($D22="","",IFERROR(COUNTIF(INDIRECT("'"&amp;$D22&amp;"'!$Z$7:$Z$500"),"N/A"),0))</f>
        <v/>
      </c>
      <c r="AT22" s="93" t="str">
        <f aca="true">IF($D22="","",IFERROR(COUNTIF(INDIRECT("'"&amp;$D22&amp;"'!$AE$7:$AE$500"),"&lt;&gt;"),0))</f>
        <v/>
      </c>
      <c r="AU22" s="93" t="str">
        <f aca="true">IF($D22="","",IFERROR(COUNTIF(INDIRECT("'"&amp;$D22&amp;"'!$AE$7:$AE$500"),"Pass"),0))</f>
        <v/>
      </c>
      <c r="AV22" s="93" t="str">
        <f aca="true">IF($D22="","",IFERROR(COUNTIF(INDIRECT("'"&amp;$D22&amp;"'!$AE$7:$AE$500"),"Fail"),0))</f>
        <v/>
      </c>
      <c r="AW22" s="93" t="str">
        <f aca="true">IF($D22="","",IFERROR(COUNTIF(INDIRECT("'"&amp;$D22&amp;"'!$AE$7:$AE$500"),"Block"),0))</f>
        <v/>
      </c>
      <c r="AX22" s="93" t="str">
        <f aca="true">IF($D22="","",IFERROR(COUNTIF(INDIRECT("'"&amp;$D22&amp;"'!$AE$7:$AE$500"),"N/A"),0))</f>
        <v/>
      </c>
      <c r="AY22" s="93" t="str">
        <f aca="true">IF($D22="","",IFERROR(COUNTIF(INDIRECT("'"&amp;$D22&amp;"'!$AJ$7:$AJ$500"),"&lt;&gt;"),0))</f>
        <v/>
      </c>
      <c r="AZ22" s="93" t="str">
        <f aca="true">IF($D22="","",IFERROR(COUNTIF(INDIRECT("'"&amp;$D22&amp;"'!$AJ$7:$AJ$500"),"Pass"),0))</f>
        <v/>
      </c>
      <c r="BA22" s="93" t="str">
        <f aca="true">IF($D22="","",IFERROR(COUNTIF(INDIRECT("'"&amp;$D22&amp;"'!$AJ$7:$AJ$500"),"Fail"),0))</f>
        <v/>
      </c>
      <c r="BB22" s="93" t="str">
        <f aca="true">IF($D22="","",IFERROR(COUNTIF(INDIRECT("'"&amp;$D22&amp;"'!$AJ$7:$AJ$500"),"Block"),0))</f>
        <v/>
      </c>
      <c r="BC22" s="1" t="str">
        <f aca="true">IF($D22="","",IFERROR(COUNTIF(INDIRECT("'"&amp;$D22&amp;"'!$AJ$7:$AJ$500"),"N/A"),0))</f>
        <v/>
      </c>
    </row>
    <row r="23" customFormat="false" ht="15.75" hidden="false" customHeight="true" outlineLevel="0" collapsed="false">
      <c r="B23" s="88" t="str">
        <f aca="false">IF($D23="","",ROW()-3)</f>
        <v/>
      </c>
      <c r="C23" s="89"/>
      <c r="D23" s="89"/>
      <c r="E23" s="90"/>
      <c r="F23" s="88" t="str">
        <f aca="true">IF($D23="","",IFERROR(COUNTIF(INDIRECT("'"&amp;$D23&amp;"'!$C$7:$C$500"),"?*"),0))</f>
        <v/>
      </c>
      <c r="G23" s="88" t="str">
        <f aca="true">IF($D23="","",IFERROR(COUNTIF(INDIRECT("'"&amp;$D23&amp;"'!$AO$7:$AO$500"),"Pass"),0))</f>
        <v/>
      </c>
      <c r="H23" s="88" t="str">
        <f aca="true">IF($D23="","",IFERROR(COUNTIF(INDIRECT("'"&amp;$D23&amp;"'!$AO$7:$AO$500"),"Fail"),0))</f>
        <v/>
      </c>
      <c r="I23" s="88" t="str">
        <f aca="true">IF($D23="","",IFERROR(COUNTIF(INDIRECT("'"&amp;$D23&amp;"'!$AO$7:$AO$500"),"Block"),0))</f>
        <v/>
      </c>
      <c r="J23" s="88" t="str">
        <f aca="true">IF($D23="","",IFERROR(COUNTIF(INDIRECT("'"&amp;$D23&amp;"'!$AO$7:$AO$500"),"N/A"),0))</f>
        <v/>
      </c>
      <c r="K23" s="88" t="str">
        <f aca="false">IF($D23="","",MAX(0,$F23-$G23-$H23-$I23-$J23))</f>
        <v/>
      </c>
      <c r="L23" s="88" t="str">
        <f aca="false">IF($D23="","",$G23+$H23+$I23+$J23)</f>
        <v/>
      </c>
      <c r="M23" s="91" t="str">
        <f aca="false">IF($D23="","",IFERROR($L23/$F23,0))</f>
        <v/>
      </c>
      <c r="N23" s="91" t="str">
        <f aca="false">IF($D23="","",IFERROR($G23/$L23,0))</f>
        <v/>
      </c>
      <c r="O23" s="88" t="str">
        <f aca="true">IF($D23="","",IFERROR(COUNTIF(INDIRECT("'"&amp;$D23&amp;"'!$E$7:$E$500"),"High"),0))</f>
        <v/>
      </c>
      <c r="P23" s="88" t="str">
        <f aca="true">IF($D23="","",IFERROR(COUNTIF(INDIRECT("'"&amp;$D23&amp;"'!$E$7:$E$500"),"Medium"),0))</f>
        <v/>
      </c>
      <c r="Q23" s="88" t="str">
        <f aca="true">IF($D23="","",IFERROR(COUNTIF(INDIRECT("'"&amp;$D23&amp;"'!$E$7:$E$500"),"Low"),0))</f>
        <v/>
      </c>
      <c r="R23" s="88" t="str">
        <f aca="true">IF($D23="","",IFERROR(COUNTIF(INDIRECT("'"&amp;$D23&amp;"'!$D$7:$D$500"),"Functional"),0))</f>
        <v/>
      </c>
      <c r="S23" s="88" t="str">
        <f aca="true">IF($D23="","",IFERROR(COUNTIF(INDIRECT("'"&amp;$D23&amp;"'!$D$7:$D$500"),"UI"),0))</f>
        <v/>
      </c>
      <c r="T23" s="88" t="str">
        <f aca="true">IF($D23="","",IFERROR(COUNTIF(INDIRECT("'"&amp;$D23&amp;"'!$D$7:$D$500"),"Integration"),0))</f>
        <v/>
      </c>
      <c r="U23" s="88" t="str">
        <f aca="true">IF($D23="","",IFERROR(COUNTIF(INDIRECT("'"&amp;$D23&amp;"'!$D$7:$D$500"),"Database Test Case"),0))</f>
        <v/>
      </c>
      <c r="V23" s="88" t="str">
        <f aca="true">IF($D23="","",IFERROR(COUNTIF(INDIRECT("'"&amp;$D23&amp;"'!$J$7:$J$500"),"AI"),0))</f>
        <v/>
      </c>
      <c r="W23" s="88" t="str">
        <f aca="true">IF($D23="","",IFERROR(COUNTIF(INDIRECT("'"&amp;$D23&amp;"'!$J$7:$J$500"),"QC"),0))</f>
        <v/>
      </c>
      <c r="X23" s="88" t="str">
        <f aca="true">IF($D23="","",IFERROR(COUNTIF(INDIRECT("'"&amp;$D23&amp;"'!$L$7:$L$500"),"Yes"),0))</f>
        <v/>
      </c>
      <c r="Y23" s="88" t="str">
        <f aca="true">IF($D23="","",IFERROR(COUNTIF(INDIRECT("'"&amp;$D23&amp;"'!$AM$7:$AM$500"),"Yes"),0))</f>
        <v/>
      </c>
      <c r="Z23" s="88" t="str">
        <f aca="true">IF($D23="","",IFERROR(COUNTIF(INDIRECT("'"&amp;$D23&amp;"'!$AN$7:$AN$500"),"Pass"),0))</f>
        <v/>
      </c>
      <c r="AA23" s="88" t="str">
        <f aca="true">IF($D23="","",IFERROR(COUNTIF(INDIRECT("'"&amp;$D23&amp;"'!$K$7:$K$500"),"Reviewed"),0))</f>
        <v/>
      </c>
      <c r="AB23" s="92" t="str">
        <f aca="true">IF($D23="","",IFERROR(SUMPRODUCT((INDIRECT("'"&amp;$D23&amp;"'!$E$7:$E$500")="High")*(INDIRECT("'"&amp;$D23&amp;"'!$AO$7:$AO$500")&lt;&gt;"")),0))</f>
        <v/>
      </c>
      <c r="AC23" s="92" t="str">
        <f aca="true">IF($D23="","",IFERROR(SUMPRODUCT((INDIRECT("'"&amp;$D23&amp;"'!$E$7:$E$500")="Medium")*(INDIRECT("'"&amp;$D23&amp;"'!$AO$7:$AO$500")&lt;&gt;"")),0))</f>
        <v/>
      </c>
      <c r="AD23" s="92" t="str">
        <f aca="true">IF($D23="","",IFERROR(SUMPRODUCT((INDIRECT("'"&amp;$D23&amp;"'!$E$7:$E$500")="Low")*(INDIRECT("'"&amp;$D23&amp;"'!$AO$7:$AO$500")&lt;&gt;"")),0))</f>
        <v/>
      </c>
      <c r="AE23" s="93" t="str">
        <f aca="true">IF($D23="","",IFERROR(COUNTIF(INDIRECT("'"&amp;$D23&amp;"'!$P$7:$P$500"),"&lt;&gt;"),0))</f>
        <v/>
      </c>
      <c r="AF23" s="93" t="str">
        <f aca="true">IF($D23="","",IFERROR(COUNTIF(INDIRECT("'"&amp;$D23&amp;"'!$P$7:$P$500"),"Pass"),0))</f>
        <v/>
      </c>
      <c r="AG23" s="93" t="str">
        <f aca="true">IF($D23="","",IFERROR(COUNTIF(INDIRECT("'"&amp;$D23&amp;"'!$P$7:$P$500"),"Fail"),0))</f>
        <v/>
      </c>
      <c r="AH23" s="93" t="str">
        <f aca="true">IF($D23="","",IFERROR(COUNTIF(INDIRECT("'"&amp;$D23&amp;"'!$P$7:$P$500"),"Block"),0))</f>
        <v/>
      </c>
      <c r="AI23" s="93" t="str">
        <f aca="true">IF($D23="","",IFERROR(COUNTIF(INDIRECT("'"&amp;$D23&amp;"'!$P$7:$P$500"),"N/A"),0))</f>
        <v/>
      </c>
      <c r="AJ23" s="93" t="str">
        <f aca="true">IF($D23="","",IFERROR(COUNTIF(INDIRECT("'"&amp;$D23&amp;"'!$U$7:$U$500"),"&lt;&gt;"),0))</f>
        <v/>
      </c>
      <c r="AK23" s="93" t="str">
        <f aca="true">IF($D23="","",IFERROR(COUNTIF(INDIRECT("'"&amp;$D23&amp;"'!$U$7:$U$500"),"Pass"),0))</f>
        <v/>
      </c>
      <c r="AL23" s="93" t="str">
        <f aca="true">IF($D23="","",IFERROR(COUNTIF(INDIRECT("'"&amp;$D23&amp;"'!$U$7:$U$500"),"Fail"),0))</f>
        <v/>
      </c>
      <c r="AM23" s="93" t="str">
        <f aca="true">IF($D23="","",IFERROR(COUNTIF(INDIRECT("'"&amp;$D23&amp;"'!$U$7:$U$500"),"Block"),0))</f>
        <v/>
      </c>
      <c r="AN23" s="93" t="str">
        <f aca="true">IF($D23="","",IFERROR(COUNTIF(INDIRECT("'"&amp;$D23&amp;"'!$U$7:$U$500"),"N/A"),0))</f>
        <v/>
      </c>
      <c r="AO23" s="93" t="str">
        <f aca="true">IF($D23="","",IFERROR(COUNTIF(INDIRECT("'"&amp;$D23&amp;"'!$Z$7:$Z$500"),"&lt;&gt;"),0))</f>
        <v/>
      </c>
      <c r="AP23" s="93" t="str">
        <f aca="true">IF($D23="","",IFERROR(COUNTIF(INDIRECT("'"&amp;$D23&amp;"'!$Z$7:$Z$500"),"Pass"),0))</f>
        <v/>
      </c>
      <c r="AQ23" s="93" t="str">
        <f aca="true">IF($D23="","",IFERROR(COUNTIF(INDIRECT("'"&amp;$D23&amp;"'!$Z$7:$Z$500"),"Fail"),0))</f>
        <v/>
      </c>
      <c r="AR23" s="93" t="str">
        <f aca="true">IF($D23="","",IFERROR(COUNTIF(INDIRECT("'"&amp;$D23&amp;"'!$Z$7:$Z$500"),"Block"),0))</f>
        <v/>
      </c>
      <c r="AS23" s="93" t="str">
        <f aca="true">IF($D23="","",IFERROR(COUNTIF(INDIRECT("'"&amp;$D23&amp;"'!$Z$7:$Z$500"),"N/A"),0))</f>
        <v/>
      </c>
      <c r="AT23" s="93" t="str">
        <f aca="true">IF($D23="","",IFERROR(COUNTIF(INDIRECT("'"&amp;$D23&amp;"'!$AE$7:$AE$500"),"&lt;&gt;"),0))</f>
        <v/>
      </c>
      <c r="AU23" s="93" t="str">
        <f aca="true">IF($D23="","",IFERROR(COUNTIF(INDIRECT("'"&amp;$D23&amp;"'!$AE$7:$AE$500"),"Pass"),0))</f>
        <v/>
      </c>
      <c r="AV23" s="93" t="str">
        <f aca="true">IF($D23="","",IFERROR(COUNTIF(INDIRECT("'"&amp;$D23&amp;"'!$AE$7:$AE$500"),"Fail"),0))</f>
        <v/>
      </c>
      <c r="AW23" s="93" t="str">
        <f aca="true">IF($D23="","",IFERROR(COUNTIF(INDIRECT("'"&amp;$D23&amp;"'!$AE$7:$AE$500"),"Block"),0))</f>
        <v/>
      </c>
      <c r="AX23" s="93" t="str">
        <f aca="true">IF($D23="","",IFERROR(COUNTIF(INDIRECT("'"&amp;$D23&amp;"'!$AE$7:$AE$500"),"N/A"),0))</f>
        <v/>
      </c>
      <c r="AY23" s="93" t="str">
        <f aca="true">IF($D23="","",IFERROR(COUNTIF(INDIRECT("'"&amp;$D23&amp;"'!$AJ$7:$AJ$500"),"&lt;&gt;"),0))</f>
        <v/>
      </c>
      <c r="AZ23" s="93" t="str">
        <f aca="true">IF($D23="","",IFERROR(COUNTIF(INDIRECT("'"&amp;$D23&amp;"'!$AJ$7:$AJ$500"),"Pass"),0))</f>
        <v/>
      </c>
      <c r="BA23" s="93" t="str">
        <f aca="true">IF($D23="","",IFERROR(COUNTIF(INDIRECT("'"&amp;$D23&amp;"'!$AJ$7:$AJ$500"),"Fail"),0))</f>
        <v/>
      </c>
      <c r="BB23" s="93" t="str">
        <f aca="true">IF($D23="","",IFERROR(COUNTIF(INDIRECT("'"&amp;$D23&amp;"'!$AJ$7:$AJ$500"),"Block"),0))</f>
        <v/>
      </c>
      <c r="BC23" s="1" t="str">
        <f aca="true">IF($D23="","",IFERROR(COUNTIF(INDIRECT("'"&amp;$D23&amp;"'!$AJ$7:$AJ$500"),"N/A"),0))</f>
        <v/>
      </c>
    </row>
    <row r="24" customFormat="false" ht="15.75" hidden="false" customHeight="true" outlineLevel="0" collapsed="false">
      <c r="B24" s="88" t="str">
        <f aca="false">IF($D24="","",ROW()-3)</f>
        <v/>
      </c>
      <c r="C24" s="89"/>
      <c r="D24" s="89"/>
      <c r="E24" s="90"/>
      <c r="F24" s="88" t="str">
        <f aca="true">IF($D24="","",IFERROR(COUNTIF(INDIRECT("'"&amp;$D24&amp;"'!$C$7:$C$500"),"?*"),0))</f>
        <v/>
      </c>
      <c r="G24" s="88" t="str">
        <f aca="true">IF($D24="","",IFERROR(COUNTIF(INDIRECT("'"&amp;$D24&amp;"'!$AO$7:$AO$500"),"Pass"),0))</f>
        <v/>
      </c>
      <c r="H24" s="88" t="str">
        <f aca="true">IF($D24="","",IFERROR(COUNTIF(INDIRECT("'"&amp;$D24&amp;"'!$AO$7:$AO$500"),"Fail"),0))</f>
        <v/>
      </c>
      <c r="I24" s="88" t="str">
        <f aca="true">IF($D24="","",IFERROR(COUNTIF(INDIRECT("'"&amp;$D24&amp;"'!$AO$7:$AO$500"),"Block"),0))</f>
        <v/>
      </c>
      <c r="J24" s="88" t="str">
        <f aca="true">IF($D24="","",IFERROR(COUNTIF(INDIRECT("'"&amp;$D24&amp;"'!$AO$7:$AO$500"),"N/A"),0))</f>
        <v/>
      </c>
      <c r="K24" s="88" t="str">
        <f aca="false">IF($D24="","",MAX(0,$F24-$G24-$H24-$I24-$J24))</f>
        <v/>
      </c>
      <c r="L24" s="88" t="str">
        <f aca="false">IF($D24="","",$G24+$H24+$I24+$J24)</f>
        <v/>
      </c>
      <c r="M24" s="91" t="str">
        <f aca="false">IF($D24="","",IFERROR($L24/$F24,0))</f>
        <v/>
      </c>
      <c r="N24" s="91" t="str">
        <f aca="false">IF($D24="","",IFERROR($G24/$L24,0))</f>
        <v/>
      </c>
      <c r="O24" s="88" t="str">
        <f aca="true">IF($D24="","",IFERROR(COUNTIF(INDIRECT("'"&amp;$D24&amp;"'!$E$7:$E$500"),"High"),0))</f>
        <v/>
      </c>
      <c r="P24" s="88" t="str">
        <f aca="true">IF($D24="","",IFERROR(COUNTIF(INDIRECT("'"&amp;$D24&amp;"'!$E$7:$E$500"),"Medium"),0))</f>
        <v/>
      </c>
      <c r="Q24" s="88" t="str">
        <f aca="true">IF($D24="","",IFERROR(COUNTIF(INDIRECT("'"&amp;$D24&amp;"'!$E$7:$E$500"),"Low"),0))</f>
        <v/>
      </c>
      <c r="R24" s="88" t="str">
        <f aca="true">IF($D24="","",IFERROR(COUNTIF(INDIRECT("'"&amp;$D24&amp;"'!$D$7:$D$500"),"Functional"),0))</f>
        <v/>
      </c>
      <c r="S24" s="88" t="str">
        <f aca="true">IF($D24="","",IFERROR(COUNTIF(INDIRECT("'"&amp;$D24&amp;"'!$D$7:$D$500"),"UI"),0))</f>
        <v/>
      </c>
      <c r="T24" s="88" t="str">
        <f aca="true">IF($D24="","",IFERROR(COUNTIF(INDIRECT("'"&amp;$D24&amp;"'!$D$7:$D$500"),"Integration"),0))</f>
        <v/>
      </c>
      <c r="U24" s="88" t="str">
        <f aca="true">IF($D24="","",IFERROR(COUNTIF(INDIRECT("'"&amp;$D24&amp;"'!$D$7:$D$500"),"Database Test Case"),0))</f>
        <v/>
      </c>
      <c r="V24" s="88" t="str">
        <f aca="true">IF($D24="","",IFERROR(COUNTIF(INDIRECT("'"&amp;$D24&amp;"'!$J$7:$J$500"),"AI"),0))</f>
        <v/>
      </c>
      <c r="W24" s="88" t="str">
        <f aca="true">IF($D24="","",IFERROR(COUNTIF(INDIRECT("'"&amp;$D24&amp;"'!$J$7:$J$500"),"QC"),0))</f>
        <v/>
      </c>
      <c r="X24" s="88" t="str">
        <f aca="true">IF($D24="","",IFERROR(COUNTIF(INDIRECT("'"&amp;$D24&amp;"'!$L$7:$L$500"),"Yes"),0))</f>
        <v/>
      </c>
      <c r="Y24" s="88" t="str">
        <f aca="true">IF($D24="","",IFERROR(COUNTIF(INDIRECT("'"&amp;$D24&amp;"'!$AM$7:$AM$500"),"Yes"),0))</f>
        <v/>
      </c>
      <c r="Z24" s="88" t="str">
        <f aca="true">IF($D24="","",IFERROR(COUNTIF(INDIRECT("'"&amp;$D24&amp;"'!$AN$7:$AN$500"),"Pass"),0))</f>
        <v/>
      </c>
      <c r="AA24" s="88" t="str">
        <f aca="true">IF($D24="","",IFERROR(COUNTIF(INDIRECT("'"&amp;$D24&amp;"'!$K$7:$K$500"),"Reviewed"),0))</f>
        <v/>
      </c>
      <c r="AB24" s="92" t="str">
        <f aca="true">IF($D24="","",IFERROR(SUMPRODUCT((INDIRECT("'"&amp;$D24&amp;"'!$E$7:$E$500")="High")*(INDIRECT("'"&amp;$D24&amp;"'!$AO$7:$AO$500")&lt;&gt;"")),0))</f>
        <v/>
      </c>
      <c r="AC24" s="92" t="str">
        <f aca="true">IF($D24="","",IFERROR(SUMPRODUCT((INDIRECT("'"&amp;$D24&amp;"'!$E$7:$E$500")="Medium")*(INDIRECT("'"&amp;$D24&amp;"'!$AO$7:$AO$500")&lt;&gt;"")),0))</f>
        <v/>
      </c>
      <c r="AD24" s="92" t="str">
        <f aca="true">IF($D24="","",IFERROR(SUMPRODUCT((INDIRECT("'"&amp;$D24&amp;"'!$E$7:$E$500")="Low")*(INDIRECT("'"&amp;$D24&amp;"'!$AO$7:$AO$500")&lt;&gt;"")),0))</f>
        <v/>
      </c>
      <c r="AE24" s="93" t="str">
        <f aca="true">IF($D24="","",IFERROR(COUNTIF(INDIRECT("'"&amp;$D24&amp;"'!$P$7:$P$500"),"&lt;&gt;"),0))</f>
        <v/>
      </c>
      <c r="AF24" s="93" t="str">
        <f aca="true">IF($D24="","",IFERROR(COUNTIF(INDIRECT("'"&amp;$D24&amp;"'!$P$7:$P$500"),"Pass"),0))</f>
        <v/>
      </c>
      <c r="AG24" s="93" t="str">
        <f aca="true">IF($D24="","",IFERROR(COUNTIF(INDIRECT("'"&amp;$D24&amp;"'!$P$7:$P$500"),"Fail"),0))</f>
        <v/>
      </c>
      <c r="AH24" s="93" t="str">
        <f aca="true">IF($D24="","",IFERROR(COUNTIF(INDIRECT("'"&amp;$D24&amp;"'!$P$7:$P$500"),"Block"),0))</f>
        <v/>
      </c>
      <c r="AI24" s="93" t="str">
        <f aca="true">IF($D24="","",IFERROR(COUNTIF(INDIRECT("'"&amp;$D24&amp;"'!$P$7:$P$500"),"N/A"),0))</f>
        <v/>
      </c>
      <c r="AJ24" s="93" t="str">
        <f aca="true">IF($D24="","",IFERROR(COUNTIF(INDIRECT("'"&amp;$D24&amp;"'!$U$7:$U$500"),"&lt;&gt;"),0))</f>
        <v/>
      </c>
      <c r="AK24" s="93" t="str">
        <f aca="true">IF($D24="","",IFERROR(COUNTIF(INDIRECT("'"&amp;$D24&amp;"'!$U$7:$U$500"),"Pass"),0))</f>
        <v/>
      </c>
      <c r="AL24" s="93" t="str">
        <f aca="true">IF($D24="","",IFERROR(COUNTIF(INDIRECT("'"&amp;$D24&amp;"'!$U$7:$U$500"),"Fail"),0))</f>
        <v/>
      </c>
      <c r="AM24" s="93" t="str">
        <f aca="true">IF($D24="","",IFERROR(COUNTIF(INDIRECT("'"&amp;$D24&amp;"'!$U$7:$U$500"),"Block"),0))</f>
        <v/>
      </c>
      <c r="AN24" s="93" t="str">
        <f aca="true">IF($D24="","",IFERROR(COUNTIF(INDIRECT("'"&amp;$D24&amp;"'!$U$7:$U$500"),"N/A"),0))</f>
        <v/>
      </c>
      <c r="AO24" s="93" t="str">
        <f aca="true">IF($D24="","",IFERROR(COUNTIF(INDIRECT("'"&amp;$D24&amp;"'!$Z$7:$Z$500"),"&lt;&gt;"),0))</f>
        <v/>
      </c>
      <c r="AP24" s="93" t="str">
        <f aca="true">IF($D24="","",IFERROR(COUNTIF(INDIRECT("'"&amp;$D24&amp;"'!$Z$7:$Z$500"),"Pass"),0))</f>
        <v/>
      </c>
      <c r="AQ24" s="93" t="str">
        <f aca="true">IF($D24="","",IFERROR(COUNTIF(INDIRECT("'"&amp;$D24&amp;"'!$Z$7:$Z$500"),"Fail"),0))</f>
        <v/>
      </c>
      <c r="AR24" s="93" t="str">
        <f aca="true">IF($D24="","",IFERROR(COUNTIF(INDIRECT("'"&amp;$D24&amp;"'!$Z$7:$Z$500"),"Block"),0))</f>
        <v/>
      </c>
      <c r="AS24" s="93" t="str">
        <f aca="true">IF($D24="","",IFERROR(COUNTIF(INDIRECT("'"&amp;$D24&amp;"'!$Z$7:$Z$500"),"N/A"),0))</f>
        <v/>
      </c>
      <c r="AT24" s="93" t="str">
        <f aca="true">IF($D24="","",IFERROR(COUNTIF(INDIRECT("'"&amp;$D24&amp;"'!$AE$7:$AE$500"),"&lt;&gt;"),0))</f>
        <v/>
      </c>
      <c r="AU24" s="93" t="str">
        <f aca="true">IF($D24="","",IFERROR(COUNTIF(INDIRECT("'"&amp;$D24&amp;"'!$AE$7:$AE$500"),"Pass"),0))</f>
        <v/>
      </c>
      <c r="AV24" s="93" t="str">
        <f aca="true">IF($D24="","",IFERROR(COUNTIF(INDIRECT("'"&amp;$D24&amp;"'!$AE$7:$AE$500"),"Fail"),0))</f>
        <v/>
      </c>
      <c r="AW24" s="93" t="str">
        <f aca="true">IF($D24="","",IFERROR(COUNTIF(INDIRECT("'"&amp;$D24&amp;"'!$AE$7:$AE$500"),"Block"),0))</f>
        <v/>
      </c>
      <c r="AX24" s="93" t="str">
        <f aca="true">IF($D24="","",IFERROR(COUNTIF(INDIRECT("'"&amp;$D24&amp;"'!$AE$7:$AE$500"),"N/A"),0))</f>
        <v/>
      </c>
      <c r="AY24" s="93" t="str">
        <f aca="true">IF($D24="","",IFERROR(COUNTIF(INDIRECT("'"&amp;$D24&amp;"'!$AJ$7:$AJ$500"),"&lt;&gt;"),0))</f>
        <v/>
      </c>
      <c r="AZ24" s="93" t="str">
        <f aca="true">IF($D24="","",IFERROR(COUNTIF(INDIRECT("'"&amp;$D24&amp;"'!$AJ$7:$AJ$500"),"Pass"),0))</f>
        <v/>
      </c>
      <c r="BA24" s="93" t="str">
        <f aca="true">IF($D24="","",IFERROR(COUNTIF(INDIRECT("'"&amp;$D24&amp;"'!$AJ$7:$AJ$500"),"Fail"),0))</f>
        <v/>
      </c>
      <c r="BB24" s="93" t="str">
        <f aca="true">IF($D24="","",IFERROR(COUNTIF(INDIRECT("'"&amp;$D24&amp;"'!$AJ$7:$AJ$500"),"Block"),0))</f>
        <v/>
      </c>
      <c r="BC24" s="1" t="str">
        <f aca="true">IF($D24="","",IFERROR(COUNTIF(INDIRECT("'"&amp;$D24&amp;"'!$AJ$7:$AJ$500"),"N/A"),0))</f>
        <v/>
      </c>
    </row>
    <row r="25" customFormat="false" ht="15.75" hidden="false" customHeight="true" outlineLevel="0" collapsed="false">
      <c r="B25" s="88" t="str">
        <f aca="false">IF($D25="","",ROW()-3)</f>
        <v/>
      </c>
      <c r="C25" s="89"/>
      <c r="D25" s="89"/>
      <c r="E25" s="90"/>
      <c r="F25" s="88" t="str">
        <f aca="true">IF($D25="","",IFERROR(COUNTIF(INDIRECT("'"&amp;$D25&amp;"'!$C$7:$C$500"),"?*"),0))</f>
        <v/>
      </c>
      <c r="G25" s="88" t="str">
        <f aca="true">IF($D25="","",IFERROR(COUNTIF(INDIRECT("'"&amp;$D25&amp;"'!$AO$7:$AO$500"),"Pass"),0))</f>
        <v/>
      </c>
      <c r="H25" s="88" t="str">
        <f aca="true">IF($D25="","",IFERROR(COUNTIF(INDIRECT("'"&amp;$D25&amp;"'!$AO$7:$AO$500"),"Fail"),0))</f>
        <v/>
      </c>
      <c r="I25" s="88" t="str">
        <f aca="true">IF($D25="","",IFERROR(COUNTIF(INDIRECT("'"&amp;$D25&amp;"'!$AO$7:$AO$500"),"Block"),0))</f>
        <v/>
      </c>
      <c r="J25" s="88" t="str">
        <f aca="true">IF($D25="","",IFERROR(COUNTIF(INDIRECT("'"&amp;$D25&amp;"'!$AO$7:$AO$500"),"N/A"),0))</f>
        <v/>
      </c>
      <c r="K25" s="88" t="str">
        <f aca="false">IF($D25="","",MAX(0,$F25-$G25-$H25-$I25-$J25))</f>
        <v/>
      </c>
      <c r="L25" s="88" t="str">
        <f aca="false">IF($D25="","",$G25+$H25+$I25+$J25)</f>
        <v/>
      </c>
      <c r="M25" s="91" t="str">
        <f aca="false">IF($D25="","",IFERROR($L25/$F25,0))</f>
        <v/>
      </c>
      <c r="N25" s="91" t="str">
        <f aca="false">IF($D25="","",IFERROR($G25/$L25,0))</f>
        <v/>
      </c>
      <c r="O25" s="88" t="str">
        <f aca="true">IF($D25="","",IFERROR(COUNTIF(INDIRECT("'"&amp;$D25&amp;"'!$E$7:$E$500"),"High"),0))</f>
        <v/>
      </c>
      <c r="P25" s="88" t="str">
        <f aca="true">IF($D25="","",IFERROR(COUNTIF(INDIRECT("'"&amp;$D25&amp;"'!$E$7:$E$500"),"Medium"),0))</f>
        <v/>
      </c>
      <c r="Q25" s="88" t="str">
        <f aca="true">IF($D25="","",IFERROR(COUNTIF(INDIRECT("'"&amp;$D25&amp;"'!$E$7:$E$500"),"Low"),0))</f>
        <v/>
      </c>
      <c r="R25" s="88" t="str">
        <f aca="true">IF($D25="","",IFERROR(COUNTIF(INDIRECT("'"&amp;$D25&amp;"'!$D$7:$D$500"),"Functional"),0))</f>
        <v/>
      </c>
      <c r="S25" s="88" t="str">
        <f aca="true">IF($D25="","",IFERROR(COUNTIF(INDIRECT("'"&amp;$D25&amp;"'!$D$7:$D$500"),"UI"),0))</f>
        <v/>
      </c>
      <c r="T25" s="88" t="str">
        <f aca="true">IF($D25="","",IFERROR(COUNTIF(INDIRECT("'"&amp;$D25&amp;"'!$D$7:$D$500"),"Integration"),0))</f>
        <v/>
      </c>
      <c r="U25" s="88" t="str">
        <f aca="true">IF($D25="","",IFERROR(COUNTIF(INDIRECT("'"&amp;$D25&amp;"'!$D$7:$D$500"),"Database Test Case"),0))</f>
        <v/>
      </c>
      <c r="V25" s="88" t="str">
        <f aca="true">IF($D25="","",IFERROR(COUNTIF(INDIRECT("'"&amp;$D25&amp;"'!$J$7:$J$500"),"AI"),0))</f>
        <v/>
      </c>
      <c r="W25" s="88" t="str">
        <f aca="true">IF($D25="","",IFERROR(COUNTIF(INDIRECT("'"&amp;$D25&amp;"'!$J$7:$J$500"),"QC"),0))</f>
        <v/>
      </c>
      <c r="X25" s="88" t="str">
        <f aca="true">IF($D25="","",IFERROR(COUNTIF(INDIRECT("'"&amp;$D25&amp;"'!$L$7:$L$500"),"Yes"),0))</f>
        <v/>
      </c>
      <c r="Y25" s="88" t="str">
        <f aca="true">IF($D25="","",IFERROR(COUNTIF(INDIRECT("'"&amp;$D25&amp;"'!$AM$7:$AM$500"),"Yes"),0))</f>
        <v/>
      </c>
      <c r="Z25" s="88" t="str">
        <f aca="true">IF($D25="","",IFERROR(COUNTIF(INDIRECT("'"&amp;$D25&amp;"'!$AN$7:$AN$500"),"Pass"),0))</f>
        <v/>
      </c>
      <c r="AA25" s="88" t="str">
        <f aca="true">IF($D25="","",IFERROR(COUNTIF(INDIRECT("'"&amp;$D25&amp;"'!$K$7:$K$500"),"Reviewed"),0))</f>
        <v/>
      </c>
      <c r="AB25" s="92" t="str">
        <f aca="true">IF($D25="","",IFERROR(SUMPRODUCT((INDIRECT("'"&amp;$D25&amp;"'!$E$7:$E$500")="High")*(INDIRECT("'"&amp;$D25&amp;"'!$AO$7:$AO$500")&lt;&gt;"")),0))</f>
        <v/>
      </c>
      <c r="AC25" s="92" t="str">
        <f aca="true">IF($D25="","",IFERROR(SUMPRODUCT((INDIRECT("'"&amp;$D25&amp;"'!$E$7:$E$500")="Medium")*(INDIRECT("'"&amp;$D25&amp;"'!$AO$7:$AO$500")&lt;&gt;"")),0))</f>
        <v/>
      </c>
      <c r="AD25" s="92" t="str">
        <f aca="true">IF($D25="","",IFERROR(SUMPRODUCT((INDIRECT("'"&amp;$D25&amp;"'!$E$7:$E$500")="Low")*(INDIRECT("'"&amp;$D25&amp;"'!$AO$7:$AO$500")&lt;&gt;"")),0))</f>
        <v/>
      </c>
      <c r="AE25" s="93" t="str">
        <f aca="true">IF($D25="","",IFERROR(COUNTIF(INDIRECT("'"&amp;$D25&amp;"'!$P$7:$P$500"),"&lt;&gt;"),0))</f>
        <v/>
      </c>
      <c r="AF25" s="93" t="str">
        <f aca="true">IF($D25="","",IFERROR(COUNTIF(INDIRECT("'"&amp;$D25&amp;"'!$P$7:$P$500"),"Pass"),0))</f>
        <v/>
      </c>
      <c r="AG25" s="93" t="str">
        <f aca="true">IF($D25="","",IFERROR(COUNTIF(INDIRECT("'"&amp;$D25&amp;"'!$P$7:$P$500"),"Fail"),0))</f>
        <v/>
      </c>
      <c r="AH25" s="93" t="str">
        <f aca="true">IF($D25="","",IFERROR(COUNTIF(INDIRECT("'"&amp;$D25&amp;"'!$P$7:$P$500"),"Block"),0))</f>
        <v/>
      </c>
      <c r="AI25" s="93" t="str">
        <f aca="true">IF($D25="","",IFERROR(COUNTIF(INDIRECT("'"&amp;$D25&amp;"'!$P$7:$P$500"),"N/A"),0))</f>
        <v/>
      </c>
      <c r="AJ25" s="93" t="str">
        <f aca="true">IF($D25="","",IFERROR(COUNTIF(INDIRECT("'"&amp;$D25&amp;"'!$U$7:$U$500"),"&lt;&gt;"),0))</f>
        <v/>
      </c>
      <c r="AK25" s="93" t="str">
        <f aca="true">IF($D25="","",IFERROR(COUNTIF(INDIRECT("'"&amp;$D25&amp;"'!$U$7:$U$500"),"Pass"),0))</f>
        <v/>
      </c>
      <c r="AL25" s="93" t="str">
        <f aca="true">IF($D25="","",IFERROR(COUNTIF(INDIRECT("'"&amp;$D25&amp;"'!$U$7:$U$500"),"Fail"),0))</f>
        <v/>
      </c>
      <c r="AM25" s="93" t="str">
        <f aca="true">IF($D25="","",IFERROR(COUNTIF(INDIRECT("'"&amp;$D25&amp;"'!$U$7:$U$500"),"Block"),0))</f>
        <v/>
      </c>
      <c r="AN25" s="93" t="str">
        <f aca="true">IF($D25="","",IFERROR(COUNTIF(INDIRECT("'"&amp;$D25&amp;"'!$U$7:$U$500"),"N/A"),0))</f>
        <v/>
      </c>
      <c r="AO25" s="93" t="str">
        <f aca="true">IF($D25="","",IFERROR(COUNTIF(INDIRECT("'"&amp;$D25&amp;"'!$Z$7:$Z$500"),"&lt;&gt;"),0))</f>
        <v/>
      </c>
      <c r="AP25" s="93" t="str">
        <f aca="true">IF($D25="","",IFERROR(COUNTIF(INDIRECT("'"&amp;$D25&amp;"'!$Z$7:$Z$500"),"Pass"),0))</f>
        <v/>
      </c>
      <c r="AQ25" s="93" t="str">
        <f aca="true">IF($D25="","",IFERROR(COUNTIF(INDIRECT("'"&amp;$D25&amp;"'!$Z$7:$Z$500"),"Fail"),0))</f>
        <v/>
      </c>
      <c r="AR25" s="93" t="str">
        <f aca="true">IF($D25="","",IFERROR(COUNTIF(INDIRECT("'"&amp;$D25&amp;"'!$Z$7:$Z$500"),"Block"),0))</f>
        <v/>
      </c>
      <c r="AS25" s="93" t="str">
        <f aca="true">IF($D25="","",IFERROR(COUNTIF(INDIRECT("'"&amp;$D25&amp;"'!$Z$7:$Z$500"),"N/A"),0))</f>
        <v/>
      </c>
      <c r="AT25" s="93" t="str">
        <f aca="true">IF($D25="","",IFERROR(COUNTIF(INDIRECT("'"&amp;$D25&amp;"'!$AE$7:$AE$500"),"&lt;&gt;"),0))</f>
        <v/>
      </c>
      <c r="AU25" s="93" t="str">
        <f aca="true">IF($D25="","",IFERROR(COUNTIF(INDIRECT("'"&amp;$D25&amp;"'!$AE$7:$AE$500"),"Pass"),0))</f>
        <v/>
      </c>
      <c r="AV25" s="93" t="str">
        <f aca="true">IF($D25="","",IFERROR(COUNTIF(INDIRECT("'"&amp;$D25&amp;"'!$AE$7:$AE$500"),"Fail"),0))</f>
        <v/>
      </c>
      <c r="AW25" s="93" t="str">
        <f aca="true">IF($D25="","",IFERROR(COUNTIF(INDIRECT("'"&amp;$D25&amp;"'!$AE$7:$AE$500"),"Block"),0))</f>
        <v/>
      </c>
      <c r="AX25" s="93" t="str">
        <f aca="true">IF($D25="","",IFERROR(COUNTIF(INDIRECT("'"&amp;$D25&amp;"'!$AE$7:$AE$500"),"N/A"),0))</f>
        <v/>
      </c>
      <c r="AY25" s="93" t="str">
        <f aca="true">IF($D25="","",IFERROR(COUNTIF(INDIRECT("'"&amp;$D25&amp;"'!$AJ$7:$AJ$500"),"&lt;&gt;"),0))</f>
        <v/>
      </c>
      <c r="AZ25" s="93" t="str">
        <f aca="true">IF($D25="","",IFERROR(COUNTIF(INDIRECT("'"&amp;$D25&amp;"'!$AJ$7:$AJ$500"),"Pass"),0))</f>
        <v/>
      </c>
      <c r="BA25" s="93" t="str">
        <f aca="true">IF($D25="","",IFERROR(COUNTIF(INDIRECT("'"&amp;$D25&amp;"'!$AJ$7:$AJ$500"),"Fail"),0))</f>
        <v/>
      </c>
      <c r="BB25" s="93" t="str">
        <f aca="true">IF($D25="","",IFERROR(COUNTIF(INDIRECT("'"&amp;$D25&amp;"'!$AJ$7:$AJ$500"),"Block"),0))</f>
        <v/>
      </c>
      <c r="BC25" s="1" t="str">
        <f aca="true">IF($D25="","",IFERROR(COUNTIF(INDIRECT("'"&amp;$D25&amp;"'!$AJ$7:$AJ$500"),"N/A"),0))</f>
        <v/>
      </c>
    </row>
    <row r="26" customFormat="false" ht="15.75" hidden="false" customHeight="true" outlineLevel="0" collapsed="false">
      <c r="B26" s="88" t="str">
        <f aca="false">IF($D26="","",ROW()-3)</f>
        <v/>
      </c>
      <c r="C26" s="89"/>
      <c r="D26" s="89"/>
      <c r="E26" s="90"/>
      <c r="F26" s="88" t="str">
        <f aca="true">IF($D26="","",IFERROR(COUNTIF(INDIRECT("'"&amp;$D26&amp;"'!$C$7:$C$500"),"?*"),0))</f>
        <v/>
      </c>
      <c r="G26" s="88" t="str">
        <f aca="true">IF($D26="","",IFERROR(COUNTIF(INDIRECT("'"&amp;$D26&amp;"'!$AO$7:$AO$500"),"Pass"),0))</f>
        <v/>
      </c>
      <c r="H26" s="88" t="str">
        <f aca="true">IF($D26="","",IFERROR(COUNTIF(INDIRECT("'"&amp;$D26&amp;"'!$AO$7:$AO$500"),"Fail"),0))</f>
        <v/>
      </c>
      <c r="I26" s="88" t="str">
        <f aca="true">IF($D26="","",IFERROR(COUNTIF(INDIRECT("'"&amp;$D26&amp;"'!$AO$7:$AO$500"),"Block"),0))</f>
        <v/>
      </c>
      <c r="J26" s="88" t="str">
        <f aca="true">IF($D26="","",IFERROR(COUNTIF(INDIRECT("'"&amp;$D26&amp;"'!$AO$7:$AO$500"),"N/A"),0))</f>
        <v/>
      </c>
      <c r="K26" s="88" t="str">
        <f aca="false">IF($D26="","",MAX(0,$F26-$G26-$H26-$I26-$J26))</f>
        <v/>
      </c>
      <c r="L26" s="88" t="str">
        <f aca="false">IF($D26="","",$G26+$H26+$I26+$J26)</f>
        <v/>
      </c>
      <c r="M26" s="91" t="str">
        <f aca="false">IF($D26="","",IFERROR($L26/$F26,0))</f>
        <v/>
      </c>
      <c r="N26" s="91" t="str">
        <f aca="false">IF($D26="","",IFERROR($G26/$L26,0))</f>
        <v/>
      </c>
      <c r="O26" s="88" t="str">
        <f aca="true">IF($D26="","",IFERROR(COUNTIF(INDIRECT("'"&amp;$D26&amp;"'!$E$7:$E$500"),"High"),0))</f>
        <v/>
      </c>
      <c r="P26" s="88" t="str">
        <f aca="true">IF($D26="","",IFERROR(COUNTIF(INDIRECT("'"&amp;$D26&amp;"'!$E$7:$E$500"),"Medium"),0))</f>
        <v/>
      </c>
      <c r="Q26" s="88" t="str">
        <f aca="true">IF($D26="","",IFERROR(COUNTIF(INDIRECT("'"&amp;$D26&amp;"'!$E$7:$E$500"),"Low"),0))</f>
        <v/>
      </c>
      <c r="R26" s="88" t="str">
        <f aca="true">IF($D26="","",IFERROR(COUNTIF(INDIRECT("'"&amp;$D26&amp;"'!$D$7:$D$500"),"Functional"),0))</f>
        <v/>
      </c>
      <c r="S26" s="88" t="str">
        <f aca="true">IF($D26="","",IFERROR(COUNTIF(INDIRECT("'"&amp;$D26&amp;"'!$D$7:$D$500"),"UI"),0))</f>
        <v/>
      </c>
      <c r="T26" s="88" t="str">
        <f aca="true">IF($D26="","",IFERROR(COUNTIF(INDIRECT("'"&amp;$D26&amp;"'!$D$7:$D$500"),"Integration"),0))</f>
        <v/>
      </c>
      <c r="U26" s="88" t="str">
        <f aca="true">IF($D26="","",IFERROR(COUNTIF(INDIRECT("'"&amp;$D26&amp;"'!$D$7:$D$500"),"Database Test Case"),0))</f>
        <v/>
      </c>
      <c r="V26" s="88" t="str">
        <f aca="true">IF($D26="","",IFERROR(COUNTIF(INDIRECT("'"&amp;$D26&amp;"'!$J$7:$J$500"),"AI"),0))</f>
        <v/>
      </c>
      <c r="W26" s="88" t="str">
        <f aca="true">IF($D26="","",IFERROR(COUNTIF(INDIRECT("'"&amp;$D26&amp;"'!$J$7:$J$500"),"QC"),0))</f>
        <v/>
      </c>
      <c r="X26" s="88" t="str">
        <f aca="true">IF($D26="","",IFERROR(COUNTIF(INDIRECT("'"&amp;$D26&amp;"'!$L$7:$L$500"),"Yes"),0))</f>
        <v/>
      </c>
      <c r="Y26" s="88" t="str">
        <f aca="true">IF($D26="","",IFERROR(COUNTIF(INDIRECT("'"&amp;$D26&amp;"'!$AM$7:$AM$500"),"Yes"),0))</f>
        <v/>
      </c>
      <c r="Z26" s="88" t="str">
        <f aca="true">IF($D26="","",IFERROR(COUNTIF(INDIRECT("'"&amp;$D26&amp;"'!$AN$7:$AN$500"),"Pass"),0))</f>
        <v/>
      </c>
      <c r="AA26" s="88" t="str">
        <f aca="true">IF($D26="","",IFERROR(COUNTIF(INDIRECT("'"&amp;$D26&amp;"'!$K$7:$K$500"),"Reviewed"),0))</f>
        <v/>
      </c>
      <c r="AB26" s="92" t="str">
        <f aca="true">IF($D26="","",IFERROR(SUMPRODUCT((INDIRECT("'"&amp;$D26&amp;"'!$E$7:$E$500")="High")*(INDIRECT("'"&amp;$D26&amp;"'!$AO$7:$AO$500")&lt;&gt;"")),0))</f>
        <v/>
      </c>
      <c r="AC26" s="92" t="str">
        <f aca="true">IF($D26="","",IFERROR(SUMPRODUCT((INDIRECT("'"&amp;$D26&amp;"'!$E$7:$E$500")="Medium")*(INDIRECT("'"&amp;$D26&amp;"'!$AO$7:$AO$500")&lt;&gt;"")),0))</f>
        <v/>
      </c>
      <c r="AD26" s="92" t="str">
        <f aca="true">IF($D26="","",IFERROR(SUMPRODUCT((INDIRECT("'"&amp;$D26&amp;"'!$E$7:$E$500")="Low")*(INDIRECT("'"&amp;$D26&amp;"'!$AO$7:$AO$500")&lt;&gt;"")),0))</f>
        <v/>
      </c>
      <c r="AE26" s="93" t="str">
        <f aca="true">IF($D26="","",IFERROR(COUNTIF(INDIRECT("'"&amp;$D26&amp;"'!$P$7:$P$500"),"&lt;&gt;"),0))</f>
        <v/>
      </c>
      <c r="AF26" s="93" t="str">
        <f aca="true">IF($D26="","",IFERROR(COUNTIF(INDIRECT("'"&amp;$D26&amp;"'!$P$7:$P$500"),"Pass"),0))</f>
        <v/>
      </c>
      <c r="AG26" s="93" t="str">
        <f aca="true">IF($D26="","",IFERROR(COUNTIF(INDIRECT("'"&amp;$D26&amp;"'!$P$7:$P$500"),"Fail"),0))</f>
        <v/>
      </c>
      <c r="AH26" s="93" t="str">
        <f aca="true">IF($D26="","",IFERROR(COUNTIF(INDIRECT("'"&amp;$D26&amp;"'!$P$7:$P$500"),"Block"),0))</f>
        <v/>
      </c>
      <c r="AI26" s="93" t="str">
        <f aca="true">IF($D26="","",IFERROR(COUNTIF(INDIRECT("'"&amp;$D26&amp;"'!$P$7:$P$500"),"N/A"),0))</f>
        <v/>
      </c>
      <c r="AJ26" s="93" t="str">
        <f aca="true">IF($D26="","",IFERROR(COUNTIF(INDIRECT("'"&amp;$D26&amp;"'!$U$7:$U$500"),"&lt;&gt;"),0))</f>
        <v/>
      </c>
      <c r="AK26" s="93" t="str">
        <f aca="true">IF($D26="","",IFERROR(COUNTIF(INDIRECT("'"&amp;$D26&amp;"'!$U$7:$U$500"),"Pass"),0))</f>
        <v/>
      </c>
      <c r="AL26" s="93" t="str">
        <f aca="true">IF($D26="","",IFERROR(COUNTIF(INDIRECT("'"&amp;$D26&amp;"'!$U$7:$U$500"),"Fail"),0))</f>
        <v/>
      </c>
      <c r="AM26" s="93" t="str">
        <f aca="true">IF($D26="","",IFERROR(COUNTIF(INDIRECT("'"&amp;$D26&amp;"'!$U$7:$U$500"),"Block"),0))</f>
        <v/>
      </c>
      <c r="AN26" s="93" t="str">
        <f aca="true">IF($D26="","",IFERROR(COUNTIF(INDIRECT("'"&amp;$D26&amp;"'!$U$7:$U$500"),"N/A"),0))</f>
        <v/>
      </c>
      <c r="AO26" s="93" t="str">
        <f aca="true">IF($D26="","",IFERROR(COUNTIF(INDIRECT("'"&amp;$D26&amp;"'!$Z$7:$Z$500"),"&lt;&gt;"),0))</f>
        <v/>
      </c>
      <c r="AP26" s="93" t="str">
        <f aca="true">IF($D26="","",IFERROR(COUNTIF(INDIRECT("'"&amp;$D26&amp;"'!$Z$7:$Z$500"),"Pass"),0))</f>
        <v/>
      </c>
      <c r="AQ26" s="93" t="str">
        <f aca="true">IF($D26="","",IFERROR(COUNTIF(INDIRECT("'"&amp;$D26&amp;"'!$Z$7:$Z$500"),"Fail"),0))</f>
        <v/>
      </c>
      <c r="AR26" s="93" t="str">
        <f aca="true">IF($D26="","",IFERROR(COUNTIF(INDIRECT("'"&amp;$D26&amp;"'!$Z$7:$Z$500"),"Block"),0))</f>
        <v/>
      </c>
      <c r="AS26" s="93" t="str">
        <f aca="true">IF($D26="","",IFERROR(COUNTIF(INDIRECT("'"&amp;$D26&amp;"'!$Z$7:$Z$500"),"N/A"),0))</f>
        <v/>
      </c>
      <c r="AT26" s="93" t="str">
        <f aca="true">IF($D26="","",IFERROR(COUNTIF(INDIRECT("'"&amp;$D26&amp;"'!$AE$7:$AE$500"),"&lt;&gt;"),0))</f>
        <v/>
      </c>
      <c r="AU26" s="93" t="str">
        <f aca="true">IF($D26="","",IFERROR(COUNTIF(INDIRECT("'"&amp;$D26&amp;"'!$AE$7:$AE$500"),"Pass"),0))</f>
        <v/>
      </c>
      <c r="AV26" s="93" t="str">
        <f aca="true">IF($D26="","",IFERROR(COUNTIF(INDIRECT("'"&amp;$D26&amp;"'!$AE$7:$AE$500"),"Fail"),0))</f>
        <v/>
      </c>
      <c r="AW26" s="93" t="str">
        <f aca="true">IF($D26="","",IFERROR(COUNTIF(INDIRECT("'"&amp;$D26&amp;"'!$AE$7:$AE$500"),"Block"),0))</f>
        <v/>
      </c>
      <c r="AX26" s="93" t="str">
        <f aca="true">IF($D26="","",IFERROR(COUNTIF(INDIRECT("'"&amp;$D26&amp;"'!$AE$7:$AE$500"),"N/A"),0))</f>
        <v/>
      </c>
      <c r="AY26" s="93" t="str">
        <f aca="true">IF($D26="","",IFERROR(COUNTIF(INDIRECT("'"&amp;$D26&amp;"'!$AJ$7:$AJ$500"),"&lt;&gt;"),0))</f>
        <v/>
      </c>
      <c r="AZ26" s="93" t="str">
        <f aca="true">IF($D26="","",IFERROR(COUNTIF(INDIRECT("'"&amp;$D26&amp;"'!$AJ$7:$AJ$500"),"Pass"),0))</f>
        <v/>
      </c>
      <c r="BA26" s="93" t="str">
        <f aca="true">IF($D26="","",IFERROR(COUNTIF(INDIRECT("'"&amp;$D26&amp;"'!$AJ$7:$AJ$500"),"Fail"),0))</f>
        <v/>
      </c>
      <c r="BB26" s="93" t="str">
        <f aca="true">IF($D26="","",IFERROR(COUNTIF(INDIRECT("'"&amp;$D26&amp;"'!$AJ$7:$AJ$500"),"Block"),0))</f>
        <v/>
      </c>
      <c r="BC26" s="1" t="str">
        <f aca="true">IF($D26="","",IFERROR(COUNTIF(INDIRECT("'"&amp;$D26&amp;"'!$AJ$7:$AJ$500"),"N/A"),0))</f>
        <v/>
      </c>
    </row>
    <row r="27" customFormat="false" ht="15.75" hidden="false" customHeight="true" outlineLevel="0" collapsed="false">
      <c r="B27" s="88" t="str">
        <f aca="false">IF($D27="","",ROW()-3)</f>
        <v/>
      </c>
      <c r="C27" s="89"/>
      <c r="D27" s="89"/>
      <c r="E27" s="90"/>
      <c r="F27" s="88" t="str">
        <f aca="true">IF($D27="","",IFERROR(COUNTIF(INDIRECT("'"&amp;$D27&amp;"'!$C$7:$C$500"),"?*"),0))</f>
        <v/>
      </c>
      <c r="G27" s="88" t="str">
        <f aca="true">IF($D27="","",IFERROR(COUNTIF(INDIRECT("'"&amp;$D27&amp;"'!$AO$7:$AO$500"),"Pass"),0))</f>
        <v/>
      </c>
      <c r="H27" s="88" t="str">
        <f aca="true">IF($D27="","",IFERROR(COUNTIF(INDIRECT("'"&amp;$D27&amp;"'!$AO$7:$AO$500"),"Fail"),0))</f>
        <v/>
      </c>
      <c r="I27" s="88" t="str">
        <f aca="true">IF($D27="","",IFERROR(COUNTIF(INDIRECT("'"&amp;$D27&amp;"'!$AO$7:$AO$500"),"Block"),0))</f>
        <v/>
      </c>
      <c r="J27" s="88" t="str">
        <f aca="true">IF($D27="","",IFERROR(COUNTIF(INDIRECT("'"&amp;$D27&amp;"'!$AO$7:$AO$500"),"N/A"),0))</f>
        <v/>
      </c>
      <c r="K27" s="88" t="str">
        <f aca="false">IF($D27="","",MAX(0,$F27-$G27-$H27-$I27-$J27))</f>
        <v/>
      </c>
      <c r="L27" s="88" t="str">
        <f aca="false">IF($D27="","",$G27+$H27+$I27+$J27)</f>
        <v/>
      </c>
      <c r="M27" s="91" t="str">
        <f aca="false">IF($D27="","",IFERROR($L27/$F27,0))</f>
        <v/>
      </c>
      <c r="N27" s="91" t="str">
        <f aca="false">IF($D27="","",IFERROR($G27/$L27,0))</f>
        <v/>
      </c>
      <c r="O27" s="88" t="str">
        <f aca="true">IF($D27="","",IFERROR(COUNTIF(INDIRECT("'"&amp;$D27&amp;"'!$E$7:$E$500"),"High"),0))</f>
        <v/>
      </c>
      <c r="P27" s="88" t="str">
        <f aca="true">IF($D27="","",IFERROR(COUNTIF(INDIRECT("'"&amp;$D27&amp;"'!$E$7:$E$500"),"Medium"),0))</f>
        <v/>
      </c>
      <c r="Q27" s="88" t="str">
        <f aca="true">IF($D27="","",IFERROR(COUNTIF(INDIRECT("'"&amp;$D27&amp;"'!$E$7:$E$500"),"Low"),0))</f>
        <v/>
      </c>
      <c r="R27" s="88" t="str">
        <f aca="true">IF($D27="","",IFERROR(COUNTIF(INDIRECT("'"&amp;$D27&amp;"'!$D$7:$D$500"),"Functional"),0))</f>
        <v/>
      </c>
      <c r="S27" s="88" t="str">
        <f aca="true">IF($D27="","",IFERROR(COUNTIF(INDIRECT("'"&amp;$D27&amp;"'!$D$7:$D$500"),"UI"),0))</f>
        <v/>
      </c>
      <c r="T27" s="88" t="str">
        <f aca="true">IF($D27="","",IFERROR(COUNTIF(INDIRECT("'"&amp;$D27&amp;"'!$D$7:$D$500"),"Integration"),0))</f>
        <v/>
      </c>
      <c r="U27" s="88" t="str">
        <f aca="true">IF($D27="","",IFERROR(COUNTIF(INDIRECT("'"&amp;$D27&amp;"'!$D$7:$D$500"),"Database Test Case"),0))</f>
        <v/>
      </c>
      <c r="V27" s="88" t="str">
        <f aca="true">IF($D27="","",IFERROR(COUNTIF(INDIRECT("'"&amp;$D27&amp;"'!$J$7:$J$500"),"AI"),0))</f>
        <v/>
      </c>
      <c r="W27" s="88" t="str">
        <f aca="true">IF($D27="","",IFERROR(COUNTIF(INDIRECT("'"&amp;$D27&amp;"'!$J$7:$J$500"),"QC"),0))</f>
        <v/>
      </c>
      <c r="X27" s="88" t="str">
        <f aca="true">IF($D27="","",IFERROR(COUNTIF(INDIRECT("'"&amp;$D27&amp;"'!$L$7:$L$500"),"Yes"),0))</f>
        <v/>
      </c>
      <c r="Y27" s="88" t="str">
        <f aca="true">IF($D27="","",IFERROR(COUNTIF(INDIRECT("'"&amp;$D27&amp;"'!$AM$7:$AM$500"),"Yes"),0))</f>
        <v/>
      </c>
      <c r="Z27" s="88" t="str">
        <f aca="true">IF($D27="","",IFERROR(COUNTIF(INDIRECT("'"&amp;$D27&amp;"'!$AN$7:$AN$500"),"Pass"),0))</f>
        <v/>
      </c>
      <c r="AA27" s="88" t="str">
        <f aca="true">IF($D27="","",IFERROR(COUNTIF(INDIRECT("'"&amp;$D27&amp;"'!$K$7:$K$500"),"Reviewed"),0))</f>
        <v/>
      </c>
      <c r="AB27" s="92" t="str">
        <f aca="true">IF($D27="","",IFERROR(SUMPRODUCT((INDIRECT("'"&amp;$D27&amp;"'!$E$7:$E$500")="High")*(INDIRECT("'"&amp;$D27&amp;"'!$AO$7:$AO$500")&lt;&gt;"")),0))</f>
        <v/>
      </c>
      <c r="AC27" s="92" t="str">
        <f aca="true">IF($D27="","",IFERROR(SUMPRODUCT((INDIRECT("'"&amp;$D27&amp;"'!$E$7:$E$500")="Medium")*(INDIRECT("'"&amp;$D27&amp;"'!$AO$7:$AO$500")&lt;&gt;"")),0))</f>
        <v/>
      </c>
      <c r="AD27" s="92" t="str">
        <f aca="true">IF($D27="","",IFERROR(SUMPRODUCT((INDIRECT("'"&amp;$D27&amp;"'!$E$7:$E$500")="Low")*(INDIRECT("'"&amp;$D27&amp;"'!$AO$7:$AO$500")&lt;&gt;"")),0))</f>
        <v/>
      </c>
      <c r="AE27" s="93" t="str">
        <f aca="true">IF($D27="","",IFERROR(COUNTIF(INDIRECT("'"&amp;$D27&amp;"'!$P$7:$P$500"),"&lt;&gt;"),0))</f>
        <v/>
      </c>
      <c r="AF27" s="93" t="str">
        <f aca="true">IF($D27="","",IFERROR(COUNTIF(INDIRECT("'"&amp;$D27&amp;"'!$P$7:$P$500"),"Pass"),0))</f>
        <v/>
      </c>
      <c r="AG27" s="93" t="str">
        <f aca="true">IF($D27="","",IFERROR(COUNTIF(INDIRECT("'"&amp;$D27&amp;"'!$P$7:$P$500"),"Fail"),0))</f>
        <v/>
      </c>
      <c r="AH27" s="93" t="str">
        <f aca="true">IF($D27="","",IFERROR(COUNTIF(INDIRECT("'"&amp;$D27&amp;"'!$P$7:$P$500"),"Block"),0))</f>
        <v/>
      </c>
      <c r="AI27" s="93" t="str">
        <f aca="true">IF($D27="","",IFERROR(COUNTIF(INDIRECT("'"&amp;$D27&amp;"'!$P$7:$P$500"),"N/A"),0))</f>
        <v/>
      </c>
      <c r="AJ27" s="93" t="str">
        <f aca="true">IF($D27="","",IFERROR(COUNTIF(INDIRECT("'"&amp;$D27&amp;"'!$U$7:$U$500"),"&lt;&gt;"),0))</f>
        <v/>
      </c>
      <c r="AK27" s="93" t="str">
        <f aca="true">IF($D27="","",IFERROR(COUNTIF(INDIRECT("'"&amp;$D27&amp;"'!$U$7:$U$500"),"Pass"),0))</f>
        <v/>
      </c>
      <c r="AL27" s="93" t="str">
        <f aca="true">IF($D27="","",IFERROR(COUNTIF(INDIRECT("'"&amp;$D27&amp;"'!$U$7:$U$500"),"Fail"),0))</f>
        <v/>
      </c>
      <c r="AM27" s="93" t="str">
        <f aca="true">IF($D27="","",IFERROR(COUNTIF(INDIRECT("'"&amp;$D27&amp;"'!$U$7:$U$500"),"Block"),0))</f>
        <v/>
      </c>
      <c r="AN27" s="93" t="str">
        <f aca="true">IF($D27="","",IFERROR(COUNTIF(INDIRECT("'"&amp;$D27&amp;"'!$U$7:$U$500"),"N/A"),0))</f>
        <v/>
      </c>
      <c r="AO27" s="93" t="str">
        <f aca="true">IF($D27="","",IFERROR(COUNTIF(INDIRECT("'"&amp;$D27&amp;"'!$Z$7:$Z$500"),"&lt;&gt;"),0))</f>
        <v/>
      </c>
      <c r="AP27" s="93" t="str">
        <f aca="true">IF($D27="","",IFERROR(COUNTIF(INDIRECT("'"&amp;$D27&amp;"'!$Z$7:$Z$500"),"Pass"),0))</f>
        <v/>
      </c>
      <c r="AQ27" s="93" t="str">
        <f aca="true">IF($D27="","",IFERROR(COUNTIF(INDIRECT("'"&amp;$D27&amp;"'!$Z$7:$Z$500"),"Fail"),0))</f>
        <v/>
      </c>
      <c r="AR27" s="93" t="str">
        <f aca="true">IF($D27="","",IFERROR(COUNTIF(INDIRECT("'"&amp;$D27&amp;"'!$Z$7:$Z$500"),"Block"),0))</f>
        <v/>
      </c>
      <c r="AS27" s="93" t="str">
        <f aca="true">IF($D27="","",IFERROR(COUNTIF(INDIRECT("'"&amp;$D27&amp;"'!$Z$7:$Z$500"),"N/A"),0))</f>
        <v/>
      </c>
      <c r="AT27" s="93" t="str">
        <f aca="true">IF($D27="","",IFERROR(COUNTIF(INDIRECT("'"&amp;$D27&amp;"'!$AE$7:$AE$500"),"&lt;&gt;"),0))</f>
        <v/>
      </c>
      <c r="AU27" s="93" t="str">
        <f aca="true">IF($D27="","",IFERROR(COUNTIF(INDIRECT("'"&amp;$D27&amp;"'!$AE$7:$AE$500"),"Pass"),0))</f>
        <v/>
      </c>
      <c r="AV27" s="93" t="str">
        <f aca="true">IF($D27="","",IFERROR(COUNTIF(INDIRECT("'"&amp;$D27&amp;"'!$AE$7:$AE$500"),"Fail"),0))</f>
        <v/>
      </c>
      <c r="AW27" s="93" t="str">
        <f aca="true">IF($D27="","",IFERROR(COUNTIF(INDIRECT("'"&amp;$D27&amp;"'!$AE$7:$AE$500"),"Block"),0))</f>
        <v/>
      </c>
      <c r="AX27" s="93" t="str">
        <f aca="true">IF($D27="","",IFERROR(COUNTIF(INDIRECT("'"&amp;$D27&amp;"'!$AE$7:$AE$500"),"N/A"),0))</f>
        <v/>
      </c>
      <c r="AY27" s="93" t="str">
        <f aca="true">IF($D27="","",IFERROR(COUNTIF(INDIRECT("'"&amp;$D27&amp;"'!$AJ$7:$AJ$500"),"&lt;&gt;"),0))</f>
        <v/>
      </c>
      <c r="AZ27" s="93" t="str">
        <f aca="true">IF($D27="","",IFERROR(COUNTIF(INDIRECT("'"&amp;$D27&amp;"'!$AJ$7:$AJ$500"),"Pass"),0))</f>
        <v/>
      </c>
      <c r="BA27" s="93" t="str">
        <f aca="true">IF($D27="","",IFERROR(COUNTIF(INDIRECT("'"&amp;$D27&amp;"'!$AJ$7:$AJ$500"),"Fail"),0))</f>
        <v/>
      </c>
      <c r="BB27" s="93" t="str">
        <f aca="true">IF($D27="","",IFERROR(COUNTIF(INDIRECT("'"&amp;$D27&amp;"'!$AJ$7:$AJ$500"),"Block"),0))</f>
        <v/>
      </c>
      <c r="BC27" s="1" t="str">
        <f aca="true">IF($D27="","",IFERROR(COUNTIF(INDIRECT("'"&amp;$D27&amp;"'!$AJ$7:$AJ$500"),"N/A"),0))</f>
        <v/>
      </c>
    </row>
    <row r="28" customFormat="false" ht="15.75" hidden="false" customHeight="true" outlineLevel="0" collapsed="false">
      <c r="B28" s="88" t="str">
        <f aca="false">IF($D28="","",ROW()-3)</f>
        <v/>
      </c>
      <c r="C28" s="89"/>
      <c r="D28" s="89"/>
      <c r="E28" s="90"/>
      <c r="F28" s="88" t="str">
        <f aca="true">IF($D28="","",IFERROR(COUNTIF(INDIRECT("'"&amp;$D28&amp;"'!$C$7:$C$500"),"?*"),0))</f>
        <v/>
      </c>
      <c r="G28" s="88" t="str">
        <f aca="true">IF($D28="","",IFERROR(COUNTIF(INDIRECT("'"&amp;$D28&amp;"'!$AO$7:$AO$500"),"Pass"),0))</f>
        <v/>
      </c>
      <c r="H28" s="88" t="str">
        <f aca="true">IF($D28="","",IFERROR(COUNTIF(INDIRECT("'"&amp;$D28&amp;"'!$AO$7:$AO$500"),"Fail"),0))</f>
        <v/>
      </c>
      <c r="I28" s="88" t="str">
        <f aca="true">IF($D28="","",IFERROR(COUNTIF(INDIRECT("'"&amp;$D28&amp;"'!$AO$7:$AO$500"),"Block"),0))</f>
        <v/>
      </c>
      <c r="J28" s="88" t="str">
        <f aca="true">IF($D28="","",IFERROR(COUNTIF(INDIRECT("'"&amp;$D28&amp;"'!$AO$7:$AO$500"),"N/A"),0))</f>
        <v/>
      </c>
      <c r="K28" s="88" t="str">
        <f aca="false">IF($D28="","",MAX(0,$F28-$G28-$H28-$I28-$J28))</f>
        <v/>
      </c>
      <c r="L28" s="88" t="str">
        <f aca="false">IF($D28="","",$G28+$H28+$I28+$J28)</f>
        <v/>
      </c>
      <c r="M28" s="91" t="str">
        <f aca="false">IF($D28="","",IFERROR($L28/$F28,0))</f>
        <v/>
      </c>
      <c r="N28" s="91" t="str">
        <f aca="false">IF($D28="","",IFERROR($G28/$L28,0))</f>
        <v/>
      </c>
      <c r="O28" s="88" t="str">
        <f aca="true">IF($D28="","",IFERROR(COUNTIF(INDIRECT("'"&amp;$D28&amp;"'!$E$7:$E$500"),"High"),0))</f>
        <v/>
      </c>
      <c r="P28" s="88" t="str">
        <f aca="true">IF($D28="","",IFERROR(COUNTIF(INDIRECT("'"&amp;$D28&amp;"'!$E$7:$E$500"),"Medium"),0))</f>
        <v/>
      </c>
      <c r="Q28" s="88" t="str">
        <f aca="true">IF($D28="","",IFERROR(COUNTIF(INDIRECT("'"&amp;$D28&amp;"'!$E$7:$E$500"),"Low"),0))</f>
        <v/>
      </c>
      <c r="R28" s="88" t="str">
        <f aca="true">IF($D28="","",IFERROR(COUNTIF(INDIRECT("'"&amp;$D28&amp;"'!$D$7:$D$500"),"Functional"),0))</f>
        <v/>
      </c>
      <c r="S28" s="88" t="str">
        <f aca="true">IF($D28="","",IFERROR(COUNTIF(INDIRECT("'"&amp;$D28&amp;"'!$D$7:$D$500"),"UI"),0))</f>
        <v/>
      </c>
      <c r="T28" s="88" t="str">
        <f aca="true">IF($D28="","",IFERROR(COUNTIF(INDIRECT("'"&amp;$D28&amp;"'!$D$7:$D$500"),"Integration"),0))</f>
        <v/>
      </c>
      <c r="U28" s="88" t="str">
        <f aca="true">IF($D28="","",IFERROR(COUNTIF(INDIRECT("'"&amp;$D28&amp;"'!$D$7:$D$500"),"Database Test Case"),0))</f>
        <v/>
      </c>
      <c r="V28" s="88" t="str">
        <f aca="true">IF($D28="","",IFERROR(COUNTIF(INDIRECT("'"&amp;$D28&amp;"'!$J$7:$J$500"),"AI"),0))</f>
        <v/>
      </c>
      <c r="W28" s="88" t="str">
        <f aca="true">IF($D28="","",IFERROR(COUNTIF(INDIRECT("'"&amp;$D28&amp;"'!$J$7:$J$500"),"QC"),0))</f>
        <v/>
      </c>
      <c r="X28" s="88" t="str">
        <f aca="true">IF($D28="","",IFERROR(COUNTIF(INDIRECT("'"&amp;$D28&amp;"'!$L$7:$L$500"),"Yes"),0))</f>
        <v/>
      </c>
      <c r="Y28" s="88" t="str">
        <f aca="true">IF($D28="","",IFERROR(COUNTIF(INDIRECT("'"&amp;$D28&amp;"'!$AM$7:$AM$500"),"Yes"),0))</f>
        <v/>
      </c>
      <c r="Z28" s="88" t="str">
        <f aca="true">IF($D28="","",IFERROR(COUNTIF(INDIRECT("'"&amp;$D28&amp;"'!$AN$7:$AN$500"),"Pass"),0))</f>
        <v/>
      </c>
      <c r="AA28" s="88" t="str">
        <f aca="true">IF($D28="","",IFERROR(COUNTIF(INDIRECT("'"&amp;$D28&amp;"'!$K$7:$K$500"),"Reviewed"),0))</f>
        <v/>
      </c>
      <c r="AB28" s="92" t="str">
        <f aca="true">IF($D28="","",IFERROR(SUMPRODUCT((INDIRECT("'"&amp;$D28&amp;"'!$E$7:$E$500")="High")*(INDIRECT("'"&amp;$D28&amp;"'!$AO$7:$AO$500")&lt;&gt;"")),0))</f>
        <v/>
      </c>
      <c r="AC28" s="92" t="str">
        <f aca="true">IF($D28="","",IFERROR(SUMPRODUCT((INDIRECT("'"&amp;$D28&amp;"'!$E$7:$E$500")="Medium")*(INDIRECT("'"&amp;$D28&amp;"'!$AO$7:$AO$500")&lt;&gt;"")),0))</f>
        <v/>
      </c>
      <c r="AD28" s="92" t="str">
        <f aca="true">IF($D28="","",IFERROR(SUMPRODUCT((INDIRECT("'"&amp;$D28&amp;"'!$E$7:$E$500")="Low")*(INDIRECT("'"&amp;$D28&amp;"'!$AO$7:$AO$500")&lt;&gt;"")),0))</f>
        <v/>
      </c>
      <c r="AE28" s="93" t="str">
        <f aca="true">IF($D28="","",IFERROR(COUNTIF(INDIRECT("'"&amp;$D28&amp;"'!$P$7:$P$500"),"&lt;&gt;"),0))</f>
        <v/>
      </c>
      <c r="AF28" s="93" t="str">
        <f aca="true">IF($D28="","",IFERROR(COUNTIF(INDIRECT("'"&amp;$D28&amp;"'!$P$7:$P$500"),"Pass"),0))</f>
        <v/>
      </c>
      <c r="AG28" s="93" t="str">
        <f aca="true">IF($D28="","",IFERROR(COUNTIF(INDIRECT("'"&amp;$D28&amp;"'!$P$7:$P$500"),"Fail"),0))</f>
        <v/>
      </c>
      <c r="AH28" s="93" t="str">
        <f aca="true">IF($D28="","",IFERROR(COUNTIF(INDIRECT("'"&amp;$D28&amp;"'!$P$7:$P$500"),"Block"),0))</f>
        <v/>
      </c>
      <c r="AI28" s="93" t="str">
        <f aca="true">IF($D28="","",IFERROR(COUNTIF(INDIRECT("'"&amp;$D28&amp;"'!$P$7:$P$500"),"N/A"),0))</f>
        <v/>
      </c>
      <c r="AJ28" s="93" t="str">
        <f aca="true">IF($D28="","",IFERROR(COUNTIF(INDIRECT("'"&amp;$D28&amp;"'!$U$7:$U$500"),"&lt;&gt;"),0))</f>
        <v/>
      </c>
      <c r="AK28" s="93" t="str">
        <f aca="true">IF($D28="","",IFERROR(COUNTIF(INDIRECT("'"&amp;$D28&amp;"'!$U$7:$U$500"),"Pass"),0))</f>
        <v/>
      </c>
      <c r="AL28" s="93" t="str">
        <f aca="true">IF($D28="","",IFERROR(COUNTIF(INDIRECT("'"&amp;$D28&amp;"'!$U$7:$U$500"),"Fail"),0))</f>
        <v/>
      </c>
      <c r="AM28" s="93" t="str">
        <f aca="true">IF($D28="","",IFERROR(COUNTIF(INDIRECT("'"&amp;$D28&amp;"'!$U$7:$U$500"),"Block"),0))</f>
        <v/>
      </c>
      <c r="AN28" s="93" t="str">
        <f aca="true">IF($D28="","",IFERROR(COUNTIF(INDIRECT("'"&amp;$D28&amp;"'!$U$7:$U$500"),"N/A"),0))</f>
        <v/>
      </c>
      <c r="AO28" s="93" t="str">
        <f aca="true">IF($D28="","",IFERROR(COUNTIF(INDIRECT("'"&amp;$D28&amp;"'!$Z$7:$Z$500"),"&lt;&gt;"),0))</f>
        <v/>
      </c>
      <c r="AP28" s="93" t="str">
        <f aca="true">IF($D28="","",IFERROR(COUNTIF(INDIRECT("'"&amp;$D28&amp;"'!$Z$7:$Z$500"),"Pass"),0))</f>
        <v/>
      </c>
      <c r="AQ28" s="93" t="str">
        <f aca="true">IF($D28="","",IFERROR(COUNTIF(INDIRECT("'"&amp;$D28&amp;"'!$Z$7:$Z$500"),"Fail"),0))</f>
        <v/>
      </c>
      <c r="AR28" s="93" t="str">
        <f aca="true">IF($D28="","",IFERROR(COUNTIF(INDIRECT("'"&amp;$D28&amp;"'!$Z$7:$Z$500"),"Block"),0))</f>
        <v/>
      </c>
      <c r="AS28" s="93" t="str">
        <f aca="true">IF($D28="","",IFERROR(COUNTIF(INDIRECT("'"&amp;$D28&amp;"'!$Z$7:$Z$500"),"N/A"),0))</f>
        <v/>
      </c>
      <c r="AT28" s="93" t="str">
        <f aca="true">IF($D28="","",IFERROR(COUNTIF(INDIRECT("'"&amp;$D28&amp;"'!$AE$7:$AE$500"),"&lt;&gt;"),0))</f>
        <v/>
      </c>
      <c r="AU28" s="93" t="str">
        <f aca="true">IF($D28="","",IFERROR(COUNTIF(INDIRECT("'"&amp;$D28&amp;"'!$AE$7:$AE$500"),"Pass"),0))</f>
        <v/>
      </c>
      <c r="AV28" s="93" t="str">
        <f aca="true">IF($D28="","",IFERROR(COUNTIF(INDIRECT("'"&amp;$D28&amp;"'!$AE$7:$AE$500"),"Fail"),0))</f>
        <v/>
      </c>
      <c r="AW28" s="93" t="str">
        <f aca="true">IF($D28="","",IFERROR(COUNTIF(INDIRECT("'"&amp;$D28&amp;"'!$AE$7:$AE$500"),"Block"),0))</f>
        <v/>
      </c>
      <c r="AX28" s="93" t="str">
        <f aca="true">IF($D28="","",IFERROR(COUNTIF(INDIRECT("'"&amp;$D28&amp;"'!$AE$7:$AE$500"),"N/A"),0))</f>
        <v/>
      </c>
      <c r="AY28" s="93" t="str">
        <f aca="true">IF($D28="","",IFERROR(COUNTIF(INDIRECT("'"&amp;$D28&amp;"'!$AJ$7:$AJ$500"),"&lt;&gt;"),0))</f>
        <v/>
      </c>
      <c r="AZ28" s="93" t="str">
        <f aca="true">IF($D28="","",IFERROR(COUNTIF(INDIRECT("'"&amp;$D28&amp;"'!$AJ$7:$AJ$500"),"Pass"),0))</f>
        <v/>
      </c>
      <c r="BA28" s="93" t="str">
        <f aca="true">IF($D28="","",IFERROR(COUNTIF(INDIRECT("'"&amp;$D28&amp;"'!$AJ$7:$AJ$500"),"Fail"),0))</f>
        <v/>
      </c>
      <c r="BB28" s="93" t="str">
        <f aca="true">IF($D28="","",IFERROR(COUNTIF(INDIRECT("'"&amp;$D28&amp;"'!$AJ$7:$AJ$500"),"Block"),0))</f>
        <v/>
      </c>
      <c r="BC28" s="1" t="str">
        <f aca="true">IF($D28="","",IFERROR(COUNTIF(INDIRECT("'"&amp;$D28&amp;"'!$AJ$7:$AJ$500"),"N/A"),0))</f>
        <v/>
      </c>
    </row>
    <row r="29" customFormat="false" ht="15.75" hidden="false" customHeight="true" outlineLevel="0" collapsed="false">
      <c r="B29" s="88" t="str">
        <f aca="false">IF($D29="","",ROW()-3)</f>
        <v/>
      </c>
      <c r="C29" s="89"/>
      <c r="D29" s="89"/>
      <c r="E29" s="90"/>
      <c r="F29" s="88" t="str">
        <f aca="true">IF($D29="","",IFERROR(COUNTIF(INDIRECT("'"&amp;$D29&amp;"'!$C$7:$C$500"),"?*"),0))</f>
        <v/>
      </c>
      <c r="G29" s="88" t="str">
        <f aca="true">IF($D29="","",IFERROR(COUNTIF(INDIRECT("'"&amp;$D29&amp;"'!$AO$7:$AO$500"),"Pass"),0))</f>
        <v/>
      </c>
      <c r="H29" s="88" t="str">
        <f aca="true">IF($D29="","",IFERROR(COUNTIF(INDIRECT("'"&amp;$D29&amp;"'!$AO$7:$AO$500"),"Fail"),0))</f>
        <v/>
      </c>
      <c r="I29" s="88" t="str">
        <f aca="true">IF($D29="","",IFERROR(COUNTIF(INDIRECT("'"&amp;$D29&amp;"'!$AO$7:$AO$500"),"Block"),0))</f>
        <v/>
      </c>
      <c r="J29" s="88" t="str">
        <f aca="true">IF($D29="","",IFERROR(COUNTIF(INDIRECT("'"&amp;$D29&amp;"'!$AO$7:$AO$500"),"N/A"),0))</f>
        <v/>
      </c>
      <c r="K29" s="88" t="str">
        <f aca="false">IF($D29="","",MAX(0,$F29-$G29-$H29-$I29-$J29))</f>
        <v/>
      </c>
      <c r="L29" s="88" t="str">
        <f aca="false">IF($D29="","",$G29+$H29+$I29+$J29)</f>
        <v/>
      </c>
      <c r="M29" s="91" t="str">
        <f aca="false">IF($D29="","",IFERROR($L29/$F29,0))</f>
        <v/>
      </c>
      <c r="N29" s="91" t="str">
        <f aca="false">IF($D29="","",IFERROR($G29/$L29,0))</f>
        <v/>
      </c>
      <c r="O29" s="88" t="str">
        <f aca="true">IF($D29="","",IFERROR(COUNTIF(INDIRECT("'"&amp;$D29&amp;"'!$E$7:$E$500"),"High"),0))</f>
        <v/>
      </c>
      <c r="P29" s="88" t="str">
        <f aca="true">IF($D29="","",IFERROR(COUNTIF(INDIRECT("'"&amp;$D29&amp;"'!$E$7:$E$500"),"Medium"),0))</f>
        <v/>
      </c>
      <c r="Q29" s="88" t="str">
        <f aca="true">IF($D29="","",IFERROR(COUNTIF(INDIRECT("'"&amp;$D29&amp;"'!$E$7:$E$500"),"Low"),0))</f>
        <v/>
      </c>
      <c r="R29" s="88" t="str">
        <f aca="true">IF($D29="","",IFERROR(COUNTIF(INDIRECT("'"&amp;$D29&amp;"'!$D$7:$D$500"),"Functional"),0))</f>
        <v/>
      </c>
      <c r="S29" s="88" t="str">
        <f aca="true">IF($D29="","",IFERROR(COUNTIF(INDIRECT("'"&amp;$D29&amp;"'!$D$7:$D$500"),"UI"),0))</f>
        <v/>
      </c>
      <c r="T29" s="88" t="str">
        <f aca="true">IF($D29="","",IFERROR(COUNTIF(INDIRECT("'"&amp;$D29&amp;"'!$D$7:$D$500"),"Integration"),0))</f>
        <v/>
      </c>
      <c r="U29" s="88" t="str">
        <f aca="true">IF($D29="","",IFERROR(COUNTIF(INDIRECT("'"&amp;$D29&amp;"'!$D$7:$D$500"),"Database Test Case"),0))</f>
        <v/>
      </c>
      <c r="V29" s="88" t="str">
        <f aca="true">IF($D29="","",IFERROR(COUNTIF(INDIRECT("'"&amp;$D29&amp;"'!$J$7:$J$500"),"AI"),0))</f>
        <v/>
      </c>
      <c r="W29" s="88" t="str">
        <f aca="true">IF($D29="","",IFERROR(COUNTIF(INDIRECT("'"&amp;$D29&amp;"'!$J$7:$J$500"),"QC"),0))</f>
        <v/>
      </c>
      <c r="X29" s="88" t="str">
        <f aca="true">IF($D29="","",IFERROR(COUNTIF(INDIRECT("'"&amp;$D29&amp;"'!$L$7:$L$500"),"Yes"),0))</f>
        <v/>
      </c>
      <c r="Y29" s="88" t="str">
        <f aca="true">IF($D29="","",IFERROR(COUNTIF(INDIRECT("'"&amp;$D29&amp;"'!$AM$7:$AM$500"),"Yes"),0))</f>
        <v/>
      </c>
      <c r="Z29" s="88" t="str">
        <f aca="true">IF($D29="","",IFERROR(COUNTIF(INDIRECT("'"&amp;$D29&amp;"'!$AN$7:$AN$500"),"Pass"),0))</f>
        <v/>
      </c>
      <c r="AA29" s="88" t="str">
        <f aca="true">IF($D29="","",IFERROR(COUNTIF(INDIRECT("'"&amp;$D29&amp;"'!$K$7:$K$500"),"Reviewed"),0))</f>
        <v/>
      </c>
      <c r="AB29" s="92" t="str">
        <f aca="true">IF($D29="","",IFERROR(SUMPRODUCT((INDIRECT("'"&amp;$D29&amp;"'!$E$7:$E$500")="High")*(INDIRECT("'"&amp;$D29&amp;"'!$AO$7:$AO$500")&lt;&gt;"")),0))</f>
        <v/>
      </c>
      <c r="AC29" s="92" t="str">
        <f aca="true">IF($D29="","",IFERROR(SUMPRODUCT((INDIRECT("'"&amp;$D29&amp;"'!$E$7:$E$500")="Medium")*(INDIRECT("'"&amp;$D29&amp;"'!$AO$7:$AO$500")&lt;&gt;"")),0))</f>
        <v/>
      </c>
      <c r="AD29" s="92" t="str">
        <f aca="true">IF($D29="","",IFERROR(SUMPRODUCT((INDIRECT("'"&amp;$D29&amp;"'!$E$7:$E$500")="Low")*(INDIRECT("'"&amp;$D29&amp;"'!$AO$7:$AO$500")&lt;&gt;"")),0))</f>
        <v/>
      </c>
      <c r="AE29" s="93" t="str">
        <f aca="true">IF($D29="","",IFERROR(COUNTIF(INDIRECT("'"&amp;$D29&amp;"'!$P$7:$P$500"),"&lt;&gt;"),0))</f>
        <v/>
      </c>
      <c r="AF29" s="93" t="str">
        <f aca="true">IF($D29="","",IFERROR(COUNTIF(INDIRECT("'"&amp;$D29&amp;"'!$P$7:$P$500"),"Pass"),0))</f>
        <v/>
      </c>
      <c r="AG29" s="93" t="str">
        <f aca="true">IF($D29="","",IFERROR(COUNTIF(INDIRECT("'"&amp;$D29&amp;"'!$P$7:$P$500"),"Fail"),0))</f>
        <v/>
      </c>
      <c r="AH29" s="93" t="str">
        <f aca="true">IF($D29="","",IFERROR(COUNTIF(INDIRECT("'"&amp;$D29&amp;"'!$P$7:$P$500"),"Block"),0))</f>
        <v/>
      </c>
      <c r="AI29" s="93" t="str">
        <f aca="true">IF($D29="","",IFERROR(COUNTIF(INDIRECT("'"&amp;$D29&amp;"'!$P$7:$P$500"),"N/A"),0))</f>
        <v/>
      </c>
      <c r="AJ29" s="93" t="str">
        <f aca="true">IF($D29="","",IFERROR(COUNTIF(INDIRECT("'"&amp;$D29&amp;"'!$U$7:$U$500"),"&lt;&gt;"),0))</f>
        <v/>
      </c>
      <c r="AK29" s="93" t="str">
        <f aca="true">IF($D29="","",IFERROR(COUNTIF(INDIRECT("'"&amp;$D29&amp;"'!$U$7:$U$500"),"Pass"),0))</f>
        <v/>
      </c>
      <c r="AL29" s="93" t="str">
        <f aca="true">IF($D29="","",IFERROR(COUNTIF(INDIRECT("'"&amp;$D29&amp;"'!$U$7:$U$500"),"Fail"),0))</f>
        <v/>
      </c>
      <c r="AM29" s="93" t="str">
        <f aca="true">IF($D29="","",IFERROR(COUNTIF(INDIRECT("'"&amp;$D29&amp;"'!$U$7:$U$500"),"Block"),0))</f>
        <v/>
      </c>
      <c r="AN29" s="93" t="str">
        <f aca="true">IF($D29="","",IFERROR(COUNTIF(INDIRECT("'"&amp;$D29&amp;"'!$U$7:$U$500"),"N/A"),0))</f>
        <v/>
      </c>
      <c r="AO29" s="93" t="str">
        <f aca="true">IF($D29="","",IFERROR(COUNTIF(INDIRECT("'"&amp;$D29&amp;"'!$Z$7:$Z$500"),"&lt;&gt;"),0))</f>
        <v/>
      </c>
      <c r="AP29" s="93" t="str">
        <f aca="true">IF($D29="","",IFERROR(COUNTIF(INDIRECT("'"&amp;$D29&amp;"'!$Z$7:$Z$500"),"Pass"),0))</f>
        <v/>
      </c>
      <c r="AQ29" s="93" t="str">
        <f aca="true">IF($D29="","",IFERROR(COUNTIF(INDIRECT("'"&amp;$D29&amp;"'!$Z$7:$Z$500"),"Fail"),0))</f>
        <v/>
      </c>
      <c r="AR29" s="93" t="str">
        <f aca="true">IF($D29="","",IFERROR(COUNTIF(INDIRECT("'"&amp;$D29&amp;"'!$Z$7:$Z$500"),"Block"),0))</f>
        <v/>
      </c>
      <c r="AS29" s="93" t="str">
        <f aca="true">IF($D29="","",IFERROR(COUNTIF(INDIRECT("'"&amp;$D29&amp;"'!$Z$7:$Z$500"),"N/A"),0))</f>
        <v/>
      </c>
      <c r="AT29" s="93" t="str">
        <f aca="true">IF($D29="","",IFERROR(COUNTIF(INDIRECT("'"&amp;$D29&amp;"'!$AE$7:$AE$500"),"&lt;&gt;"),0))</f>
        <v/>
      </c>
      <c r="AU29" s="93" t="str">
        <f aca="true">IF($D29="","",IFERROR(COUNTIF(INDIRECT("'"&amp;$D29&amp;"'!$AE$7:$AE$500"),"Pass"),0))</f>
        <v/>
      </c>
      <c r="AV29" s="93" t="str">
        <f aca="true">IF($D29="","",IFERROR(COUNTIF(INDIRECT("'"&amp;$D29&amp;"'!$AE$7:$AE$500"),"Fail"),0))</f>
        <v/>
      </c>
      <c r="AW29" s="93" t="str">
        <f aca="true">IF($D29="","",IFERROR(COUNTIF(INDIRECT("'"&amp;$D29&amp;"'!$AE$7:$AE$500"),"Block"),0))</f>
        <v/>
      </c>
      <c r="AX29" s="93" t="str">
        <f aca="true">IF($D29="","",IFERROR(COUNTIF(INDIRECT("'"&amp;$D29&amp;"'!$AE$7:$AE$500"),"N/A"),0))</f>
        <v/>
      </c>
      <c r="AY29" s="93" t="str">
        <f aca="true">IF($D29="","",IFERROR(COUNTIF(INDIRECT("'"&amp;$D29&amp;"'!$AJ$7:$AJ$500"),"&lt;&gt;"),0))</f>
        <v/>
      </c>
      <c r="AZ29" s="93" t="str">
        <f aca="true">IF($D29="","",IFERROR(COUNTIF(INDIRECT("'"&amp;$D29&amp;"'!$AJ$7:$AJ$500"),"Pass"),0))</f>
        <v/>
      </c>
      <c r="BA29" s="93" t="str">
        <f aca="true">IF($D29="","",IFERROR(COUNTIF(INDIRECT("'"&amp;$D29&amp;"'!$AJ$7:$AJ$500"),"Fail"),0))</f>
        <v/>
      </c>
      <c r="BB29" s="93" t="str">
        <f aca="true">IF($D29="","",IFERROR(COUNTIF(INDIRECT("'"&amp;$D29&amp;"'!$AJ$7:$AJ$500"),"Block"),0))</f>
        <v/>
      </c>
      <c r="BC29" s="1" t="str">
        <f aca="true">IF($D29="","",IFERROR(COUNTIF(INDIRECT("'"&amp;$D29&amp;"'!$AJ$7:$AJ$500"),"N/A"),0))</f>
        <v/>
      </c>
    </row>
    <row r="30" customFormat="false" ht="15.75" hidden="false" customHeight="true" outlineLevel="0" collapsed="false">
      <c r="B30" s="88" t="str">
        <f aca="false">IF($D30="","",ROW()-3)</f>
        <v/>
      </c>
      <c r="C30" s="89"/>
      <c r="D30" s="89"/>
      <c r="E30" s="90"/>
      <c r="F30" s="88" t="str">
        <f aca="true">IF($D30="","",IFERROR(COUNTIF(INDIRECT("'"&amp;$D30&amp;"'!$C$7:$C$500"),"?*"),0))</f>
        <v/>
      </c>
      <c r="G30" s="88" t="str">
        <f aca="true">IF($D30="","",IFERROR(COUNTIF(INDIRECT("'"&amp;$D30&amp;"'!$AO$7:$AO$500"),"Pass"),0))</f>
        <v/>
      </c>
      <c r="H30" s="88" t="str">
        <f aca="true">IF($D30="","",IFERROR(COUNTIF(INDIRECT("'"&amp;$D30&amp;"'!$AO$7:$AO$500"),"Fail"),0))</f>
        <v/>
      </c>
      <c r="I30" s="88" t="str">
        <f aca="true">IF($D30="","",IFERROR(COUNTIF(INDIRECT("'"&amp;$D30&amp;"'!$AO$7:$AO$500"),"Block"),0))</f>
        <v/>
      </c>
      <c r="J30" s="88" t="str">
        <f aca="true">IF($D30="","",IFERROR(COUNTIF(INDIRECT("'"&amp;$D30&amp;"'!$AO$7:$AO$500"),"N/A"),0))</f>
        <v/>
      </c>
      <c r="K30" s="88" t="str">
        <f aca="false">IF($D30="","",MAX(0,$F30-$G30-$H30-$I30-$J30))</f>
        <v/>
      </c>
      <c r="L30" s="88" t="str">
        <f aca="false">IF($D30="","",$G30+$H30+$I30+$J30)</f>
        <v/>
      </c>
      <c r="M30" s="91" t="str">
        <f aca="false">IF($D30="","",IFERROR($L30/$F30,0))</f>
        <v/>
      </c>
      <c r="N30" s="91" t="str">
        <f aca="false">IF($D30="","",IFERROR($G30/$L30,0))</f>
        <v/>
      </c>
      <c r="O30" s="88" t="str">
        <f aca="true">IF($D30="","",IFERROR(COUNTIF(INDIRECT("'"&amp;$D30&amp;"'!$E$7:$E$500"),"High"),0))</f>
        <v/>
      </c>
      <c r="P30" s="88" t="str">
        <f aca="true">IF($D30="","",IFERROR(COUNTIF(INDIRECT("'"&amp;$D30&amp;"'!$E$7:$E$500"),"Medium"),0))</f>
        <v/>
      </c>
      <c r="Q30" s="88" t="str">
        <f aca="true">IF($D30="","",IFERROR(COUNTIF(INDIRECT("'"&amp;$D30&amp;"'!$E$7:$E$500"),"Low"),0))</f>
        <v/>
      </c>
      <c r="R30" s="88" t="str">
        <f aca="true">IF($D30="","",IFERROR(COUNTIF(INDIRECT("'"&amp;$D30&amp;"'!$D$7:$D$500"),"Functional"),0))</f>
        <v/>
      </c>
      <c r="S30" s="88" t="str">
        <f aca="true">IF($D30="","",IFERROR(COUNTIF(INDIRECT("'"&amp;$D30&amp;"'!$D$7:$D$500"),"UI"),0))</f>
        <v/>
      </c>
      <c r="T30" s="88" t="str">
        <f aca="true">IF($D30="","",IFERROR(COUNTIF(INDIRECT("'"&amp;$D30&amp;"'!$D$7:$D$500"),"Integration"),0))</f>
        <v/>
      </c>
      <c r="U30" s="88" t="str">
        <f aca="true">IF($D30="","",IFERROR(COUNTIF(INDIRECT("'"&amp;$D30&amp;"'!$D$7:$D$500"),"Database Test Case"),0))</f>
        <v/>
      </c>
      <c r="V30" s="88" t="str">
        <f aca="true">IF($D30="","",IFERROR(COUNTIF(INDIRECT("'"&amp;$D30&amp;"'!$J$7:$J$500"),"AI"),0))</f>
        <v/>
      </c>
      <c r="W30" s="88" t="str">
        <f aca="true">IF($D30="","",IFERROR(COUNTIF(INDIRECT("'"&amp;$D30&amp;"'!$J$7:$J$500"),"QC"),0))</f>
        <v/>
      </c>
      <c r="X30" s="88" t="str">
        <f aca="true">IF($D30="","",IFERROR(COUNTIF(INDIRECT("'"&amp;$D30&amp;"'!$L$7:$L$500"),"Yes"),0))</f>
        <v/>
      </c>
      <c r="Y30" s="88" t="str">
        <f aca="true">IF($D30="","",IFERROR(COUNTIF(INDIRECT("'"&amp;$D30&amp;"'!$AM$7:$AM$500"),"Yes"),0))</f>
        <v/>
      </c>
      <c r="Z30" s="88" t="str">
        <f aca="true">IF($D30="","",IFERROR(COUNTIF(INDIRECT("'"&amp;$D30&amp;"'!$AN$7:$AN$500"),"Pass"),0))</f>
        <v/>
      </c>
      <c r="AA30" s="88" t="str">
        <f aca="true">IF($D30="","",IFERROR(COUNTIF(INDIRECT("'"&amp;$D30&amp;"'!$K$7:$K$500"),"Reviewed"),0))</f>
        <v/>
      </c>
      <c r="AB30" s="92" t="str">
        <f aca="true">IF($D30="","",IFERROR(SUMPRODUCT((INDIRECT("'"&amp;$D30&amp;"'!$E$7:$E$500")="High")*(INDIRECT("'"&amp;$D30&amp;"'!$AO$7:$AO$500")&lt;&gt;"")),0))</f>
        <v/>
      </c>
      <c r="AC30" s="92" t="str">
        <f aca="true">IF($D30="","",IFERROR(SUMPRODUCT((INDIRECT("'"&amp;$D30&amp;"'!$E$7:$E$500")="Medium")*(INDIRECT("'"&amp;$D30&amp;"'!$AO$7:$AO$500")&lt;&gt;"")),0))</f>
        <v/>
      </c>
      <c r="AD30" s="92" t="str">
        <f aca="true">IF($D30="","",IFERROR(SUMPRODUCT((INDIRECT("'"&amp;$D30&amp;"'!$E$7:$E$500")="Low")*(INDIRECT("'"&amp;$D30&amp;"'!$AO$7:$AO$500")&lt;&gt;"")),0))</f>
        <v/>
      </c>
      <c r="AE30" s="93" t="str">
        <f aca="true">IF($D30="","",IFERROR(COUNTIF(INDIRECT("'"&amp;$D30&amp;"'!$P$7:$P$500"),"&lt;&gt;"),0))</f>
        <v/>
      </c>
      <c r="AF30" s="93" t="str">
        <f aca="true">IF($D30="","",IFERROR(COUNTIF(INDIRECT("'"&amp;$D30&amp;"'!$P$7:$P$500"),"Pass"),0))</f>
        <v/>
      </c>
      <c r="AG30" s="93" t="str">
        <f aca="true">IF($D30="","",IFERROR(COUNTIF(INDIRECT("'"&amp;$D30&amp;"'!$P$7:$P$500"),"Fail"),0))</f>
        <v/>
      </c>
      <c r="AH30" s="93" t="str">
        <f aca="true">IF($D30="","",IFERROR(COUNTIF(INDIRECT("'"&amp;$D30&amp;"'!$P$7:$P$500"),"Block"),0))</f>
        <v/>
      </c>
      <c r="AI30" s="93" t="str">
        <f aca="true">IF($D30="","",IFERROR(COUNTIF(INDIRECT("'"&amp;$D30&amp;"'!$P$7:$P$500"),"N/A"),0))</f>
        <v/>
      </c>
      <c r="AJ30" s="93" t="str">
        <f aca="true">IF($D30="","",IFERROR(COUNTIF(INDIRECT("'"&amp;$D30&amp;"'!$U$7:$U$500"),"&lt;&gt;"),0))</f>
        <v/>
      </c>
      <c r="AK30" s="93" t="str">
        <f aca="true">IF($D30="","",IFERROR(COUNTIF(INDIRECT("'"&amp;$D30&amp;"'!$U$7:$U$500"),"Pass"),0))</f>
        <v/>
      </c>
      <c r="AL30" s="93" t="str">
        <f aca="true">IF($D30="","",IFERROR(COUNTIF(INDIRECT("'"&amp;$D30&amp;"'!$U$7:$U$500"),"Fail"),0))</f>
        <v/>
      </c>
      <c r="AM30" s="93" t="str">
        <f aca="true">IF($D30="","",IFERROR(COUNTIF(INDIRECT("'"&amp;$D30&amp;"'!$U$7:$U$500"),"Block"),0))</f>
        <v/>
      </c>
      <c r="AN30" s="93" t="str">
        <f aca="true">IF($D30="","",IFERROR(COUNTIF(INDIRECT("'"&amp;$D30&amp;"'!$U$7:$U$500"),"N/A"),0))</f>
        <v/>
      </c>
      <c r="AO30" s="93" t="str">
        <f aca="true">IF($D30="","",IFERROR(COUNTIF(INDIRECT("'"&amp;$D30&amp;"'!$Z$7:$Z$500"),"&lt;&gt;"),0))</f>
        <v/>
      </c>
      <c r="AP30" s="93" t="str">
        <f aca="true">IF($D30="","",IFERROR(COUNTIF(INDIRECT("'"&amp;$D30&amp;"'!$Z$7:$Z$500"),"Pass"),0))</f>
        <v/>
      </c>
      <c r="AQ30" s="93" t="str">
        <f aca="true">IF($D30="","",IFERROR(COUNTIF(INDIRECT("'"&amp;$D30&amp;"'!$Z$7:$Z$500"),"Fail"),0))</f>
        <v/>
      </c>
      <c r="AR30" s="93" t="str">
        <f aca="true">IF($D30="","",IFERROR(COUNTIF(INDIRECT("'"&amp;$D30&amp;"'!$Z$7:$Z$500"),"Block"),0))</f>
        <v/>
      </c>
      <c r="AS30" s="93" t="str">
        <f aca="true">IF($D30="","",IFERROR(COUNTIF(INDIRECT("'"&amp;$D30&amp;"'!$Z$7:$Z$500"),"N/A"),0))</f>
        <v/>
      </c>
      <c r="AT30" s="93" t="str">
        <f aca="true">IF($D30="","",IFERROR(COUNTIF(INDIRECT("'"&amp;$D30&amp;"'!$AE$7:$AE$500"),"&lt;&gt;"),0))</f>
        <v/>
      </c>
      <c r="AU30" s="93" t="str">
        <f aca="true">IF($D30="","",IFERROR(COUNTIF(INDIRECT("'"&amp;$D30&amp;"'!$AE$7:$AE$500"),"Pass"),0))</f>
        <v/>
      </c>
      <c r="AV30" s="93" t="str">
        <f aca="true">IF($D30="","",IFERROR(COUNTIF(INDIRECT("'"&amp;$D30&amp;"'!$AE$7:$AE$500"),"Fail"),0))</f>
        <v/>
      </c>
      <c r="AW30" s="93" t="str">
        <f aca="true">IF($D30="","",IFERROR(COUNTIF(INDIRECT("'"&amp;$D30&amp;"'!$AE$7:$AE$500"),"Block"),0))</f>
        <v/>
      </c>
      <c r="AX30" s="93" t="str">
        <f aca="true">IF($D30="","",IFERROR(COUNTIF(INDIRECT("'"&amp;$D30&amp;"'!$AE$7:$AE$500"),"N/A"),0))</f>
        <v/>
      </c>
      <c r="AY30" s="93" t="str">
        <f aca="true">IF($D30="","",IFERROR(COUNTIF(INDIRECT("'"&amp;$D30&amp;"'!$AJ$7:$AJ$500"),"&lt;&gt;"),0))</f>
        <v/>
      </c>
      <c r="AZ30" s="93" t="str">
        <f aca="true">IF($D30="","",IFERROR(COUNTIF(INDIRECT("'"&amp;$D30&amp;"'!$AJ$7:$AJ$500"),"Pass"),0))</f>
        <v/>
      </c>
      <c r="BA30" s="93" t="str">
        <f aca="true">IF($D30="","",IFERROR(COUNTIF(INDIRECT("'"&amp;$D30&amp;"'!$AJ$7:$AJ$500"),"Fail"),0))</f>
        <v/>
      </c>
      <c r="BB30" s="93" t="str">
        <f aca="true">IF($D30="","",IFERROR(COUNTIF(INDIRECT("'"&amp;$D30&amp;"'!$AJ$7:$AJ$500"),"Block"),0))</f>
        <v/>
      </c>
      <c r="BC30" s="1" t="str">
        <f aca="true">IF($D30="","",IFERROR(COUNTIF(INDIRECT("'"&amp;$D30&amp;"'!$AJ$7:$AJ$500"),"N/A"),0))</f>
        <v/>
      </c>
    </row>
    <row r="31" customFormat="false" ht="15.75" hidden="false" customHeight="true" outlineLevel="0" collapsed="false">
      <c r="B31" s="88" t="str">
        <f aca="false">IF($D31="","",ROW()-3)</f>
        <v/>
      </c>
      <c r="C31" s="89"/>
      <c r="D31" s="89"/>
      <c r="E31" s="90"/>
      <c r="F31" s="88" t="str">
        <f aca="true">IF($D31="","",IFERROR(COUNTIF(INDIRECT("'"&amp;$D31&amp;"'!$C$7:$C$500"),"?*"),0))</f>
        <v/>
      </c>
      <c r="G31" s="88" t="str">
        <f aca="true">IF($D31="","",IFERROR(COUNTIF(INDIRECT("'"&amp;$D31&amp;"'!$AO$7:$AO$500"),"Pass"),0))</f>
        <v/>
      </c>
      <c r="H31" s="88" t="str">
        <f aca="true">IF($D31="","",IFERROR(COUNTIF(INDIRECT("'"&amp;$D31&amp;"'!$AO$7:$AO$500"),"Fail"),0))</f>
        <v/>
      </c>
      <c r="I31" s="88" t="str">
        <f aca="true">IF($D31="","",IFERROR(COUNTIF(INDIRECT("'"&amp;$D31&amp;"'!$AO$7:$AO$500"),"Block"),0))</f>
        <v/>
      </c>
      <c r="J31" s="88" t="str">
        <f aca="true">IF($D31="","",IFERROR(COUNTIF(INDIRECT("'"&amp;$D31&amp;"'!$AO$7:$AO$500"),"N/A"),0))</f>
        <v/>
      </c>
      <c r="K31" s="88" t="str">
        <f aca="false">IF($D31="","",MAX(0,$F31-$G31-$H31-$I31-$J31))</f>
        <v/>
      </c>
      <c r="L31" s="88" t="str">
        <f aca="false">IF($D31="","",$G31+$H31+$I31+$J31)</f>
        <v/>
      </c>
      <c r="M31" s="91" t="str">
        <f aca="false">IF($D31="","",IFERROR($L31/$F31,0))</f>
        <v/>
      </c>
      <c r="N31" s="91" t="str">
        <f aca="false">IF($D31="","",IFERROR($G31/$L31,0))</f>
        <v/>
      </c>
      <c r="O31" s="88" t="str">
        <f aca="true">IF($D31="","",IFERROR(COUNTIF(INDIRECT("'"&amp;$D31&amp;"'!$E$7:$E$500"),"High"),0))</f>
        <v/>
      </c>
      <c r="P31" s="88" t="str">
        <f aca="true">IF($D31="","",IFERROR(COUNTIF(INDIRECT("'"&amp;$D31&amp;"'!$E$7:$E$500"),"Medium"),0))</f>
        <v/>
      </c>
      <c r="Q31" s="88" t="str">
        <f aca="true">IF($D31="","",IFERROR(COUNTIF(INDIRECT("'"&amp;$D31&amp;"'!$E$7:$E$500"),"Low"),0))</f>
        <v/>
      </c>
      <c r="R31" s="88" t="str">
        <f aca="true">IF($D31="","",IFERROR(COUNTIF(INDIRECT("'"&amp;$D31&amp;"'!$D$7:$D$500"),"Functional"),0))</f>
        <v/>
      </c>
      <c r="S31" s="88" t="str">
        <f aca="true">IF($D31="","",IFERROR(COUNTIF(INDIRECT("'"&amp;$D31&amp;"'!$D$7:$D$500"),"UI"),0))</f>
        <v/>
      </c>
      <c r="T31" s="88" t="str">
        <f aca="true">IF($D31="","",IFERROR(COUNTIF(INDIRECT("'"&amp;$D31&amp;"'!$D$7:$D$500"),"Integration"),0))</f>
        <v/>
      </c>
      <c r="U31" s="88" t="str">
        <f aca="true">IF($D31="","",IFERROR(COUNTIF(INDIRECT("'"&amp;$D31&amp;"'!$D$7:$D$500"),"Database Test Case"),0))</f>
        <v/>
      </c>
      <c r="V31" s="88" t="str">
        <f aca="true">IF($D31="","",IFERROR(COUNTIF(INDIRECT("'"&amp;$D31&amp;"'!$J$7:$J$500"),"AI"),0))</f>
        <v/>
      </c>
      <c r="W31" s="88" t="str">
        <f aca="true">IF($D31="","",IFERROR(COUNTIF(INDIRECT("'"&amp;$D31&amp;"'!$J$7:$J$500"),"QC"),0))</f>
        <v/>
      </c>
      <c r="X31" s="88" t="str">
        <f aca="true">IF($D31="","",IFERROR(COUNTIF(INDIRECT("'"&amp;$D31&amp;"'!$L$7:$L$500"),"Yes"),0))</f>
        <v/>
      </c>
      <c r="Y31" s="88" t="str">
        <f aca="true">IF($D31="","",IFERROR(COUNTIF(INDIRECT("'"&amp;$D31&amp;"'!$AM$7:$AM$500"),"Yes"),0))</f>
        <v/>
      </c>
      <c r="Z31" s="88" t="str">
        <f aca="true">IF($D31="","",IFERROR(COUNTIF(INDIRECT("'"&amp;$D31&amp;"'!$AN$7:$AN$500"),"Pass"),0))</f>
        <v/>
      </c>
      <c r="AA31" s="88" t="str">
        <f aca="true">IF($D31="","",IFERROR(COUNTIF(INDIRECT("'"&amp;$D31&amp;"'!$K$7:$K$500"),"Reviewed"),0))</f>
        <v/>
      </c>
      <c r="AB31" s="92" t="str">
        <f aca="true">IF($D31="","",IFERROR(SUMPRODUCT((INDIRECT("'"&amp;$D31&amp;"'!$E$7:$E$500")="High")*(INDIRECT("'"&amp;$D31&amp;"'!$AO$7:$AO$500")&lt;&gt;"")),0))</f>
        <v/>
      </c>
      <c r="AC31" s="92" t="str">
        <f aca="true">IF($D31="","",IFERROR(SUMPRODUCT((INDIRECT("'"&amp;$D31&amp;"'!$E$7:$E$500")="Medium")*(INDIRECT("'"&amp;$D31&amp;"'!$AO$7:$AO$500")&lt;&gt;"")),0))</f>
        <v/>
      </c>
      <c r="AD31" s="92" t="str">
        <f aca="true">IF($D31="","",IFERROR(SUMPRODUCT((INDIRECT("'"&amp;$D31&amp;"'!$E$7:$E$500")="Low")*(INDIRECT("'"&amp;$D31&amp;"'!$AO$7:$AO$500")&lt;&gt;"")),0))</f>
        <v/>
      </c>
      <c r="AE31" s="93" t="str">
        <f aca="true">IF($D31="","",IFERROR(COUNTIF(INDIRECT("'"&amp;$D31&amp;"'!$P$7:$P$500"),"&lt;&gt;"),0))</f>
        <v/>
      </c>
      <c r="AF31" s="93" t="str">
        <f aca="true">IF($D31="","",IFERROR(COUNTIF(INDIRECT("'"&amp;$D31&amp;"'!$P$7:$P$500"),"Pass"),0))</f>
        <v/>
      </c>
      <c r="AG31" s="93" t="str">
        <f aca="true">IF($D31="","",IFERROR(COUNTIF(INDIRECT("'"&amp;$D31&amp;"'!$P$7:$P$500"),"Fail"),0))</f>
        <v/>
      </c>
      <c r="AH31" s="93" t="str">
        <f aca="true">IF($D31="","",IFERROR(COUNTIF(INDIRECT("'"&amp;$D31&amp;"'!$P$7:$P$500"),"Block"),0))</f>
        <v/>
      </c>
      <c r="AI31" s="93" t="str">
        <f aca="true">IF($D31="","",IFERROR(COUNTIF(INDIRECT("'"&amp;$D31&amp;"'!$P$7:$P$500"),"N/A"),0))</f>
        <v/>
      </c>
      <c r="AJ31" s="93" t="str">
        <f aca="true">IF($D31="","",IFERROR(COUNTIF(INDIRECT("'"&amp;$D31&amp;"'!$U$7:$U$500"),"&lt;&gt;"),0))</f>
        <v/>
      </c>
      <c r="AK31" s="93" t="str">
        <f aca="true">IF($D31="","",IFERROR(COUNTIF(INDIRECT("'"&amp;$D31&amp;"'!$U$7:$U$500"),"Pass"),0))</f>
        <v/>
      </c>
      <c r="AL31" s="93" t="str">
        <f aca="true">IF($D31="","",IFERROR(COUNTIF(INDIRECT("'"&amp;$D31&amp;"'!$U$7:$U$500"),"Fail"),0))</f>
        <v/>
      </c>
      <c r="AM31" s="93" t="str">
        <f aca="true">IF($D31="","",IFERROR(COUNTIF(INDIRECT("'"&amp;$D31&amp;"'!$U$7:$U$500"),"Block"),0))</f>
        <v/>
      </c>
      <c r="AN31" s="93" t="str">
        <f aca="true">IF($D31="","",IFERROR(COUNTIF(INDIRECT("'"&amp;$D31&amp;"'!$U$7:$U$500"),"N/A"),0))</f>
        <v/>
      </c>
      <c r="AO31" s="93" t="str">
        <f aca="true">IF($D31="","",IFERROR(COUNTIF(INDIRECT("'"&amp;$D31&amp;"'!$Z$7:$Z$500"),"&lt;&gt;"),0))</f>
        <v/>
      </c>
      <c r="AP31" s="93" t="str">
        <f aca="true">IF($D31="","",IFERROR(COUNTIF(INDIRECT("'"&amp;$D31&amp;"'!$Z$7:$Z$500"),"Pass"),0))</f>
        <v/>
      </c>
      <c r="AQ31" s="93" t="str">
        <f aca="true">IF($D31="","",IFERROR(COUNTIF(INDIRECT("'"&amp;$D31&amp;"'!$Z$7:$Z$500"),"Fail"),0))</f>
        <v/>
      </c>
      <c r="AR31" s="93" t="str">
        <f aca="true">IF($D31="","",IFERROR(COUNTIF(INDIRECT("'"&amp;$D31&amp;"'!$Z$7:$Z$500"),"Block"),0))</f>
        <v/>
      </c>
      <c r="AS31" s="93" t="str">
        <f aca="true">IF($D31="","",IFERROR(COUNTIF(INDIRECT("'"&amp;$D31&amp;"'!$Z$7:$Z$500"),"N/A"),0))</f>
        <v/>
      </c>
      <c r="AT31" s="93" t="str">
        <f aca="true">IF($D31="","",IFERROR(COUNTIF(INDIRECT("'"&amp;$D31&amp;"'!$AE$7:$AE$500"),"&lt;&gt;"),0))</f>
        <v/>
      </c>
      <c r="AU31" s="93" t="str">
        <f aca="true">IF($D31="","",IFERROR(COUNTIF(INDIRECT("'"&amp;$D31&amp;"'!$AE$7:$AE$500"),"Pass"),0))</f>
        <v/>
      </c>
      <c r="AV31" s="93" t="str">
        <f aca="true">IF($D31="","",IFERROR(COUNTIF(INDIRECT("'"&amp;$D31&amp;"'!$AE$7:$AE$500"),"Fail"),0))</f>
        <v/>
      </c>
      <c r="AW31" s="93" t="str">
        <f aca="true">IF($D31="","",IFERROR(COUNTIF(INDIRECT("'"&amp;$D31&amp;"'!$AE$7:$AE$500"),"Block"),0))</f>
        <v/>
      </c>
      <c r="AX31" s="93" t="str">
        <f aca="true">IF($D31="","",IFERROR(COUNTIF(INDIRECT("'"&amp;$D31&amp;"'!$AE$7:$AE$500"),"N/A"),0))</f>
        <v/>
      </c>
      <c r="AY31" s="93" t="str">
        <f aca="true">IF($D31="","",IFERROR(COUNTIF(INDIRECT("'"&amp;$D31&amp;"'!$AJ$7:$AJ$500"),"&lt;&gt;"),0))</f>
        <v/>
      </c>
      <c r="AZ31" s="93" t="str">
        <f aca="true">IF($D31="","",IFERROR(COUNTIF(INDIRECT("'"&amp;$D31&amp;"'!$AJ$7:$AJ$500"),"Pass"),0))</f>
        <v/>
      </c>
      <c r="BA31" s="93" t="str">
        <f aca="true">IF($D31="","",IFERROR(COUNTIF(INDIRECT("'"&amp;$D31&amp;"'!$AJ$7:$AJ$500"),"Fail"),0))</f>
        <v/>
      </c>
      <c r="BB31" s="93" t="str">
        <f aca="true">IF($D31="","",IFERROR(COUNTIF(INDIRECT("'"&amp;$D31&amp;"'!$AJ$7:$AJ$500"),"Block"),0))</f>
        <v/>
      </c>
      <c r="BC31" s="1" t="str">
        <f aca="true">IF($D31="","",IFERROR(COUNTIF(INDIRECT("'"&amp;$D31&amp;"'!$AJ$7:$AJ$500"),"N/A"),0))</f>
        <v/>
      </c>
    </row>
    <row r="32" customFormat="false" ht="15.75" hidden="false" customHeight="true" outlineLevel="0" collapsed="false">
      <c r="B32" s="88" t="str">
        <f aca="false">IF($D32="","",ROW()-3)</f>
        <v/>
      </c>
      <c r="C32" s="89"/>
      <c r="D32" s="89"/>
      <c r="E32" s="90"/>
      <c r="F32" s="88" t="str">
        <f aca="true">IF($D32="","",IFERROR(COUNTIF(INDIRECT("'"&amp;$D32&amp;"'!$C$7:$C$500"),"?*"),0))</f>
        <v/>
      </c>
      <c r="G32" s="88" t="str">
        <f aca="true">IF($D32="","",IFERROR(COUNTIF(INDIRECT("'"&amp;$D32&amp;"'!$AO$7:$AO$500"),"Pass"),0))</f>
        <v/>
      </c>
      <c r="H32" s="88" t="str">
        <f aca="true">IF($D32="","",IFERROR(COUNTIF(INDIRECT("'"&amp;$D32&amp;"'!$AO$7:$AO$500"),"Fail"),0))</f>
        <v/>
      </c>
      <c r="I32" s="88" t="str">
        <f aca="true">IF($D32="","",IFERROR(COUNTIF(INDIRECT("'"&amp;$D32&amp;"'!$AO$7:$AO$500"),"Block"),0))</f>
        <v/>
      </c>
      <c r="J32" s="88" t="str">
        <f aca="true">IF($D32="","",IFERROR(COUNTIF(INDIRECT("'"&amp;$D32&amp;"'!$AO$7:$AO$500"),"N/A"),0))</f>
        <v/>
      </c>
      <c r="K32" s="88" t="str">
        <f aca="false">IF($D32="","",MAX(0,$F32-$G32-$H32-$I32-$J32))</f>
        <v/>
      </c>
      <c r="L32" s="88" t="str">
        <f aca="false">IF($D32="","",$G32+$H32+$I32+$J32)</f>
        <v/>
      </c>
      <c r="M32" s="91" t="str">
        <f aca="false">IF($D32="","",IFERROR($L32/$F32,0))</f>
        <v/>
      </c>
      <c r="N32" s="91" t="str">
        <f aca="false">IF($D32="","",IFERROR($G32/$L32,0))</f>
        <v/>
      </c>
      <c r="O32" s="88" t="str">
        <f aca="true">IF($D32="","",IFERROR(COUNTIF(INDIRECT("'"&amp;$D32&amp;"'!$E$7:$E$500"),"High"),0))</f>
        <v/>
      </c>
      <c r="P32" s="88" t="str">
        <f aca="true">IF($D32="","",IFERROR(COUNTIF(INDIRECT("'"&amp;$D32&amp;"'!$E$7:$E$500"),"Medium"),0))</f>
        <v/>
      </c>
      <c r="Q32" s="88" t="str">
        <f aca="true">IF($D32="","",IFERROR(COUNTIF(INDIRECT("'"&amp;$D32&amp;"'!$E$7:$E$500"),"Low"),0))</f>
        <v/>
      </c>
      <c r="R32" s="88" t="str">
        <f aca="true">IF($D32="","",IFERROR(COUNTIF(INDIRECT("'"&amp;$D32&amp;"'!$D$7:$D$500"),"Functional"),0))</f>
        <v/>
      </c>
      <c r="S32" s="88" t="str">
        <f aca="true">IF($D32="","",IFERROR(COUNTIF(INDIRECT("'"&amp;$D32&amp;"'!$D$7:$D$500"),"UI"),0))</f>
        <v/>
      </c>
      <c r="T32" s="88" t="str">
        <f aca="true">IF($D32="","",IFERROR(COUNTIF(INDIRECT("'"&amp;$D32&amp;"'!$D$7:$D$500"),"Integration"),0))</f>
        <v/>
      </c>
      <c r="U32" s="88" t="str">
        <f aca="true">IF($D32="","",IFERROR(COUNTIF(INDIRECT("'"&amp;$D32&amp;"'!$D$7:$D$500"),"Database Test Case"),0))</f>
        <v/>
      </c>
      <c r="V32" s="88" t="str">
        <f aca="true">IF($D32="","",IFERROR(COUNTIF(INDIRECT("'"&amp;$D32&amp;"'!$J$7:$J$500"),"AI"),0))</f>
        <v/>
      </c>
      <c r="W32" s="88" t="str">
        <f aca="true">IF($D32="","",IFERROR(COUNTIF(INDIRECT("'"&amp;$D32&amp;"'!$J$7:$J$500"),"QC"),0))</f>
        <v/>
      </c>
      <c r="X32" s="88" t="str">
        <f aca="true">IF($D32="","",IFERROR(COUNTIF(INDIRECT("'"&amp;$D32&amp;"'!$L$7:$L$500"),"Yes"),0))</f>
        <v/>
      </c>
      <c r="Y32" s="88" t="str">
        <f aca="true">IF($D32="","",IFERROR(COUNTIF(INDIRECT("'"&amp;$D32&amp;"'!$AM$7:$AM$500"),"Yes"),0))</f>
        <v/>
      </c>
      <c r="Z32" s="88" t="str">
        <f aca="true">IF($D32="","",IFERROR(COUNTIF(INDIRECT("'"&amp;$D32&amp;"'!$AN$7:$AN$500"),"Pass"),0))</f>
        <v/>
      </c>
      <c r="AA32" s="88" t="str">
        <f aca="true">IF($D32="","",IFERROR(COUNTIF(INDIRECT("'"&amp;$D32&amp;"'!$K$7:$K$500"),"Reviewed"),0))</f>
        <v/>
      </c>
      <c r="AB32" s="92" t="str">
        <f aca="true">IF($D32="","",IFERROR(SUMPRODUCT((INDIRECT("'"&amp;$D32&amp;"'!$E$7:$E$500")="High")*(INDIRECT("'"&amp;$D32&amp;"'!$AO$7:$AO$500")&lt;&gt;"")),0))</f>
        <v/>
      </c>
      <c r="AC32" s="92" t="str">
        <f aca="true">IF($D32="","",IFERROR(SUMPRODUCT((INDIRECT("'"&amp;$D32&amp;"'!$E$7:$E$500")="Medium")*(INDIRECT("'"&amp;$D32&amp;"'!$AO$7:$AO$500")&lt;&gt;"")),0))</f>
        <v/>
      </c>
      <c r="AD32" s="92" t="str">
        <f aca="true">IF($D32="","",IFERROR(SUMPRODUCT((INDIRECT("'"&amp;$D32&amp;"'!$E$7:$E$500")="Low")*(INDIRECT("'"&amp;$D32&amp;"'!$AO$7:$AO$500")&lt;&gt;"")),0))</f>
        <v/>
      </c>
      <c r="AE32" s="93" t="str">
        <f aca="true">IF($D32="","",IFERROR(COUNTIF(INDIRECT("'"&amp;$D32&amp;"'!$P$7:$P$500"),"&lt;&gt;"),0))</f>
        <v/>
      </c>
      <c r="AF32" s="93" t="str">
        <f aca="true">IF($D32="","",IFERROR(COUNTIF(INDIRECT("'"&amp;$D32&amp;"'!$P$7:$P$500"),"Pass"),0))</f>
        <v/>
      </c>
      <c r="AG32" s="93" t="str">
        <f aca="true">IF($D32="","",IFERROR(COUNTIF(INDIRECT("'"&amp;$D32&amp;"'!$P$7:$P$500"),"Fail"),0))</f>
        <v/>
      </c>
      <c r="AH32" s="93" t="str">
        <f aca="true">IF($D32="","",IFERROR(COUNTIF(INDIRECT("'"&amp;$D32&amp;"'!$P$7:$P$500"),"Block"),0))</f>
        <v/>
      </c>
      <c r="AI32" s="93" t="str">
        <f aca="true">IF($D32="","",IFERROR(COUNTIF(INDIRECT("'"&amp;$D32&amp;"'!$P$7:$P$500"),"N/A"),0))</f>
        <v/>
      </c>
      <c r="AJ32" s="93" t="str">
        <f aca="true">IF($D32="","",IFERROR(COUNTIF(INDIRECT("'"&amp;$D32&amp;"'!$U$7:$U$500"),"&lt;&gt;"),0))</f>
        <v/>
      </c>
      <c r="AK32" s="93" t="str">
        <f aca="true">IF($D32="","",IFERROR(COUNTIF(INDIRECT("'"&amp;$D32&amp;"'!$U$7:$U$500"),"Pass"),0))</f>
        <v/>
      </c>
      <c r="AL32" s="93" t="str">
        <f aca="true">IF($D32="","",IFERROR(COUNTIF(INDIRECT("'"&amp;$D32&amp;"'!$U$7:$U$500"),"Fail"),0))</f>
        <v/>
      </c>
      <c r="AM32" s="93" t="str">
        <f aca="true">IF($D32="","",IFERROR(COUNTIF(INDIRECT("'"&amp;$D32&amp;"'!$U$7:$U$500"),"Block"),0))</f>
        <v/>
      </c>
      <c r="AN32" s="93" t="str">
        <f aca="true">IF($D32="","",IFERROR(COUNTIF(INDIRECT("'"&amp;$D32&amp;"'!$U$7:$U$500"),"N/A"),0))</f>
        <v/>
      </c>
      <c r="AO32" s="93" t="str">
        <f aca="true">IF($D32="","",IFERROR(COUNTIF(INDIRECT("'"&amp;$D32&amp;"'!$Z$7:$Z$500"),"&lt;&gt;"),0))</f>
        <v/>
      </c>
      <c r="AP32" s="93" t="str">
        <f aca="true">IF($D32="","",IFERROR(COUNTIF(INDIRECT("'"&amp;$D32&amp;"'!$Z$7:$Z$500"),"Pass"),0))</f>
        <v/>
      </c>
      <c r="AQ32" s="93" t="str">
        <f aca="true">IF($D32="","",IFERROR(COUNTIF(INDIRECT("'"&amp;$D32&amp;"'!$Z$7:$Z$500"),"Fail"),0))</f>
        <v/>
      </c>
      <c r="AR32" s="93" t="str">
        <f aca="true">IF($D32="","",IFERROR(COUNTIF(INDIRECT("'"&amp;$D32&amp;"'!$Z$7:$Z$500"),"Block"),0))</f>
        <v/>
      </c>
      <c r="AS32" s="93" t="str">
        <f aca="true">IF($D32="","",IFERROR(COUNTIF(INDIRECT("'"&amp;$D32&amp;"'!$Z$7:$Z$500"),"N/A"),0))</f>
        <v/>
      </c>
      <c r="AT32" s="93" t="str">
        <f aca="true">IF($D32="","",IFERROR(COUNTIF(INDIRECT("'"&amp;$D32&amp;"'!$AE$7:$AE$500"),"&lt;&gt;"),0))</f>
        <v/>
      </c>
      <c r="AU32" s="93" t="str">
        <f aca="true">IF($D32="","",IFERROR(COUNTIF(INDIRECT("'"&amp;$D32&amp;"'!$AE$7:$AE$500"),"Pass"),0))</f>
        <v/>
      </c>
      <c r="AV32" s="93" t="str">
        <f aca="true">IF($D32="","",IFERROR(COUNTIF(INDIRECT("'"&amp;$D32&amp;"'!$AE$7:$AE$500"),"Fail"),0))</f>
        <v/>
      </c>
      <c r="AW32" s="93" t="str">
        <f aca="true">IF($D32="","",IFERROR(COUNTIF(INDIRECT("'"&amp;$D32&amp;"'!$AE$7:$AE$500"),"Block"),0))</f>
        <v/>
      </c>
      <c r="AX32" s="93" t="str">
        <f aca="true">IF($D32="","",IFERROR(COUNTIF(INDIRECT("'"&amp;$D32&amp;"'!$AE$7:$AE$500"),"N/A"),0))</f>
        <v/>
      </c>
      <c r="AY32" s="93" t="str">
        <f aca="true">IF($D32="","",IFERROR(COUNTIF(INDIRECT("'"&amp;$D32&amp;"'!$AJ$7:$AJ$500"),"&lt;&gt;"),0))</f>
        <v/>
      </c>
      <c r="AZ32" s="93" t="str">
        <f aca="true">IF($D32="","",IFERROR(COUNTIF(INDIRECT("'"&amp;$D32&amp;"'!$AJ$7:$AJ$500"),"Pass"),0))</f>
        <v/>
      </c>
      <c r="BA32" s="93" t="str">
        <f aca="true">IF($D32="","",IFERROR(COUNTIF(INDIRECT("'"&amp;$D32&amp;"'!$AJ$7:$AJ$500"),"Fail"),0))</f>
        <v/>
      </c>
      <c r="BB32" s="93" t="str">
        <f aca="true">IF($D32="","",IFERROR(COUNTIF(INDIRECT("'"&amp;$D32&amp;"'!$AJ$7:$AJ$500"),"Block"),0))</f>
        <v/>
      </c>
      <c r="BC32" s="1" t="str">
        <f aca="true">IF($D32="","",IFERROR(COUNTIF(INDIRECT("'"&amp;$D32&amp;"'!$AJ$7:$AJ$500"),"N/A"),0))</f>
        <v/>
      </c>
    </row>
    <row r="33" customFormat="false" ht="15.75" hidden="false" customHeight="true" outlineLevel="0" collapsed="false">
      <c r="B33" s="88" t="str">
        <f aca="false">IF($D33="","",ROW()-3)</f>
        <v/>
      </c>
      <c r="C33" s="89"/>
      <c r="D33" s="89"/>
      <c r="E33" s="90"/>
      <c r="F33" s="88" t="str">
        <f aca="true">IF($D33="","",IFERROR(COUNTIF(INDIRECT("'"&amp;$D33&amp;"'!$C$7:$C$500"),"?*"),0))</f>
        <v/>
      </c>
      <c r="G33" s="88" t="str">
        <f aca="true">IF($D33="","",IFERROR(COUNTIF(INDIRECT("'"&amp;$D33&amp;"'!$AO$7:$AO$500"),"Pass"),0))</f>
        <v/>
      </c>
      <c r="H33" s="88" t="str">
        <f aca="true">IF($D33="","",IFERROR(COUNTIF(INDIRECT("'"&amp;$D33&amp;"'!$AO$7:$AO$500"),"Fail"),0))</f>
        <v/>
      </c>
      <c r="I33" s="88" t="str">
        <f aca="true">IF($D33="","",IFERROR(COUNTIF(INDIRECT("'"&amp;$D33&amp;"'!$AO$7:$AO$500"),"Block"),0))</f>
        <v/>
      </c>
      <c r="J33" s="88" t="str">
        <f aca="true">IF($D33="","",IFERROR(COUNTIF(INDIRECT("'"&amp;$D33&amp;"'!$AO$7:$AO$500"),"N/A"),0))</f>
        <v/>
      </c>
      <c r="K33" s="88" t="str">
        <f aca="false">IF($D33="","",MAX(0,$F33-$G33-$H33-$I33-$J33))</f>
        <v/>
      </c>
      <c r="L33" s="88" t="str">
        <f aca="false">IF($D33="","",$G33+$H33+$I33+$J33)</f>
        <v/>
      </c>
      <c r="M33" s="91" t="str">
        <f aca="false">IF($D33="","",IFERROR($L33/$F33,0))</f>
        <v/>
      </c>
      <c r="N33" s="91" t="str">
        <f aca="false">IF($D33="","",IFERROR($G33/$L33,0))</f>
        <v/>
      </c>
      <c r="O33" s="88" t="str">
        <f aca="true">IF($D33="","",IFERROR(COUNTIF(INDIRECT("'"&amp;$D33&amp;"'!$E$7:$E$500"),"High"),0))</f>
        <v/>
      </c>
      <c r="P33" s="88" t="str">
        <f aca="true">IF($D33="","",IFERROR(COUNTIF(INDIRECT("'"&amp;$D33&amp;"'!$E$7:$E$500"),"Medium"),0))</f>
        <v/>
      </c>
      <c r="Q33" s="88" t="str">
        <f aca="true">IF($D33="","",IFERROR(COUNTIF(INDIRECT("'"&amp;$D33&amp;"'!$E$7:$E$500"),"Low"),0))</f>
        <v/>
      </c>
      <c r="R33" s="88" t="str">
        <f aca="true">IF($D33="","",IFERROR(COUNTIF(INDIRECT("'"&amp;$D33&amp;"'!$D$7:$D$500"),"Functional"),0))</f>
        <v/>
      </c>
      <c r="S33" s="88" t="str">
        <f aca="true">IF($D33="","",IFERROR(COUNTIF(INDIRECT("'"&amp;$D33&amp;"'!$D$7:$D$500"),"UI"),0))</f>
        <v/>
      </c>
      <c r="T33" s="88" t="str">
        <f aca="true">IF($D33="","",IFERROR(COUNTIF(INDIRECT("'"&amp;$D33&amp;"'!$D$7:$D$500"),"Integration"),0))</f>
        <v/>
      </c>
      <c r="U33" s="88" t="str">
        <f aca="true">IF($D33="","",IFERROR(COUNTIF(INDIRECT("'"&amp;$D33&amp;"'!$D$7:$D$500"),"Database Test Case"),0))</f>
        <v/>
      </c>
      <c r="V33" s="88" t="str">
        <f aca="true">IF($D33="","",IFERROR(COUNTIF(INDIRECT("'"&amp;$D33&amp;"'!$J$7:$J$500"),"AI"),0))</f>
        <v/>
      </c>
      <c r="W33" s="88" t="str">
        <f aca="true">IF($D33="","",IFERROR(COUNTIF(INDIRECT("'"&amp;$D33&amp;"'!$J$7:$J$500"),"QC"),0))</f>
        <v/>
      </c>
      <c r="X33" s="88" t="str">
        <f aca="true">IF($D33="","",IFERROR(COUNTIF(INDIRECT("'"&amp;$D33&amp;"'!$L$7:$L$500"),"Yes"),0))</f>
        <v/>
      </c>
      <c r="Y33" s="88" t="str">
        <f aca="true">IF($D33="","",IFERROR(COUNTIF(INDIRECT("'"&amp;$D33&amp;"'!$AM$7:$AM$500"),"Yes"),0))</f>
        <v/>
      </c>
      <c r="Z33" s="88" t="str">
        <f aca="true">IF($D33="","",IFERROR(COUNTIF(INDIRECT("'"&amp;$D33&amp;"'!$AN$7:$AN$500"),"Pass"),0))</f>
        <v/>
      </c>
      <c r="AA33" s="88" t="str">
        <f aca="true">IF($D33="","",IFERROR(COUNTIF(INDIRECT("'"&amp;$D33&amp;"'!$K$7:$K$500"),"Reviewed"),0))</f>
        <v/>
      </c>
      <c r="AB33" s="92" t="str">
        <f aca="true">IF($D33="","",IFERROR(SUMPRODUCT((INDIRECT("'"&amp;$D33&amp;"'!$E$7:$E$500")="High")*(INDIRECT("'"&amp;$D33&amp;"'!$AO$7:$AO$500")&lt;&gt;"")),0))</f>
        <v/>
      </c>
      <c r="AC33" s="92" t="str">
        <f aca="true">IF($D33="","",IFERROR(SUMPRODUCT((INDIRECT("'"&amp;$D33&amp;"'!$E$7:$E$500")="Medium")*(INDIRECT("'"&amp;$D33&amp;"'!$AO$7:$AO$500")&lt;&gt;"")),0))</f>
        <v/>
      </c>
      <c r="AD33" s="92" t="str">
        <f aca="true">IF($D33="","",IFERROR(SUMPRODUCT((INDIRECT("'"&amp;$D33&amp;"'!$E$7:$E$500")="Low")*(INDIRECT("'"&amp;$D33&amp;"'!$AO$7:$AO$500")&lt;&gt;"")),0))</f>
        <v/>
      </c>
      <c r="AE33" s="93" t="str">
        <f aca="true">IF($D33="","",IFERROR(COUNTIF(INDIRECT("'"&amp;$D33&amp;"'!$P$7:$P$500"),"&lt;&gt;"),0))</f>
        <v/>
      </c>
      <c r="AF33" s="93" t="str">
        <f aca="true">IF($D33="","",IFERROR(COUNTIF(INDIRECT("'"&amp;$D33&amp;"'!$P$7:$P$500"),"Pass"),0))</f>
        <v/>
      </c>
      <c r="AG33" s="93" t="str">
        <f aca="true">IF($D33="","",IFERROR(COUNTIF(INDIRECT("'"&amp;$D33&amp;"'!$P$7:$P$500"),"Fail"),0))</f>
        <v/>
      </c>
      <c r="AH33" s="93" t="str">
        <f aca="true">IF($D33="","",IFERROR(COUNTIF(INDIRECT("'"&amp;$D33&amp;"'!$P$7:$P$500"),"Block"),0))</f>
        <v/>
      </c>
      <c r="AI33" s="93" t="str">
        <f aca="true">IF($D33="","",IFERROR(COUNTIF(INDIRECT("'"&amp;$D33&amp;"'!$P$7:$P$500"),"N/A"),0))</f>
        <v/>
      </c>
      <c r="AJ33" s="93" t="str">
        <f aca="true">IF($D33="","",IFERROR(COUNTIF(INDIRECT("'"&amp;$D33&amp;"'!$U$7:$U$500"),"&lt;&gt;"),0))</f>
        <v/>
      </c>
      <c r="AK33" s="93" t="str">
        <f aca="true">IF($D33="","",IFERROR(COUNTIF(INDIRECT("'"&amp;$D33&amp;"'!$U$7:$U$500"),"Pass"),0))</f>
        <v/>
      </c>
      <c r="AL33" s="93" t="str">
        <f aca="true">IF($D33="","",IFERROR(COUNTIF(INDIRECT("'"&amp;$D33&amp;"'!$U$7:$U$500"),"Fail"),0))</f>
        <v/>
      </c>
      <c r="AM33" s="93" t="str">
        <f aca="true">IF($D33="","",IFERROR(COUNTIF(INDIRECT("'"&amp;$D33&amp;"'!$U$7:$U$500"),"Block"),0))</f>
        <v/>
      </c>
      <c r="AN33" s="93" t="str">
        <f aca="true">IF($D33="","",IFERROR(COUNTIF(INDIRECT("'"&amp;$D33&amp;"'!$U$7:$U$500"),"N/A"),0))</f>
        <v/>
      </c>
      <c r="AO33" s="93" t="str">
        <f aca="true">IF($D33="","",IFERROR(COUNTIF(INDIRECT("'"&amp;$D33&amp;"'!$Z$7:$Z$500"),"&lt;&gt;"),0))</f>
        <v/>
      </c>
      <c r="AP33" s="93" t="str">
        <f aca="true">IF($D33="","",IFERROR(COUNTIF(INDIRECT("'"&amp;$D33&amp;"'!$Z$7:$Z$500"),"Pass"),0))</f>
        <v/>
      </c>
      <c r="AQ33" s="93" t="str">
        <f aca="true">IF($D33="","",IFERROR(COUNTIF(INDIRECT("'"&amp;$D33&amp;"'!$Z$7:$Z$500"),"Fail"),0))</f>
        <v/>
      </c>
      <c r="AR33" s="93" t="str">
        <f aca="true">IF($D33="","",IFERROR(COUNTIF(INDIRECT("'"&amp;$D33&amp;"'!$Z$7:$Z$500"),"Block"),0))</f>
        <v/>
      </c>
      <c r="AS33" s="93" t="str">
        <f aca="true">IF($D33="","",IFERROR(COUNTIF(INDIRECT("'"&amp;$D33&amp;"'!$Z$7:$Z$500"),"N/A"),0))</f>
        <v/>
      </c>
      <c r="AT33" s="93" t="str">
        <f aca="true">IF($D33="","",IFERROR(COUNTIF(INDIRECT("'"&amp;$D33&amp;"'!$AE$7:$AE$500"),"&lt;&gt;"),0))</f>
        <v/>
      </c>
      <c r="AU33" s="93" t="str">
        <f aca="true">IF($D33="","",IFERROR(COUNTIF(INDIRECT("'"&amp;$D33&amp;"'!$AE$7:$AE$500"),"Pass"),0))</f>
        <v/>
      </c>
      <c r="AV33" s="93" t="str">
        <f aca="true">IF($D33="","",IFERROR(COUNTIF(INDIRECT("'"&amp;$D33&amp;"'!$AE$7:$AE$500"),"Fail"),0))</f>
        <v/>
      </c>
      <c r="AW33" s="93" t="str">
        <f aca="true">IF($D33="","",IFERROR(COUNTIF(INDIRECT("'"&amp;$D33&amp;"'!$AE$7:$AE$500"),"Block"),0))</f>
        <v/>
      </c>
      <c r="AX33" s="93" t="str">
        <f aca="true">IF($D33="","",IFERROR(COUNTIF(INDIRECT("'"&amp;$D33&amp;"'!$AE$7:$AE$500"),"N/A"),0))</f>
        <v/>
      </c>
      <c r="AY33" s="93" t="str">
        <f aca="true">IF($D33="","",IFERROR(COUNTIF(INDIRECT("'"&amp;$D33&amp;"'!$AJ$7:$AJ$500"),"&lt;&gt;"),0))</f>
        <v/>
      </c>
      <c r="AZ33" s="93" t="str">
        <f aca="true">IF($D33="","",IFERROR(COUNTIF(INDIRECT("'"&amp;$D33&amp;"'!$AJ$7:$AJ$500"),"Pass"),0))</f>
        <v/>
      </c>
      <c r="BA33" s="93" t="str">
        <f aca="true">IF($D33="","",IFERROR(COUNTIF(INDIRECT("'"&amp;$D33&amp;"'!$AJ$7:$AJ$500"),"Fail"),0))</f>
        <v/>
      </c>
      <c r="BB33" s="93" t="str">
        <f aca="true">IF($D33="","",IFERROR(COUNTIF(INDIRECT("'"&amp;$D33&amp;"'!$AJ$7:$AJ$500"),"Block"),0))</f>
        <v/>
      </c>
      <c r="BC33" s="1" t="str">
        <f aca="true">IF($D33="","",IFERROR(COUNTIF(INDIRECT("'"&amp;$D33&amp;"'!$AJ$7:$AJ$500"),"N/A"),0))</f>
        <v/>
      </c>
    </row>
    <row r="34" customFormat="false" ht="15.75" hidden="false" customHeight="true" outlineLevel="0" collapsed="false">
      <c r="B34" s="94" t="s">
        <v>214</v>
      </c>
      <c r="C34" s="94"/>
      <c r="D34" s="94" t="str">
        <f aca="false">COUNTIF($D$4:$D$33,"?*")&amp;" sheet"</f>
        <v>9 sheet</v>
      </c>
      <c r="E34" s="95"/>
      <c r="F34" s="94" t="n">
        <f aca="false">SUM(F4:F33)</f>
        <v>347</v>
      </c>
      <c r="G34" s="94" t="n">
        <f aca="false">SUM(G4:G33)</f>
        <v>38</v>
      </c>
      <c r="H34" s="94" t="n">
        <f aca="false">SUM(H4:H33)</f>
        <v>7</v>
      </c>
      <c r="I34" s="94" t="n">
        <f aca="false">SUM(I4:I33)</f>
        <v>40</v>
      </c>
      <c r="J34" s="94" t="n">
        <f aca="false">SUM(J4:J33)</f>
        <v>0</v>
      </c>
      <c r="K34" s="94" t="n">
        <f aca="false">SUM(K4:K33)</f>
        <v>262</v>
      </c>
      <c r="L34" s="94" t="n">
        <f aca="false">SUM(L4:L33)</f>
        <v>85</v>
      </c>
      <c r="M34" s="96" t="n">
        <f aca="false">IFERROR($L34/$F34,0)</f>
        <v>0.244956772334294</v>
      </c>
      <c r="N34" s="96" t="n">
        <f aca="false">IFERROR($G34/$L34,0)</f>
        <v>0.447058823529412</v>
      </c>
      <c r="O34" s="94" t="n">
        <f aca="false">SUM(O4:O33)</f>
        <v>50</v>
      </c>
      <c r="P34" s="94" t="n">
        <f aca="false">SUM(P4:P33)</f>
        <v>196</v>
      </c>
      <c r="Q34" s="94" t="n">
        <f aca="false">SUM(Q4:Q33)</f>
        <v>101</v>
      </c>
      <c r="R34" s="94" t="n">
        <f aca="false">SUM(R4:R33)</f>
        <v>216</v>
      </c>
      <c r="S34" s="94" t="n">
        <f aca="false">SUM(S4:S33)</f>
        <v>130</v>
      </c>
      <c r="T34" s="94" t="n">
        <f aca="false">SUM(T4:T33)</f>
        <v>1</v>
      </c>
      <c r="U34" s="94" t="n">
        <f aca="false">SUM(U4:U33)</f>
        <v>0</v>
      </c>
      <c r="V34" s="94" t="n">
        <f aca="false">SUM(V4:V33)</f>
        <v>347</v>
      </c>
      <c r="W34" s="94" t="n">
        <f aca="false">SUM(W4:W33)</f>
        <v>0</v>
      </c>
      <c r="X34" s="94" t="n">
        <f aca="false">SUM(X4:X33)</f>
        <v>0</v>
      </c>
      <c r="Y34" s="94" t="n">
        <f aca="false">SUM(Y4:Y33)</f>
        <v>85</v>
      </c>
      <c r="Z34" s="94" t="n">
        <f aca="false">SUM(Z4:Z33)</f>
        <v>0</v>
      </c>
      <c r="AA34" s="94" t="n">
        <f aca="false">SUM(AA4:AA33)</f>
        <v>0</v>
      </c>
      <c r="AB34" s="97" t="n">
        <f aca="false">SUM(AB4:AB33)</f>
        <v>3</v>
      </c>
      <c r="AC34" s="97" t="n">
        <f aca="false">SUM(AC4:AC33)</f>
        <v>48</v>
      </c>
      <c r="AD34" s="97" t="n">
        <f aca="false">SUM(AD4:AD33)</f>
        <v>34</v>
      </c>
      <c r="AE34" s="98" t="n">
        <f aca="false">SUM(AE4:AE33)</f>
        <v>87</v>
      </c>
      <c r="AF34" s="98" t="n">
        <f aca="false">SUM(AF4:AF33)</f>
        <v>34</v>
      </c>
      <c r="AG34" s="98" t="n">
        <f aca="false">SUM(AG4:AG33)</f>
        <v>8</v>
      </c>
      <c r="AH34" s="98" t="n">
        <f aca="false">SUM(AH4:AH33)</f>
        <v>45</v>
      </c>
      <c r="AI34" s="98" t="n">
        <f aca="false">SUM(AI4:AI33)</f>
        <v>0</v>
      </c>
      <c r="AJ34" s="98" t="n">
        <f aca="false">SUM(AJ4:AJ33)</f>
        <v>17</v>
      </c>
      <c r="AK34" s="98" t="n">
        <f aca="false">SUM(AK4:AK33)</f>
        <v>8</v>
      </c>
      <c r="AL34" s="98" t="n">
        <f aca="false">SUM(AL4:AL33)</f>
        <v>3</v>
      </c>
      <c r="AM34" s="98" t="n">
        <f aca="false">SUM(AM4:AM33)</f>
        <v>6</v>
      </c>
      <c r="AN34" s="98" t="n">
        <f aca="false">SUM(AN4:AN33)</f>
        <v>0</v>
      </c>
      <c r="AO34" s="98" t="n">
        <f aca="false">SUM(AO4:AO33)</f>
        <v>9</v>
      </c>
      <c r="AP34" s="98" t="n">
        <f aca="false">SUM(AP4:AP33)</f>
        <v>4</v>
      </c>
      <c r="AQ34" s="98" t="n">
        <f aca="false">SUM(AQ4:AQ33)</f>
        <v>3</v>
      </c>
      <c r="AR34" s="98" t="n">
        <f aca="false">SUM(AR4:AR33)</f>
        <v>2</v>
      </c>
      <c r="AS34" s="98" t="n">
        <f aca="false">SUM(AS4:AS33)</f>
        <v>0</v>
      </c>
      <c r="AT34" s="98" t="n">
        <f aca="false">SUM(AT4:AT33)</f>
        <v>0</v>
      </c>
      <c r="AU34" s="98" t="n">
        <f aca="false">SUM(AU4:AU33)</f>
        <v>0</v>
      </c>
      <c r="AV34" s="98" t="n">
        <f aca="false">SUM(AV4:AV33)</f>
        <v>0</v>
      </c>
      <c r="AW34" s="98" t="n">
        <f aca="false">SUM(AW4:AW33)</f>
        <v>0</v>
      </c>
      <c r="AX34" s="98" t="n">
        <f aca="false">SUM(AX4:AX33)</f>
        <v>0</v>
      </c>
      <c r="AY34" s="98" t="n">
        <f aca="false">SUM(AY4:AY33)</f>
        <v>0</v>
      </c>
      <c r="AZ34" s="98" t="n">
        <f aca="false">SUM(AZ4:AZ33)</f>
        <v>0</v>
      </c>
      <c r="BA34" s="98" t="n">
        <f aca="false">SUM(BA4:BA33)</f>
        <v>0</v>
      </c>
      <c r="BB34" s="98" t="n">
        <f aca="false">SUM(BB4:BB33)</f>
        <v>0</v>
      </c>
      <c r="BC34" s="99" t="n">
        <f aca="false">SUM(BC4:BC33)</f>
        <v>0</v>
      </c>
    </row>
    <row r="35" customFormat="false" ht="15.75" hidden="false" customHeight="true" outlineLevel="0" collapsed="false"/>
    <row r="36" customFormat="false" ht="15" hidden="false" customHeight="true" outlineLevel="0" collapsed="false">
      <c r="B36" s="100" t="s">
        <v>215</v>
      </c>
      <c r="C36" s="100"/>
      <c r="D36" s="100"/>
      <c r="E36" s="100"/>
      <c r="F36" s="100"/>
      <c r="G36" s="100"/>
      <c r="H36" s="100"/>
      <c r="I36" s="100"/>
      <c r="J36" s="100"/>
      <c r="K36" s="100"/>
      <c r="L36" s="100"/>
      <c r="M36" s="100"/>
      <c r="N36" s="100"/>
    </row>
    <row r="37" customFormat="false" ht="15" hidden="false" customHeight="true" outlineLevel="0" collapsed="false">
      <c r="B37" s="101" t="s">
        <v>216</v>
      </c>
      <c r="C37" s="101"/>
      <c r="D37" s="101"/>
      <c r="E37" s="101"/>
      <c r="F37" s="101"/>
      <c r="G37" s="101"/>
      <c r="H37" s="101"/>
      <c r="I37" s="101"/>
      <c r="J37" s="101"/>
      <c r="K37" s="101"/>
      <c r="L37" s="101"/>
      <c r="M37" s="101"/>
      <c r="N37" s="101"/>
    </row>
    <row r="38" customFormat="false" ht="15" hidden="false" customHeight="true" outlineLevel="0" collapsed="false">
      <c r="B38" s="101" t="s">
        <v>217</v>
      </c>
      <c r="C38" s="101"/>
      <c r="D38" s="101"/>
      <c r="E38" s="101"/>
      <c r="F38" s="101"/>
      <c r="G38" s="101"/>
      <c r="H38" s="101"/>
      <c r="I38" s="101"/>
      <c r="J38" s="101"/>
      <c r="K38" s="101"/>
      <c r="L38" s="101"/>
      <c r="M38" s="101"/>
      <c r="N38" s="101"/>
    </row>
    <row r="39" customFormat="false" ht="15" hidden="false" customHeight="true" outlineLevel="0" collapsed="false">
      <c r="B39" s="101" t="s">
        <v>218</v>
      </c>
      <c r="C39" s="101"/>
      <c r="D39" s="101"/>
      <c r="E39" s="101"/>
      <c r="F39" s="101"/>
      <c r="G39" s="101"/>
      <c r="H39" s="101"/>
      <c r="I39" s="101"/>
      <c r="J39" s="101"/>
      <c r="K39" s="101"/>
      <c r="L39" s="101"/>
      <c r="M39" s="101"/>
      <c r="N39" s="101"/>
    </row>
    <row r="40" customFormat="false" ht="15" hidden="false" customHeight="true" outlineLevel="0" collapsed="false">
      <c r="B40" s="101" t="s">
        <v>219</v>
      </c>
      <c r="C40" s="101"/>
      <c r="D40" s="101"/>
      <c r="E40" s="101"/>
      <c r="F40" s="101"/>
      <c r="G40" s="101"/>
      <c r="H40" s="101"/>
      <c r="I40" s="101"/>
      <c r="J40" s="101"/>
      <c r="K40" s="101"/>
      <c r="L40" s="101"/>
      <c r="M40" s="101"/>
      <c r="N40" s="101"/>
    </row>
    <row r="41" customFormat="false" ht="15.75" hidden="false" customHeight="true" outlineLevel="0" collapsed="false">
      <c r="B41" s="101" t="s">
        <v>220</v>
      </c>
      <c r="C41" s="101"/>
      <c r="D41" s="101"/>
      <c r="E41" s="101"/>
      <c r="F41" s="101"/>
      <c r="G41" s="101"/>
      <c r="H41" s="101"/>
      <c r="I41" s="101"/>
      <c r="J41" s="101"/>
      <c r="K41" s="101"/>
      <c r="L41" s="101"/>
      <c r="M41" s="101"/>
      <c r="N41" s="101"/>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4">
    <mergeCell ref="B1:AA1"/>
    <mergeCell ref="C2:E2"/>
    <mergeCell ref="F2:N2"/>
    <mergeCell ref="O2:Q2"/>
    <mergeCell ref="R2:U2"/>
    <mergeCell ref="V2:AA2"/>
    <mergeCell ref="AB2:AD2"/>
    <mergeCell ref="AE2:BC2"/>
    <mergeCell ref="B36:N36"/>
    <mergeCell ref="B37:N37"/>
    <mergeCell ref="B38:N38"/>
    <mergeCell ref="B39:N39"/>
    <mergeCell ref="B40:N40"/>
    <mergeCell ref="B41:N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Z1000"/>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1" width="2.43"/>
    <col collapsed="false" customWidth="true" hidden="false" outlineLevel="0" max="2" min="2" style="1" width="14"/>
    <col collapsed="false" customWidth="true" hidden="false" outlineLevel="0" max="3" min="3" style="1" width="26"/>
    <col collapsed="false" customWidth="true" hidden="false" outlineLevel="0" max="4" min="4" style="1" width="11"/>
    <col collapsed="false" customWidth="true" hidden="false" outlineLevel="0" max="5" min="5" style="1" width="13"/>
    <col collapsed="false" customWidth="true" hidden="false" outlineLevel="0" max="6" min="6" style="1" width="11"/>
    <col collapsed="false" customWidth="true" hidden="false" outlineLevel="0" max="7" min="7" style="1" width="12"/>
    <col collapsed="false" customWidth="true" hidden="false" outlineLevel="0" max="8" min="8" style="1" width="13"/>
    <col collapsed="false" customWidth="true" hidden="false" outlineLevel="0" max="9" min="9" style="1" width="12"/>
    <col collapsed="false" customWidth="true" hidden="false" outlineLevel="0" max="11" min="10" style="1" width="9"/>
    <col collapsed="false" customWidth="true" hidden="false" outlineLevel="0" max="12" min="12" style="1" width="34"/>
    <col collapsed="false" customWidth="true" hidden="false" outlineLevel="0" max="15" min="13" style="1" width="9"/>
  </cols>
  <sheetData>
    <row r="2" customFormat="false" ht="24.75" hidden="false" customHeight="true" outlineLevel="0" collapsed="false">
      <c r="B2" s="102" t="s">
        <v>221</v>
      </c>
      <c r="F2" s="103" t="s">
        <v>222</v>
      </c>
      <c r="G2" s="103"/>
      <c r="H2" s="103"/>
      <c r="I2" s="103"/>
      <c r="J2" s="103"/>
    </row>
    <row r="3" customFormat="false" ht="19.5" hidden="false" customHeight="true" outlineLevel="0" collapsed="false">
      <c r="B3" s="104" t="s">
        <v>94</v>
      </c>
      <c r="C3" s="39" t="str">
        <f aca="false">Summary!$C$6</f>
        <v>FoxEco</v>
      </c>
      <c r="D3" s="39"/>
      <c r="F3" s="105" t="s">
        <v>223</v>
      </c>
      <c r="G3" s="105"/>
      <c r="H3" s="105"/>
      <c r="I3" s="106" t="n">
        <f aca="false">G20</f>
        <v>14</v>
      </c>
      <c r="J3" s="106"/>
    </row>
    <row r="4" customFormat="false" ht="19.5" hidden="false" customHeight="true" outlineLevel="0" collapsed="false">
      <c r="B4" s="104" t="s">
        <v>79</v>
      </c>
      <c r="C4" s="39" t="str">
        <f aca="false">Summary!$C$8</f>
        <v>v1.0</v>
      </c>
      <c r="D4" s="39"/>
      <c r="F4" s="107" t="s">
        <v>224</v>
      </c>
      <c r="G4" s="107"/>
      <c r="H4" s="107"/>
      <c r="I4" s="106" t="n">
        <f aca="false">C101+C102</f>
        <v>9</v>
      </c>
      <c r="J4" s="106"/>
    </row>
    <row r="5" customFormat="false" ht="19.5" hidden="false" customHeight="true" outlineLevel="0" collapsed="false">
      <c r="B5" s="104" t="s">
        <v>97</v>
      </c>
      <c r="C5" s="39" t="str">
        <f aca="false">Summary!$C$9</f>
        <v>N/A (Solo — không chia sprint)</v>
      </c>
      <c r="D5" s="39"/>
      <c r="F5" s="108" t="s">
        <v>225</v>
      </c>
      <c r="G5" s="108"/>
      <c r="H5" s="108"/>
      <c r="I5" s="109" t="n">
        <f aca="false">IFERROR(C119/C121,0)</f>
        <v>0.75</v>
      </c>
      <c r="J5" s="109"/>
    </row>
    <row r="6" customFormat="false" ht="19.5" hidden="false" customHeight="true" outlineLevel="0" collapsed="false">
      <c r="B6" s="104" t="s">
        <v>226</v>
      </c>
      <c r="C6" s="39" t="str">
        <f aca="false">TEXT(Summary!$C$10,"DD/MM/YYYY")&amp;"  →  "&amp;TEXT(Summary!$C$11,"DD/MM/YYYY")</f>
        <v>28/07/2026  →  28/07/2026</v>
      </c>
      <c r="D6" s="39"/>
      <c r="F6" s="110" t="s">
        <v>227</v>
      </c>
      <c r="G6" s="110"/>
      <c r="H6" s="110"/>
      <c r="I6" s="109" t="n">
        <f aca="false">F62</f>
        <v>0.244956772334294</v>
      </c>
      <c r="J6" s="109"/>
    </row>
    <row r="7" customFormat="false" ht="19.5" hidden="false" customHeight="true" outlineLevel="0" collapsed="false">
      <c r="B7" s="111" t="s">
        <v>228</v>
      </c>
      <c r="C7" s="111"/>
      <c r="D7" s="111"/>
      <c r="F7" s="112" t="s">
        <v>229</v>
      </c>
      <c r="G7" s="112"/>
      <c r="H7" s="112"/>
      <c r="I7" s="109" t="n">
        <f aca="false">D202</f>
        <v>0</v>
      </c>
      <c r="J7" s="109"/>
    </row>
    <row r="8" customFormat="false" ht="19.5" hidden="false" customHeight="true" outlineLevel="0" collapsed="false">
      <c r="B8" s="111"/>
      <c r="C8" s="111"/>
      <c r="D8" s="111"/>
      <c r="F8" s="113" t="s">
        <v>230</v>
      </c>
      <c r="G8" s="113"/>
      <c r="H8" s="113"/>
      <c r="I8" s="109" t="n">
        <f aca="false">D206</f>
        <v>0</v>
      </c>
      <c r="J8" s="109"/>
    </row>
    <row r="9" customFormat="false" ht="19.5" hidden="false" customHeight="true" outlineLevel="0" collapsed="false">
      <c r="B9" s="111"/>
      <c r="C9" s="111"/>
      <c r="D9" s="111"/>
      <c r="F9" s="114" t="s">
        <v>231</v>
      </c>
      <c r="G9" s="114"/>
      <c r="H9" s="114"/>
      <c r="I9" s="109" t="n">
        <f aca="false">IFERROR(C84/C89,0)</f>
        <v>0.109510086455331</v>
      </c>
      <c r="J9" s="109"/>
    </row>
    <row r="10" customFormat="false" ht="19.5" hidden="false" customHeight="true" outlineLevel="0" collapsed="false">
      <c r="F10" s="107" t="s">
        <v>232</v>
      </c>
      <c r="G10" s="107"/>
      <c r="H10" s="107"/>
      <c r="I10" s="106" t="n">
        <f aca="false">COUNTIFS('Bug Data'!$L:$L,20,'Bug Data'!$O:$O,"Open")+COUNTIFS('Bug Data'!$L:$L,10,'Bug Data'!$O:$O,"Open")</f>
        <v>2</v>
      </c>
      <c r="J10" s="106"/>
    </row>
    <row r="11" customFormat="false" ht="18.75" hidden="false" customHeight="true" outlineLevel="0" collapsed="false">
      <c r="B11" s="102" t="s">
        <v>233</v>
      </c>
      <c r="F11" s="115" t="s">
        <v>234</v>
      </c>
      <c r="G11" s="115"/>
      <c r="H11" s="115"/>
      <c r="I11" s="115"/>
      <c r="J11" s="115"/>
    </row>
    <row r="13" customFormat="false" ht="17.25" hidden="false" customHeight="true" outlineLevel="0" collapsed="false">
      <c r="B13" s="116" t="s">
        <v>235</v>
      </c>
      <c r="C13" s="116"/>
      <c r="D13" s="116"/>
      <c r="E13" s="116"/>
      <c r="F13" s="116"/>
      <c r="G13" s="116"/>
      <c r="H13" s="116"/>
      <c r="I13" s="116"/>
    </row>
    <row r="15" customFormat="false" ht="15.75" hidden="false" customHeight="true" outlineLevel="0" collapsed="false">
      <c r="B15" s="117" t="s">
        <v>236</v>
      </c>
    </row>
    <row r="16" customFormat="false" ht="15" hidden="false" customHeight="true" outlineLevel="0" collapsed="false">
      <c r="B16" s="118" t="s">
        <v>237</v>
      </c>
      <c r="C16" s="118"/>
      <c r="D16" s="118"/>
      <c r="E16" s="118"/>
      <c r="F16" s="118"/>
      <c r="G16" s="118"/>
    </row>
    <row r="17" customFormat="false" ht="15" hidden="false" customHeight="true" outlineLevel="0" collapsed="false">
      <c r="B17" s="119" t="s">
        <v>238</v>
      </c>
      <c r="C17" s="119" t="s">
        <v>239</v>
      </c>
      <c r="D17" s="119" t="s">
        <v>240</v>
      </c>
      <c r="E17" s="119" t="s">
        <v>241</v>
      </c>
      <c r="F17" s="119" t="s">
        <v>242</v>
      </c>
      <c r="G17" s="119" t="s">
        <v>243</v>
      </c>
    </row>
    <row r="18" customFormat="false" ht="15" hidden="false" customHeight="true" outlineLevel="0" collapsed="false">
      <c r="B18" s="104" t="s">
        <v>244</v>
      </c>
      <c r="C18" s="120" t="n">
        <f aca="false">COUNTIFS('Bug Data'!$O:$O,"Open",'Bug Data'!$N:$N,$B18)</f>
        <v>1</v>
      </c>
      <c r="D18" s="120" t="n">
        <f aca="false">COUNTIFS('Bug Data'!$O:$O,"Cancel",'Bug Data'!$N:$N,$B18)</f>
        <v>0</v>
      </c>
      <c r="E18" s="120" t="n">
        <f aca="false">COUNTIFS('Bug Data'!$O:$O,"Pending",'Bug Data'!$N:$N,$B18)</f>
        <v>0</v>
      </c>
      <c r="F18" s="120" t="n">
        <f aca="false">COUNTIFS('Bug Data'!$O:$O,"Done",'Bug Data'!$N:$N,$B18)</f>
        <v>6</v>
      </c>
      <c r="G18" s="121" t="n">
        <f aca="false">SUM(C18:F18)</f>
        <v>7</v>
      </c>
    </row>
    <row r="19" customFormat="false" ht="15" hidden="false" customHeight="true" outlineLevel="0" collapsed="false">
      <c r="B19" s="104" t="s">
        <v>245</v>
      </c>
      <c r="C19" s="120" t="n">
        <f aca="false">COUNTIFS('Bug Data'!$O:$O,"Open",'Bug Data'!$N:$N,$B19)</f>
        <v>4</v>
      </c>
      <c r="D19" s="120" t="n">
        <f aca="false">COUNTIFS('Bug Data'!$O:$O,"Cancel",'Bug Data'!$N:$N,$B19)</f>
        <v>1</v>
      </c>
      <c r="E19" s="120" t="n">
        <f aca="false">COUNTIFS('Bug Data'!$O:$O,"Pending",'Bug Data'!$N:$N,$B19)</f>
        <v>2</v>
      </c>
      <c r="F19" s="120" t="n">
        <f aca="false">COUNTIFS('Bug Data'!$O:$O,"Done",'Bug Data'!$N:$N,$B19)</f>
        <v>0</v>
      </c>
      <c r="G19" s="121" t="n">
        <f aca="false">SUM(C19:F19)</f>
        <v>7</v>
      </c>
    </row>
    <row r="20" customFormat="false" ht="15.75" hidden="false" customHeight="true" outlineLevel="0" collapsed="false">
      <c r="B20" s="37" t="s">
        <v>243</v>
      </c>
      <c r="C20" s="122" t="n">
        <f aca="false">SUM(C18:C19)</f>
        <v>5</v>
      </c>
      <c r="D20" s="122" t="n">
        <f aca="false">SUM(D18:D19)</f>
        <v>1</v>
      </c>
      <c r="E20" s="122" t="n">
        <f aca="false">SUM(E18:E19)</f>
        <v>2</v>
      </c>
      <c r="F20" s="122" t="n">
        <f aca="false">SUM(F18:F19)</f>
        <v>6</v>
      </c>
      <c r="G20" s="122" t="n">
        <f aca="false">SUM(G18:G19)</f>
        <v>14</v>
      </c>
    </row>
    <row r="21" customFormat="false" ht="15.75" hidden="false" customHeight="true" outlineLevel="0" collapsed="false">
      <c r="B21" s="41" t="s">
        <v>246</v>
      </c>
      <c r="C21" s="41"/>
      <c r="D21" s="41"/>
      <c r="E21" s="41"/>
      <c r="F21" s="41"/>
      <c r="G21" s="41"/>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c r="B39" s="117" t="s">
        <v>247</v>
      </c>
    </row>
    <row r="40" customFormat="false" ht="15.75" hidden="false" customHeight="true" outlineLevel="0" collapsed="false">
      <c r="B40" s="118" t="s">
        <v>248</v>
      </c>
      <c r="C40" s="118"/>
      <c r="D40" s="118"/>
      <c r="E40" s="118"/>
      <c r="F40" s="118"/>
      <c r="G40" s="118"/>
      <c r="H40" s="118"/>
      <c r="I40" s="118"/>
    </row>
    <row r="41" customFormat="false" ht="15.75" hidden="false" customHeight="true" outlineLevel="0" collapsed="false">
      <c r="B41" s="119" t="s">
        <v>249</v>
      </c>
      <c r="C41" s="119" t="s">
        <v>250</v>
      </c>
      <c r="D41" s="119" t="s">
        <v>239</v>
      </c>
      <c r="E41" s="119" t="s">
        <v>240</v>
      </c>
      <c r="F41" s="119" t="s">
        <v>241</v>
      </c>
      <c r="G41" s="119" t="s">
        <v>242</v>
      </c>
      <c r="H41" s="119" t="s">
        <v>243</v>
      </c>
      <c r="I41" s="119" t="s">
        <v>251</v>
      </c>
    </row>
    <row r="42" customFormat="false" ht="15.75" hidden="false" customHeight="true" outlineLevel="0" collapsed="false">
      <c r="B42" s="123" t="s">
        <v>252</v>
      </c>
      <c r="C42" s="54" t="s">
        <v>253</v>
      </c>
      <c r="D42" s="52" t="n">
        <f aca="false">COUNTIFS('Bug Data'!$O:$O,"Open",'Bug Data'!$M:$M,$C42)</f>
        <v>1</v>
      </c>
      <c r="E42" s="52" t="n">
        <f aca="false">COUNTIFS('Bug Data'!$O:$O,"Cancel",'Bug Data'!$M:$M,$C42)</f>
        <v>0</v>
      </c>
      <c r="F42" s="52" t="n">
        <f aca="false">COUNTIFS('Bug Data'!$O:$O,"Pending",'Bug Data'!$M:$M,$C42)</f>
        <v>1</v>
      </c>
      <c r="G42" s="52" t="n">
        <f aca="false">COUNTIFS('Bug Data'!$O:$O,"Done",'Bug Data'!$M:$M,$C42)</f>
        <v>3</v>
      </c>
      <c r="H42" s="124" t="n">
        <f aca="false">SUM(D42:G42)</f>
        <v>5</v>
      </c>
      <c r="I42" s="53" t="n">
        <f aca="false">IFERROR(H42/$H$52,0)</f>
        <v>0.384615384615385</v>
      </c>
    </row>
    <row r="43" customFormat="false" ht="15.75" hidden="false" customHeight="true" outlineLevel="0" collapsed="false">
      <c r="B43" s="123" t="s">
        <v>254</v>
      </c>
      <c r="C43" s="54" t="s">
        <v>255</v>
      </c>
      <c r="D43" s="52" t="n">
        <f aca="false">COUNTIFS('Bug Data'!$O:$O,"Open",'Bug Data'!$M:$M,$C43)</f>
        <v>2</v>
      </c>
      <c r="E43" s="52" t="n">
        <f aca="false">COUNTIFS('Bug Data'!$O:$O,"Cancel",'Bug Data'!$M:$M,$C43)</f>
        <v>0</v>
      </c>
      <c r="F43" s="52" t="n">
        <f aca="false">COUNTIFS('Bug Data'!$O:$O,"Pending",'Bug Data'!$M:$M,$C43)</f>
        <v>0</v>
      </c>
      <c r="G43" s="52" t="n">
        <f aca="false">COUNTIFS('Bug Data'!$O:$O,"Done",'Bug Data'!$M:$M,$C43)</f>
        <v>2</v>
      </c>
      <c r="H43" s="124" t="n">
        <f aca="false">SUM(D43:G43)</f>
        <v>4</v>
      </c>
      <c r="I43" s="53" t="n">
        <f aca="false">IFERROR(H43/$H$52,0)</f>
        <v>0.307692307692308</v>
      </c>
    </row>
    <row r="44" customFormat="false" ht="15.75" hidden="false" customHeight="true" outlineLevel="0" collapsed="false">
      <c r="B44" s="123" t="s">
        <v>256</v>
      </c>
      <c r="C44" s="54" t="s">
        <v>257</v>
      </c>
      <c r="D44" s="52" t="n">
        <f aca="false">COUNTIFS('Bug Data'!$O:$O,"Open",'Bug Data'!$M:$M,$C44)</f>
        <v>1</v>
      </c>
      <c r="E44" s="52" t="n">
        <f aca="false">COUNTIFS('Bug Data'!$O:$O,"Cancel",'Bug Data'!$M:$M,$C44)</f>
        <v>1</v>
      </c>
      <c r="F44" s="52" t="n">
        <f aca="false">COUNTIFS('Bug Data'!$O:$O,"Pending",'Bug Data'!$M:$M,$C44)</f>
        <v>1</v>
      </c>
      <c r="G44" s="52" t="n">
        <f aca="false">COUNTIFS('Bug Data'!$O:$O,"Done",'Bug Data'!$M:$M,$C44)</f>
        <v>1</v>
      </c>
      <c r="H44" s="124" t="n">
        <f aca="false">SUM(D44:G44)</f>
        <v>4</v>
      </c>
      <c r="I44" s="53" t="n">
        <f aca="false">IFERROR(H44/$H$52,0)</f>
        <v>0.307692307692308</v>
      </c>
    </row>
    <row r="45" customFormat="false" ht="15.75" hidden="false" customHeight="true" outlineLevel="0" collapsed="false">
      <c r="B45" s="123" t="s">
        <v>258</v>
      </c>
      <c r="C45" s="54"/>
      <c r="D45" s="52" t="n">
        <f aca="false">COUNTIFS('Bug Data'!$O:$O,"Open",'Bug Data'!$M:$M,$C45)</f>
        <v>0</v>
      </c>
      <c r="E45" s="52" t="n">
        <f aca="false">COUNTIFS('Bug Data'!$O:$O,"Cancel",'Bug Data'!$M:$M,$C45)</f>
        <v>0</v>
      </c>
      <c r="F45" s="52" t="n">
        <f aca="false">COUNTIFS('Bug Data'!$O:$O,"Pending",'Bug Data'!$M:$M,$C45)</f>
        <v>0</v>
      </c>
      <c r="G45" s="52" t="n">
        <f aca="false">COUNTIFS('Bug Data'!$O:$O,"Done",'Bug Data'!$M:$M,$C45)</f>
        <v>0</v>
      </c>
      <c r="H45" s="124" t="n">
        <f aca="false">SUM(D45:G45)</f>
        <v>0</v>
      </c>
      <c r="I45" s="53" t="n">
        <f aca="false">IFERROR(H45/$H$52,0)</f>
        <v>0</v>
      </c>
    </row>
    <row r="46" customFormat="false" ht="15.75" hidden="false" customHeight="true" outlineLevel="0" collapsed="false">
      <c r="B46" s="123" t="s">
        <v>259</v>
      </c>
      <c r="C46" s="54"/>
      <c r="D46" s="52" t="n">
        <f aca="false">COUNTIFS('Bug Data'!$O:$O,"Open",'Bug Data'!$M:$M,$C46)</f>
        <v>0</v>
      </c>
      <c r="E46" s="52" t="n">
        <f aca="false">COUNTIFS('Bug Data'!$O:$O,"Cancel",'Bug Data'!$M:$M,$C46)</f>
        <v>0</v>
      </c>
      <c r="F46" s="52" t="n">
        <f aca="false">COUNTIFS('Bug Data'!$O:$O,"Pending",'Bug Data'!$M:$M,$C46)</f>
        <v>0</v>
      </c>
      <c r="G46" s="52" t="n">
        <f aca="false">COUNTIFS('Bug Data'!$O:$O,"Done",'Bug Data'!$M:$M,$C46)</f>
        <v>0</v>
      </c>
      <c r="H46" s="124" t="n">
        <f aca="false">SUM(D46:G46)</f>
        <v>0</v>
      </c>
      <c r="I46" s="53" t="n">
        <f aca="false">IFERROR(H46/$H$52,0)</f>
        <v>0</v>
      </c>
    </row>
    <row r="47" customFormat="false" ht="15.75" hidden="false" customHeight="true" outlineLevel="0" collapsed="false">
      <c r="B47" s="123" t="s">
        <v>260</v>
      </c>
      <c r="C47" s="54"/>
      <c r="D47" s="52" t="n">
        <f aca="false">COUNTIFS('Bug Data'!$O:$O,"Open",'Bug Data'!$M:$M,$C47)</f>
        <v>0</v>
      </c>
      <c r="E47" s="52" t="n">
        <f aca="false">COUNTIFS('Bug Data'!$O:$O,"Cancel",'Bug Data'!$M:$M,$C47)</f>
        <v>0</v>
      </c>
      <c r="F47" s="52" t="n">
        <f aca="false">COUNTIFS('Bug Data'!$O:$O,"Pending",'Bug Data'!$M:$M,$C47)</f>
        <v>0</v>
      </c>
      <c r="G47" s="52" t="n">
        <f aca="false">COUNTIFS('Bug Data'!$O:$O,"Done",'Bug Data'!$M:$M,$C47)</f>
        <v>0</v>
      </c>
      <c r="H47" s="124" t="n">
        <f aca="false">SUM(D47:G47)</f>
        <v>0</v>
      </c>
      <c r="I47" s="53" t="n">
        <f aca="false">IFERROR(H47/$H$52,0)</f>
        <v>0</v>
      </c>
    </row>
    <row r="48" customFormat="false" ht="15.75" hidden="false" customHeight="true" outlineLevel="0" collapsed="false">
      <c r="B48" s="123" t="s">
        <v>261</v>
      </c>
      <c r="C48" s="54"/>
      <c r="D48" s="52" t="n">
        <f aca="false">COUNTIFS('Bug Data'!$O:$O,"Open",'Bug Data'!$M:$M,$C48)</f>
        <v>0</v>
      </c>
      <c r="E48" s="52" t="n">
        <f aca="false">COUNTIFS('Bug Data'!$O:$O,"Cancel",'Bug Data'!$M:$M,$C48)</f>
        <v>0</v>
      </c>
      <c r="F48" s="52" t="n">
        <f aca="false">COUNTIFS('Bug Data'!$O:$O,"Pending",'Bug Data'!$M:$M,$C48)</f>
        <v>0</v>
      </c>
      <c r="G48" s="52" t="n">
        <f aca="false">COUNTIFS('Bug Data'!$O:$O,"Done",'Bug Data'!$M:$M,$C48)</f>
        <v>0</v>
      </c>
      <c r="H48" s="124" t="n">
        <f aca="false">SUM(D48:G48)</f>
        <v>0</v>
      </c>
      <c r="I48" s="53" t="n">
        <f aca="false">IFERROR(H48/$H$52,0)</f>
        <v>0</v>
      </c>
    </row>
    <row r="49" customFormat="false" ht="15.75" hidden="false" customHeight="true" outlineLevel="0" collapsed="false">
      <c r="B49" s="123" t="s">
        <v>262</v>
      </c>
      <c r="C49" s="54"/>
      <c r="D49" s="52" t="n">
        <f aca="false">COUNTIFS('Bug Data'!$O:$O,"Open",'Bug Data'!$M:$M,$C49)</f>
        <v>0</v>
      </c>
      <c r="E49" s="52" t="n">
        <f aca="false">COUNTIFS('Bug Data'!$O:$O,"Cancel",'Bug Data'!$M:$M,$C49)</f>
        <v>0</v>
      </c>
      <c r="F49" s="52" t="n">
        <f aca="false">COUNTIFS('Bug Data'!$O:$O,"Pending",'Bug Data'!$M:$M,$C49)</f>
        <v>0</v>
      </c>
      <c r="G49" s="52" t="n">
        <f aca="false">COUNTIFS('Bug Data'!$O:$O,"Done",'Bug Data'!$M:$M,$C49)</f>
        <v>0</v>
      </c>
      <c r="H49" s="124" t="n">
        <f aca="false">SUM(D49:G49)</f>
        <v>0</v>
      </c>
      <c r="I49" s="53" t="n">
        <f aca="false">IFERROR(H49/$H$52,0)</f>
        <v>0</v>
      </c>
    </row>
    <row r="50" customFormat="false" ht="15.75" hidden="false" customHeight="true" outlineLevel="0" collapsed="false">
      <c r="B50" s="123" t="s">
        <v>263</v>
      </c>
      <c r="C50" s="54"/>
      <c r="D50" s="52" t="n">
        <f aca="false">COUNTIFS('Bug Data'!$O:$O,"Open",'Bug Data'!$M:$M,$C50)</f>
        <v>0</v>
      </c>
      <c r="E50" s="52" t="n">
        <f aca="false">COUNTIFS('Bug Data'!$O:$O,"Cancel",'Bug Data'!$M:$M,$C50)</f>
        <v>0</v>
      </c>
      <c r="F50" s="52" t="n">
        <f aca="false">COUNTIFS('Bug Data'!$O:$O,"Pending",'Bug Data'!$M:$M,$C50)</f>
        <v>0</v>
      </c>
      <c r="G50" s="52" t="n">
        <f aca="false">COUNTIFS('Bug Data'!$O:$O,"Done",'Bug Data'!$M:$M,$C50)</f>
        <v>0</v>
      </c>
      <c r="H50" s="124" t="n">
        <f aca="false">SUM(D50:G50)</f>
        <v>0</v>
      </c>
      <c r="I50" s="53" t="n">
        <f aca="false">IFERROR(H50/$H$52,0)</f>
        <v>0</v>
      </c>
    </row>
    <row r="51" customFormat="false" ht="15.75" hidden="false" customHeight="true" outlineLevel="0" collapsed="false">
      <c r="B51" s="123" t="s">
        <v>264</v>
      </c>
      <c r="C51" s="54"/>
      <c r="D51" s="52" t="n">
        <f aca="false">COUNTIFS('Bug Data'!$O:$O,"Open",'Bug Data'!$M:$M,$C51)</f>
        <v>0</v>
      </c>
      <c r="E51" s="52" t="n">
        <f aca="false">COUNTIFS('Bug Data'!$O:$O,"Cancel",'Bug Data'!$M:$M,$C51)</f>
        <v>0</v>
      </c>
      <c r="F51" s="52" t="n">
        <f aca="false">COUNTIFS('Bug Data'!$O:$O,"Pending",'Bug Data'!$M:$M,$C51)</f>
        <v>0</v>
      </c>
      <c r="G51" s="52" t="n">
        <f aca="false">COUNTIFS('Bug Data'!$O:$O,"Done",'Bug Data'!$M:$M,$C51)</f>
        <v>0</v>
      </c>
      <c r="H51" s="124" t="n">
        <f aca="false">SUM(D51:G51)</f>
        <v>0</v>
      </c>
      <c r="I51" s="53" t="n">
        <f aca="false">IFERROR(H51/$H$52,0)</f>
        <v>0</v>
      </c>
    </row>
    <row r="52" customFormat="false" ht="15.75" hidden="false" customHeight="true" outlineLevel="0" collapsed="false">
      <c r="B52" s="125" t="s">
        <v>243</v>
      </c>
      <c r="C52" s="126"/>
      <c r="D52" s="43" t="n">
        <f aca="false">SUM(D42:D51)</f>
        <v>4</v>
      </c>
      <c r="E52" s="43" t="n">
        <f aca="false">SUM(E42:E51)</f>
        <v>1</v>
      </c>
      <c r="F52" s="43" t="n">
        <f aca="false">SUM(F42:F51)</f>
        <v>2</v>
      </c>
      <c r="G52" s="43" t="n">
        <f aca="false">SUM(G42:G51)</f>
        <v>6</v>
      </c>
      <c r="H52" s="43" t="n">
        <f aca="false">SUM(H42:H51)</f>
        <v>13</v>
      </c>
      <c r="I52" s="56" t="n">
        <f aca="false">IFERROR(SUM(I42:I51),0)</f>
        <v>1</v>
      </c>
    </row>
    <row r="53" customFormat="false" ht="15.75" hidden="false" customHeight="true" outlineLevel="0" collapsed="false"/>
    <row r="54" customFormat="false" ht="15.75" hidden="false" customHeight="true" outlineLevel="0" collapsed="false">
      <c r="B54" s="127" t="s">
        <v>265</v>
      </c>
      <c r="C54" s="127"/>
      <c r="D54" s="127"/>
      <c r="E54" s="127"/>
      <c r="F54" s="127"/>
      <c r="G54" s="127"/>
      <c r="H54" s="127"/>
      <c r="I54" s="127"/>
    </row>
    <row r="55" customFormat="false" ht="15.75" hidden="false" customHeight="true" outlineLevel="0" collapsed="false"/>
    <row r="56" customFormat="false" ht="15.75" hidden="false" customHeight="true" outlineLevel="0" collapsed="false">
      <c r="B56" s="117" t="s">
        <v>266</v>
      </c>
    </row>
    <row r="57" customFormat="false" ht="15.75" hidden="false" customHeight="true" outlineLevel="0" collapsed="false">
      <c r="B57" s="118" t="s">
        <v>267</v>
      </c>
      <c r="C57" s="118"/>
      <c r="D57" s="118"/>
      <c r="E57" s="118"/>
      <c r="F57" s="118"/>
      <c r="G57" s="118"/>
    </row>
    <row r="58" customFormat="false" ht="15.75" hidden="false" customHeight="true" outlineLevel="0" collapsed="false">
      <c r="B58" s="119" t="s">
        <v>249</v>
      </c>
      <c r="C58" s="119" t="s">
        <v>250</v>
      </c>
      <c r="D58" s="119" t="s">
        <v>268</v>
      </c>
      <c r="E58" s="119" t="s">
        <v>269</v>
      </c>
      <c r="F58" s="119" t="s">
        <v>270</v>
      </c>
      <c r="G58" s="119" t="s">
        <v>271</v>
      </c>
    </row>
    <row r="59" customFormat="false" ht="15.75" hidden="false" customHeight="true" outlineLevel="0" collapsed="false">
      <c r="B59" s="128" t="s">
        <v>252</v>
      </c>
      <c r="C59" s="39" t="str">
        <f aca="false">IF(Dashboard!$D4="","",Dashboard!$E4)</f>
        <v>Hoạt động (Đơn của tôi)</v>
      </c>
      <c r="D59" s="120" t="n">
        <f aca="false">IF(Dashboard!$D4="","",Dashboard!$F4)</f>
        <v>21</v>
      </c>
      <c r="E59" s="120" t="n">
        <f aca="false">IF(Dashboard!$D4="","",Dashboard!$L4)</f>
        <v>21</v>
      </c>
      <c r="F59" s="129" t="n">
        <f aca="false">IFERROR(E59/D59,0)</f>
        <v>1</v>
      </c>
      <c r="G59" s="39"/>
    </row>
    <row r="60" customFormat="false" ht="15.75" hidden="false" customHeight="true" outlineLevel="0" collapsed="false">
      <c r="B60" s="128" t="s">
        <v>254</v>
      </c>
      <c r="C60" s="39" t="str">
        <f aca="false">IF(Dashboard!$D5="","",Dashboard!$E5)</f>
        <v>Cá nhân</v>
      </c>
      <c r="D60" s="120" t="n">
        <f aca="false">IF(Dashboard!$D5="","",Dashboard!$F5)</f>
        <v>17</v>
      </c>
      <c r="E60" s="120" t="n">
        <f aca="false">IF(Dashboard!$D5="","",Dashboard!$L5)</f>
        <v>17</v>
      </c>
      <c r="F60" s="129" t="n">
        <f aca="false">IFERROR(E60/D60,0)</f>
        <v>1</v>
      </c>
      <c r="G60" s="39"/>
    </row>
    <row r="61" customFormat="false" ht="15.75" hidden="false" customHeight="true" outlineLevel="0" collapsed="false">
      <c r="B61" s="128" t="s">
        <v>256</v>
      </c>
      <c r="C61" s="39" t="str">
        <f aca="false">IF(Dashboard!$D6="","",Dashboard!$E6)</f>
        <v>Thông báo</v>
      </c>
      <c r="D61" s="120" t="n">
        <f aca="false">IF(Dashboard!$D6="","",Dashboard!$F6)</f>
        <v>39</v>
      </c>
      <c r="E61" s="120" t="n">
        <f aca="false">IF(Dashboard!$D6="","",Dashboard!$L6)</f>
        <v>39</v>
      </c>
      <c r="F61" s="129" t="n">
        <f aca="false">IFERROR(E61/D61,0)</f>
        <v>1</v>
      </c>
      <c r="G61" s="39"/>
    </row>
    <row r="62" customFormat="false" ht="15.75" hidden="false" customHeight="true" outlineLevel="0" collapsed="false">
      <c r="B62" s="119" t="s">
        <v>243</v>
      </c>
      <c r="C62" s="130"/>
      <c r="D62" s="122" t="n">
        <f aca="false">Dashboard!$F$34</f>
        <v>347</v>
      </c>
      <c r="E62" s="122" t="n">
        <f aca="false">Dashboard!$L$34</f>
        <v>85</v>
      </c>
      <c r="F62" s="131" t="n">
        <f aca="false">IFERROR(E62/D62,0)</f>
        <v>0.244956772334294</v>
      </c>
      <c r="G62" s="130"/>
    </row>
    <row r="63" customFormat="false" ht="15.75" hidden="false" customHeight="true" outlineLevel="0" collapsed="false">
      <c r="B63" s="132" t="s">
        <v>272</v>
      </c>
      <c r="C63" s="132"/>
      <c r="D63" s="132"/>
      <c r="E63" s="132"/>
      <c r="F63" s="132"/>
      <c r="G63" s="132"/>
    </row>
    <row r="64" customFormat="false" ht="15.75" hidden="false" customHeight="true" outlineLevel="0" collapsed="false">
      <c r="H64" s="133"/>
      <c r="I64" s="133"/>
    </row>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c r="B81" s="117" t="s">
        <v>273</v>
      </c>
    </row>
    <row r="82" customFormat="false" ht="15.75" hidden="false" customHeight="true" outlineLevel="0" collapsed="false">
      <c r="B82" s="118" t="s">
        <v>274</v>
      </c>
      <c r="C82" s="118"/>
      <c r="D82" s="118"/>
    </row>
    <row r="83" customFormat="false" ht="15.75" hidden="false" customHeight="true" outlineLevel="0" collapsed="false">
      <c r="B83" s="119" t="s">
        <v>20</v>
      </c>
      <c r="C83" s="119" t="s">
        <v>117</v>
      </c>
      <c r="D83" s="119" t="s">
        <v>251</v>
      </c>
    </row>
    <row r="84" customFormat="false" ht="15.75" hidden="false" customHeight="true" outlineLevel="0" collapsed="false">
      <c r="B84" s="104" t="s">
        <v>22</v>
      </c>
      <c r="C84" s="120" t="n">
        <f aca="false">Dashboard!$G$34</f>
        <v>38</v>
      </c>
      <c r="D84" s="129" t="n">
        <f aca="false">IFERROR(C84/$C$89,0)</f>
        <v>0.109510086455331</v>
      </c>
    </row>
    <row r="85" customFormat="false" ht="15.75" hidden="false" customHeight="true" outlineLevel="0" collapsed="false">
      <c r="B85" s="104" t="s">
        <v>24</v>
      </c>
      <c r="C85" s="120" t="n">
        <f aca="false">Dashboard!$H$34</f>
        <v>7</v>
      </c>
      <c r="D85" s="129" t="n">
        <f aca="false">IFERROR(C85/$C$89,0)</f>
        <v>0.0201729106628242</v>
      </c>
    </row>
    <row r="86" customFormat="false" ht="15.75" hidden="false" customHeight="true" outlineLevel="0" collapsed="false">
      <c r="B86" s="104" t="s">
        <v>26</v>
      </c>
      <c r="C86" s="120" t="n">
        <f aca="false">Dashboard!$I$34</f>
        <v>40</v>
      </c>
      <c r="D86" s="129" t="n">
        <f aca="false">IFERROR(C86/$C$89,0)</f>
        <v>0.115273775216138</v>
      </c>
    </row>
    <row r="87" customFormat="false" ht="15.75" hidden="false" customHeight="true" outlineLevel="0" collapsed="false">
      <c r="B87" s="104" t="s">
        <v>28</v>
      </c>
      <c r="C87" s="120" t="n">
        <f aca="false">Dashboard!$J$34</f>
        <v>0</v>
      </c>
      <c r="D87" s="129" t="n">
        <f aca="false">IFERROR(C87/$C$89,0)</f>
        <v>0</v>
      </c>
    </row>
    <row r="88" customFormat="false" ht="15.75" hidden="false" customHeight="true" outlineLevel="0" collapsed="false">
      <c r="B88" s="104" t="s">
        <v>275</v>
      </c>
      <c r="C88" s="120" t="n">
        <f aca="false">Dashboard!$K$34</f>
        <v>262</v>
      </c>
      <c r="D88" s="129" t="n">
        <f aca="false">IFERROR(C88/$C$89,0)</f>
        <v>0.755043227665706</v>
      </c>
    </row>
    <row r="89" customFormat="false" ht="15.75" hidden="false" customHeight="true" outlineLevel="0" collapsed="false">
      <c r="B89" s="37" t="s">
        <v>243</v>
      </c>
      <c r="C89" s="122" t="n">
        <f aca="false">SUM(C84:C88)</f>
        <v>347</v>
      </c>
      <c r="D89" s="131" t="n">
        <f aca="false">IFERROR(SUM(D84:D88),0)</f>
        <v>1</v>
      </c>
    </row>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ustomFormat="false" ht="15.75" hidden="false" customHeight="true" outlineLevel="0" collapsed="false">
      <c r="B98" s="117" t="s">
        <v>276</v>
      </c>
    </row>
    <row r="99" customFormat="false" ht="15.75" hidden="false" customHeight="true" outlineLevel="0" collapsed="false">
      <c r="B99" s="118" t="s">
        <v>277</v>
      </c>
      <c r="C99" s="118"/>
      <c r="D99" s="118"/>
      <c r="E99" s="118"/>
    </row>
    <row r="100" customFormat="false" ht="15.75" hidden="false" customHeight="true" outlineLevel="0" collapsed="false">
      <c r="B100" s="119" t="s">
        <v>278</v>
      </c>
      <c r="C100" s="119" t="s">
        <v>117</v>
      </c>
      <c r="D100" s="119" t="s">
        <v>279</v>
      </c>
      <c r="E100" s="119" t="s">
        <v>251</v>
      </c>
    </row>
    <row r="101" customFormat="false" ht="15.75" hidden="false" customHeight="true" outlineLevel="0" collapsed="false">
      <c r="B101" s="104" t="s">
        <v>280</v>
      </c>
      <c r="C101" s="120" t="n">
        <f aca="false">COUNTIF('Bug Data'!$L:$L,20)</f>
        <v>3</v>
      </c>
      <c r="D101" s="128" t="n">
        <v>20</v>
      </c>
      <c r="E101" s="129" t="n">
        <f aca="false">IFERROR(C101/$C$105,0)</f>
        <v>0.1875</v>
      </c>
    </row>
    <row r="102" customFormat="false" ht="15.75" hidden="false" customHeight="true" outlineLevel="0" collapsed="false">
      <c r="B102" s="104" t="s">
        <v>281</v>
      </c>
      <c r="C102" s="120" t="n">
        <f aca="false">COUNTIF('Bug Data'!$L:$L,10)</f>
        <v>6</v>
      </c>
      <c r="D102" s="128" t="n">
        <v>10</v>
      </c>
      <c r="E102" s="129" t="n">
        <f aca="false">IFERROR(C102/$C$105,0)</f>
        <v>0.375</v>
      </c>
    </row>
    <row r="103" customFormat="false" ht="15.75" hidden="false" customHeight="true" outlineLevel="0" collapsed="false">
      <c r="B103" s="104" t="s">
        <v>282</v>
      </c>
      <c r="C103" s="120" t="n">
        <f aca="false">COUNTIF('Bug Data'!$L:$L,5)</f>
        <v>5</v>
      </c>
      <c r="D103" s="128" t="n">
        <v>5</v>
      </c>
      <c r="E103" s="129" t="n">
        <f aca="false">IFERROR(C103/$C$105,0)</f>
        <v>0.3125</v>
      </c>
    </row>
    <row r="104" customFormat="false" ht="15.75" hidden="false" customHeight="true" outlineLevel="0" collapsed="false">
      <c r="B104" s="104" t="s">
        <v>283</v>
      </c>
      <c r="C104" s="120" t="n">
        <f aca="false">COUNTIF('Bug Data'!$L:$L,2)</f>
        <v>2</v>
      </c>
      <c r="D104" s="128" t="n">
        <v>2</v>
      </c>
      <c r="E104" s="129" t="n">
        <f aca="false">IFERROR(C104/$C$105,0)</f>
        <v>0.125</v>
      </c>
    </row>
    <row r="105" customFormat="false" ht="15.75" hidden="false" customHeight="true" outlineLevel="0" collapsed="false">
      <c r="B105" s="37" t="s">
        <v>243</v>
      </c>
      <c r="C105" s="122" t="n">
        <f aca="false">SUM(C101:C104)</f>
        <v>16</v>
      </c>
      <c r="D105" s="130"/>
      <c r="E105" s="131" t="n">
        <f aca="false">IFERROR(SUM(E101:E104),0)</f>
        <v>1</v>
      </c>
    </row>
    <row r="106" customFormat="false" ht="15.75" hidden="false" customHeight="true" outlineLevel="0" collapsed="false">
      <c r="B106" s="41" t="s">
        <v>284</v>
      </c>
      <c r="C106" s="41"/>
      <c r="D106" s="41"/>
      <c r="E106" s="41"/>
    </row>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c r="B114" s="116" t="s">
        <v>285</v>
      </c>
      <c r="C114" s="116"/>
      <c r="D114" s="116"/>
      <c r="E114" s="116"/>
      <c r="F114" s="116"/>
      <c r="G114" s="116"/>
      <c r="H114" s="116"/>
      <c r="I114" s="116"/>
    </row>
    <row r="115" customFormat="false" ht="15.75" hidden="false" customHeight="true" outlineLevel="0" collapsed="false"/>
    <row r="116" customFormat="false" ht="15.75" hidden="false" customHeight="true" outlineLevel="0" collapsed="false">
      <c r="B116" s="117" t="s">
        <v>286</v>
      </c>
    </row>
    <row r="117" customFormat="false" ht="15.75" hidden="false" customHeight="true" outlineLevel="0" collapsed="false">
      <c r="B117" s="118" t="s">
        <v>287</v>
      </c>
      <c r="C117" s="118"/>
      <c r="D117" s="118"/>
    </row>
    <row r="118" customFormat="false" ht="15.75" hidden="false" customHeight="true" outlineLevel="0" collapsed="false">
      <c r="B118" s="119" t="s">
        <v>288</v>
      </c>
      <c r="C118" s="119" t="s">
        <v>117</v>
      </c>
      <c r="D118" s="119" t="s">
        <v>251</v>
      </c>
    </row>
    <row r="119" customFormat="false" ht="15.75" hidden="false" customHeight="true" outlineLevel="0" collapsed="false">
      <c r="B119" s="104" t="s">
        <v>289</v>
      </c>
      <c r="C119" s="120" t="n">
        <f aca="false">COUNTIF('Bug Data'!$P:$P,$B119)</f>
        <v>6</v>
      </c>
      <c r="D119" s="129" t="n">
        <f aca="false">IFERROR(C119/$C$121,0)</f>
        <v>0.75</v>
      </c>
    </row>
    <row r="120" customFormat="false" ht="15.75" hidden="false" customHeight="true" outlineLevel="0" collapsed="false">
      <c r="B120" s="104" t="s">
        <v>290</v>
      </c>
      <c r="C120" s="120" t="n">
        <f aca="false">COUNTIF('Bug Data'!$P:$P,$B120)</f>
        <v>2</v>
      </c>
      <c r="D120" s="129" t="n">
        <f aca="false">IFERROR(C120/$C$121,0)</f>
        <v>0.25</v>
      </c>
    </row>
    <row r="121" customFormat="false" ht="15.75" hidden="false" customHeight="true" outlineLevel="0" collapsed="false">
      <c r="B121" s="37" t="s">
        <v>243</v>
      </c>
      <c r="C121" s="122" t="n">
        <f aca="false">SUM(C119:C120)</f>
        <v>8</v>
      </c>
      <c r="D121" s="131" t="n">
        <f aca="false">IFERROR(SUM(D119:D120),0)</f>
        <v>1</v>
      </c>
    </row>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c r="B132" s="117" t="s">
        <v>291</v>
      </c>
    </row>
    <row r="133" customFormat="false" ht="15.75" hidden="false" customHeight="true" outlineLevel="0" collapsed="false">
      <c r="B133" s="118" t="s">
        <v>292</v>
      </c>
      <c r="C133" s="118"/>
      <c r="D133" s="118"/>
      <c r="E133" s="118"/>
    </row>
    <row r="134" customFormat="false" ht="15.75" hidden="false" customHeight="true" outlineLevel="0" collapsed="false">
      <c r="B134" s="119" t="s">
        <v>293</v>
      </c>
      <c r="C134" s="119" t="s">
        <v>294</v>
      </c>
      <c r="D134" s="119"/>
      <c r="E134" s="119" t="s">
        <v>117</v>
      </c>
    </row>
    <row r="135" customFormat="false" ht="15.75" hidden="false" customHeight="true" outlineLevel="0" collapsed="false">
      <c r="B135" s="135" t="s">
        <v>295</v>
      </c>
      <c r="C135" s="39" t="s">
        <v>296</v>
      </c>
      <c r="D135" s="39"/>
      <c r="E135" s="120" t="n">
        <f aca="false">COUNTIF('Bug Data'!$Q:$Q,$B135&amp;" "&amp;$C135)</f>
        <v>0</v>
      </c>
    </row>
    <row r="136" customFormat="false" ht="15.75" hidden="false" customHeight="true" outlineLevel="0" collapsed="false">
      <c r="B136" s="135" t="s">
        <v>297</v>
      </c>
      <c r="C136" s="39" t="s">
        <v>298</v>
      </c>
      <c r="D136" s="39"/>
      <c r="E136" s="120" t="n">
        <f aca="false">COUNTIF('Bug Data'!$Q:$Q,$B136&amp;" "&amp;$C136)</f>
        <v>0</v>
      </c>
    </row>
    <row r="137" customFormat="false" ht="15.75" hidden="false" customHeight="true" outlineLevel="0" collapsed="false">
      <c r="B137" s="135" t="s">
        <v>299</v>
      </c>
      <c r="C137" s="39" t="s">
        <v>300</v>
      </c>
      <c r="D137" s="39"/>
      <c r="E137" s="120" t="n">
        <f aca="false">COUNTIF('Bug Data'!$Q:$Q,$B137&amp;" "&amp;$C137)</f>
        <v>1</v>
      </c>
    </row>
    <row r="138" customFormat="false" ht="15.75" hidden="false" customHeight="true" outlineLevel="0" collapsed="false">
      <c r="B138" s="135" t="s">
        <v>301</v>
      </c>
      <c r="C138" s="39" t="s">
        <v>302</v>
      </c>
      <c r="D138" s="39"/>
      <c r="E138" s="120" t="n">
        <f aca="false">COUNTIF('Bug Data'!$Q:$Q,$B138&amp;" "&amp;$C138)</f>
        <v>0</v>
      </c>
    </row>
    <row r="139" customFormat="false" ht="15.75" hidden="false" customHeight="true" outlineLevel="0" collapsed="false">
      <c r="B139" s="135" t="s">
        <v>303</v>
      </c>
      <c r="C139" s="39" t="s">
        <v>304</v>
      </c>
      <c r="D139" s="39"/>
      <c r="E139" s="120" t="n">
        <f aca="false">COUNTIF('Bug Data'!$Q:$Q,$B139&amp;" "&amp;$C139)</f>
        <v>0</v>
      </c>
    </row>
    <row r="140" customFormat="false" ht="15.75" hidden="false" customHeight="true" outlineLevel="0" collapsed="false">
      <c r="B140" s="135" t="s">
        <v>305</v>
      </c>
      <c r="C140" s="39" t="s">
        <v>306</v>
      </c>
      <c r="D140" s="39"/>
      <c r="E140" s="120" t="n">
        <f aca="false">COUNTIF('Bug Data'!$Q:$Q,$B140&amp;" "&amp;$C140)</f>
        <v>0</v>
      </c>
    </row>
    <row r="141" customFormat="false" ht="15.75" hidden="false" customHeight="true" outlineLevel="0" collapsed="false">
      <c r="B141" s="135" t="s">
        <v>307</v>
      </c>
      <c r="C141" s="39" t="s">
        <v>308</v>
      </c>
      <c r="D141" s="39"/>
      <c r="E141" s="120" t="n">
        <f aca="false">COUNTIF('Bug Data'!$Q:$Q,$B141&amp;" "&amp;$C141)</f>
        <v>1</v>
      </c>
    </row>
    <row r="142" customFormat="false" ht="15.75" hidden="false" customHeight="true" outlineLevel="0" collapsed="false">
      <c r="B142" s="135" t="s">
        <v>309</v>
      </c>
      <c r="C142" s="39" t="s">
        <v>310</v>
      </c>
      <c r="D142" s="39"/>
      <c r="E142" s="120" t="n">
        <f aca="false">COUNTIF('Bug Data'!$Q:$Q,$B142&amp;" "&amp;$C142)</f>
        <v>0</v>
      </c>
    </row>
    <row r="143" customFormat="false" ht="15.75" hidden="false" customHeight="true" outlineLevel="0" collapsed="false">
      <c r="B143" s="135" t="s">
        <v>311</v>
      </c>
      <c r="C143" s="39" t="s">
        <v>312</v>
      </c>
      <c r="D143" s="39"/>
      <c r="E143" s="120" t="n">
        <f aca="false">COUNTIF('Bug Data'!$Q:$Q,$B143&amp;" "&amp;$C143)</f>
        <v>0</v>
      </c>
    </row>
    <row r="144" customFormat="false" ht="15.75" hidden="false" customHeight="true" outlineLevel="0" collapsed="false">
      <c r="B144" s="135" t="s">
        <v>313</v>
      </c>
      <c r="C144" s="39" t="s">
        <v>314</v>
      </c>
      <c r="D144" s="39"/>
      <c r="E144" s="120" t="n">
        <f aca="false">COUNTIF('Bug Data'!$Q:$Q,$B144&amp;" "&amp;$C144)</f>
        <v>0</v>
      </c>
    </row>
    <row r="145" customFormat="false" ht="15.75" hidden="false" customHeight="true" outlineLevel="0" collapsed="false">
      <c r="B145" s="135" t="s">
        <v>243</v>
      </c>
      <c r="C145" s="39"/>
      <c r="D145" s="39"/>
      <c r="E145" s="120" t="n">
        <f aca="false">SUM(E135:E144)</f>
        <v>2</v>
      </c>
    </row>
    <row r="146" customFormat="false" ht="15.75" hidden="false" customHeight="true" outlineLevel="0" collapsed="false"/>
    <row r="147" customFormat="false" ht="15.75" hidden="false" customHeight="true" outlineLevel="0" collapsed="false"/>
    <row r="148" customFormat="false" ht="15.75" hidden="false" customHeight="true" outlineLevel="0" collapsed="false">
      <c r="B148" s="117" t="s">
        <v>315</v>
      </c>
    </row>
    <row r="149" customFormat="false" ht="15.75" hidden="false" customHeight="true" outlineLevel="0" collapsed="false">
      <c r="B149" s="118" t="s">
        <v>316</v>
      </c>
      <c r="C149" s="118"/>
    </row>
    <row r="150" customFormat="false" ht="15.75" hidden="false" customHeight="true" outlineLevel="0" collapsed="false">
      <c r="B150" s="119" t="s">
        <v>317</v>
      </c>
      <c r="C150" s="119" t="s">
        <v>318</v>
      </c>
    </row>
    <row r="151" customFormat="false" ht="15.75" hidden="false" customHeight="true" outlineLevel="0" collapsed="false">
      <c r="B151" s="104" t="s">
        <v>319</v>
      </c>
      <c r="C151" s="120" t="n">
        <f aca="false">COUNTIF('Bug Data'!$R:$R,$B151)</f>
        <v>2</v>
      </c>
    </row>
    <row r="152" customFormat="false" ht="15.75" hidden="false" customHeight="true" outlineLevel="0" collapsed="false">
      <c r="B152" s="104" t="s">
        <v>320</v>
      </c>
      <c r="C152" s="120" t="n">
        <f aca="false">COUNTIF('Bug Data'!$R:$R,$B152)</f>
        <v>5</v>
      </c>
    </row>
    <row r="153" customFormat="false" ht="15.75" hidden="false" customHeight="true" outlineLevel="0" collapsed="false">
      <c r="B153" s="104" t="s">
        <v>321</v>
      </c>
      <c r="C153" s="120" t="n">
        <f aca="false">COUNTIF('Bug Data'!$R:$R,$B153)</f>
        <v>5</v>
      </c>
    </row>
    <row r="154" customFormat="false" ht="15.75" hidden="false" customHeight="true" outlineLevel="0" collapsed="false">
      <c r="B154" s="104" t="s">
        <v>322</v>
      </c>
      <c r="C154" s="120" t="n">
        <f aca="false">COUNTIF('Bug Data'!$R:$R,$B154)</f>
        <v>0</v>
      </c>
    </row>
    <row r="155" customFormat="false" ht="15.75" hidden="false" customHeight="true" outlineLevel="0" collapsed="false">
      <c r="B155" s="104" t="s">
        <v>323</v>
      </c>
      <c r="C155" s="120" t="n">
        <f aca="false">COUNTIF('Bug Data'!$R:$R,$B155)</f>
        <v>3</v>
      </c>
    </row>
    <row r="156" customFormat="false" ht="15.75" hidden="false" customHeight="true" outlineLevel="0" collapsed="false">
      <c r="B156" s="104" t="s">
        <v>324</v>
      </c>
      <c r="C156" s="120" t="n">
        <f aca="false">COUNTIF('Bug Data'!$R:$R,$B156)</f>
        <v>1</v>
      </c>
    </row>
    <row r="157" customFormat="false" ht="15.75" hidden="false" customHeight="true" outlineLevel="0" collapsed="false">
      <c r="B157" s="37" t="s">
        <v>243</v>
      </c>
      <c r="C157" s="122" t="n">
        <f aca="false">SUM(C151:C156)</f>
        <v>16</v>
      </c>
    </row>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c r="B164" s="117" t="s">
        <v>325</v>
      </c>
    </row>
    <row r="165" customFormat="false" ht="15.75" hidden="false" customHeight="true" outlineLevel="0" collapsed="false">
      <c r="B165" s="118" t="s">
        <v>326</v>
      </c>
      <c r="C165" s="118"/>
    </row>
    <row r="166" customFormat="false" ht="15.75" hidden="false" customHeight="true" outlineLevel="0" collapsed="false">
      <c r="B166" s="119" t="s">
        <v>317</v>
      </c>
      <c r="C166" s="119" t="s">
        <v>318</v>
      </c>
    </row>
    <row r="167" customFormat="false" ht="15.75" hidden="false" customHeight="true" outlineLevel="0" collapsed="false">
      <c r="B167" s="104" t="s">
        <v>327</v>
      </c>
      <c r="C167" s="120" t="n">
        <f aca="false">COUNTIF('Bug Data'!$S:$S,$B167)</f>
        <v>6</v>
      </c>
    </row>
    <row r="168" customFormat="false" ht="15.75" hidden="false" customHeight="true" outlineLevel="0" collapsed="false">
      <c r="B168" s="104" t="s">
        <v>328</v>
      </c>
      <c r="C168" s="120" t="n">
        <f aca="false">COUNTIF('Bug Data'!$S:$S,$B168)</f>
        <v>2</v>
      </c>
    </row>
    <row r="169" customFormat="false" ht="15.75" hidden="false" customHeight="true" outlineLevel="0" collapsed="false">
      <c r="B169" s="104" t="s">
        <v>329</v>
      </c>
      <c r="C169" s="120" t="n">
        <f aca="false">COUNTIF('Bug Data'!$S:$S,$B169)</f>
        <v>2</v>
      </c>
    </row>
    <row r="170" customFormat="false" ht="15.75" hidden="false" customHeight="true" outlineLevel="0" collapsed="false">
      <c r="B170" s="104" t="s">
        <v>330</v>
      </c>
      <c r="C170" s="120" t="n">
        <f aca="false">COUNTIF('Bug Data'!$S:$S,$B170)</f>
        <v>1</v>
      </c>
    </row>
    <row r="171" customFormat="false" ht="15.75" hidden="false" customHeight="true" outlineLevel="0" collapsed="false">
      <c r="B171" s="104" t="s">
        <v>331</v>
      </c>
      <c r="C171" s="120" t="n">
        <f aca="false">COUNTIF('Bug Data'!$S:$S,$B171)</f>
        <v>5</v>
      </c>
    </row>
    <row r="172" customFormat="false" ht="15.75" hidden="false" customHeight="true" outlineLevel="0" collapsed="false">
      <c r="B172" s="37" t="s">
        <v>243</v>
      </c>
      <c r="C172" s="122" t="n">
        <f aca="false">SUM(C167:C171)</f>
        <v>16</v>
      </c>
    </row>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c r="B180" s="117" t="s">
        <v>332</v>
      </c>
    </row>
    <row r="181" customFormat="false" ht="15.75" hidden="false" customHeight="true" outlineLevel="0" collapsed="false">
      <c r="B181" s="118" t="s">
        <v>333</v>
      </c>
      <c r="C181" s="118"/>
    </row>
    <row r="182" customFormat="false" ht="15.75" hidden="false" customHeight="true" outlineLevel="0" collapsed="false">
      <c r="B182" s="119" t="s">
        <v>334</v>
      </c>
      <c r="C182" s="119" t="s">
        <v>318</v>
      </c>
    </row>
    <row r="183" customFormat="false" ht="15.75" hidden="false" customHeight="true" outlineLevel="0" collapsed="false">
      <c r="B183" s="104" t="s">
        <v>335</v>
      </c>
      <c r="C183" s="120" t="n">
        <f aca="false">COUNTIFS('Bug Data'!$T:$T,"&gt;="&amp;1,'Bug Data'!$T:$T,"&lt;="&amp;2)</f>
        <v>13</v>
      </c>
    </row>
    <row r="184" customFormat="false" ht="15.75" hidden="false" customHeight="true" outlineLevel="0" collapsed="false">
      <c r="B184" s="104" t="s">
        <v>336</v>
      </c>
      <c r="C184" s="120" t="n">
        <f aca="false">COUNTIFS('Bug Data'!$T:$T,"&gt;="&amp;3,'Bug Data'!$T:$T,"&lt;="&amp;5)</f>
        <v>3</v>
      </c>
    </row>
    <row r="185" customFormat="false" ht="15.75" hidden="false" customHeight="true" outlineLevel="0" collapsed="false">
      <c r="B185" s="104" t="s">
        <v>337</v>
      </c>
      <c r="C185" s="120" t="n">
        <f aca="false">COUNTIFS('Bug Data'!$T:$T,"&gt;="&amp;6,'Bug Data'!$T:$T,"&lt;="&amp;7)</f>
        <v>0</v>
      </c>
    </row>
    <row r="186" customFormat="false" ht="15.75" hidden="false" customHeight="true" outlineLevel="0" collapsed="false">
      <c r="B186" s="104" t="s">
        <v>338</v>
      </c>
      <c r="C186" s="120" t="n">
        <f aca="false">COUNTIFS('Bug Data'!$T:$T,"&gt;="&amp;8,'Bug Data'!$T:$T,"&lt;="&amp;10)</f>
        <v>0</v>
      </c>
    </row>
    <row r="187" customFormat="false" ht="15.75" hidden="false" customHeight="true" outlineLevel="0" collapsed="false">
      <c r="B187" s="37" t="s">
        <v>243</v>
      </c>
      <c r="C187" s="122" t="n">
        <f aca="false">SUM(C183:C186)</f>
        <v>16</v>
      </c>
    </row>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c r="B196" s="117" t="s">
        <v>339</v>
      </c>
    </row>
    <row r="197" customFormat="false" ht="15.75" hidden="false" customHeight="true" outlineLevel="0" collapsed="false">
      <c r="B197" s="136" t="s">
        <v>340</v>
      </c>
      <c r="C197" s="136"/>
      <c r="D197" s="136"/>
    </row>
    <row r="198" customFormat="false" ht="15.75" hidden="false" customHeight="true" outlineLevel="0" collapsed="false">
      <c r="B198" s="114" t="s">
        <v>116</v>
      </c>
      <c r="C198" s="137" t="s">
        <v>117</v>
      </c>
      <c r="D198" s="137" t="s">
        <v>118</v>
      </c>
    </row>
    <row r="199" customFormat="false" ht="15.75" hidden="false" customHeight="true" outlineLevel="0" collapsed="false">
      <c r="B199" s="138" t="s">
        <v>105</v>
      </c>
      <c r="C199" s="52" t="n">
        <f aca="false">Summary!$C$17</f>
        <v>347</v>
      </c>
      <c r="D199" s="139" t="n">
        <v>1</v>
      </c>
    </row>
    <row r="200" customFormat="false" ht="15.75" hidden="false" customHeight="true" outlineLevel="0" collapsed="false">
      <c r="B200" s="138" t="s">
        <v>341</v>
      </c>
      <c r="C200" s="52" t="n">
        <f aca="false">Summary!$C$44</f>
        <v>347</v>
      </c>
      <c r="D200" s="140" t="n">
        <f aca="false">IFERROR(C200/$C$199,0)</f>
        <v>1</v>
      </c>
    </row>
    <row r="201" customFormat="false" ht="15.75" hidden="false" customHeight="true" outlineLevel="0" collapsed="false">
      <c r="B201" s="138" t="s">
        <v>342</v>
      </c>
      <c r="C201" s="52" t="n">
        <f aca="false">Summary!$C$45</f>
        <v>0</v>
      </c>
      <c r="D201" s="53" t="n">
        <f aca="false">IFERROR(C201/$C$199,0)</f>
        <v>0</v>
      </c>
    </row>
    <row r="202" customFormat="false" ht="15.75" hidden="false" customHeight="true" outlineLevel="0" collapsed="false">
      <c r="B202" s="138" t="s">
        <v>343</v>
      </c>
      <c r="C202" s="52" t="n">
        <f aca="false">Summary!$C$46</f>
        <v>0</v>
      </c>
      <c r="D202" s="140" t="n">
        <f aca="false">IFERROR(C202/$C$199,0)</f>
        <v>0</v>
      </c>
    </row>
    <row r="203" customFormat="false" ht="15.75" hidden="false" customHeight="true" outlineLevel="0" collapsed="false">
      <c r="B203" s="138" t="s">
        <v>344</v>
      </c>
      <c r="C203" s="52" t="n">
        <f aca="false">Summary!$C$47</f>
        <v>85</v>
      </c>
      <c r="D203" s="140" t="n">
        <f aca="false">IFERROR(C203/$C$199,0)</f>
        <v>0.244956772334294</v>
      </c>
    </row>
    <row r="204" customFormat="false" ht="15.75" hidden="false" customHeight="true" outlineLevel="0" collapsed="false">
      <c r="B204" s="138" t="s">
        <v>345</v>
      </c>
      <c r="C204" s="52" t="n">
        <f aca="false">Summary!$C$49</f>
        <v>0</v>
      </c>
      <c r="D204" s="53" t="n">
        <f aca="false">IFERROR(C204/$C$199,0)</f>
        <v>0</v>
      </c>
    </row>
    <row r="205" customFormat="false" ht="15.75" hidden="false" customHeight="true" outlineLevel="0" collapsed="false">
      <c r="B205" s="138" t="s">
        <v>123</v>
      </c>
      <c r="C205" s="52" t="n">
        <f aca="false">Summary!$C$48</f>
        <v>0</v>
      </c>
      <c r="D205" s="140" t="n">
        <f aca="false">IFERROR(C205/$C$199,0)</f>
        <v>0</v>
      </c>
    </row>
    <row r="206" customFormat="false" ht="15.75" hidden="false" customHeight="true" outlineLevel="0" collapsed="false">
      <c r="B206" s="138" t="s">
        <v>346</v>
      </c>
      <c r="C206" s="141" t="n">
        <v>0</v>
      </c>
      <c r="D206" s="140" t="n">
        <f aca="false">IFERROR(C206/SUM('Report Test'!$C$20:$F$20),0)</f>
        <v>0</v>
      </c>
    </row>
    <row r="207" customFormat="false" ht="15.75" hidden="false" customHeight="true" outlineLevel="0" collapsed="false">
      <c r="B207" s="142"/>
      <c r="D207" s="143"/>
    </row>
    <row r="208" customFormat="false" ht="15.75" hidden="false" customHeight="true" outlineLevel="0" collapsed="false">
      <c r="B208" s="144" t="s">
        <v>347</v>
      </c>
      <c r="C208" s="144"/>
      <c r="D208" s="144"/>
    </row>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c r="B214" s="145" t="s">
        <v>348</v>
      </c>
      <c r="C214" s="145"/>
      <c r="D214" s="145"/>
      <c r="E214" s="145"/>
      <c r="F214" s="145"/>
      <c r="G214" s="145"/>
      <c r="H214" s="145"/>
      <c r="I214" s="145"/>
      <c r="J214" s="145"/>
      <c r="K214" s="145"/>
      <c r="L214" s="145"/>
    </row>
    <row r="215" customFormat="false" ht="15.75" hidden="false" customHeight="true" outlineLevel="0" collapsed="false">
      <c r="B215" s="63" t="s">
        <v>349</v>
      </c>
      <c r="C215" s="63"/>
      <c r="D215" s="63"/>
      <c r="E215" s="63"/>
      <c r="F215" s="63"/>
      <c r="G215" s="63"/>
      <c r="H215" s="63"/>
      <c r="I215" s="63"/>
      <c r="J215" s="63"/>
      <c r="K215" s="63"/>
      <c r="L215" s="63"/>
    </row>
    <row r="216" customFormat="false" ht="15.75" hidden="false" customHeight="true" outlineLevel="0" collapsed="false">
      <c r="B216" s="146" t="s">
        <v>350</v>
      </c>
      <c r="C216" s="146"/>
      <c r="D216" s="146"/>
      <c r="E216" s="146"/>
      <c r="F216" s="146"/>
      <c r="G216" s="146"/>
      <c r="H216" s="146"/>
      <c r="I216" s="146"/>
      <c r="J216" s="146"/>
      <c r="K216" s="146"/>
      <c r="L216" s="146"/>
    </row>
    <row r="217" customFormat="false" ht="31.5" hidden="false" customHeight="true" outlineLevel="0" collapsed="false">
      <c r="B217" s="147" t="s">
        <v>351</v>
      </c>
      <c r="C217" s="148" t="s">
        <v>352</v>
      </c>
      <c r="D217" s="148" t="s">
        <v>268</v>
      </c>
      <c r="E217" s="148" t="s">
        <v>153</v>
      </c>
      <c r="F217" s="149" t="s">
        <v>22</v>
      </c>
      <c r="G217" s="149" t="s">
        <v>24</v>
      </c>
      <c r="H217" s="147" t="s">
        <v>26</v>
      </c>
      <c r="I217" s="147" t="s">
        <v>28</v>
      </c>
      <c r="J217" s="147" t="s">
        <v>353</v>
      </c>
      <c r="K217" s="147" t="s">
        <v>354</v>
      </c>
      <c r="L217" s="147" t="s">
        <v>355</v>
      </c>
    </row>
    <row r="218" customFormat="false" ht="30" hidden="false" customHeight="true" outlineLevel="0" collapsed="false">
      <c r="B218" s="150" t="s">
        <v>356</v>
      </c>
      <c r="C218" s="151" t="s">
        <v>357</v>
      </c>
      <c r="D218" s="152" t="n">
        <f aca="false">Dashboard!$F$34</f>
        <v>347</v>
      </c>
      <c r="E218" s="152" t="n">
        <f aca="false">Dashboard!$AE$34</f>
        <v>87</v>
      </c>
      <c r="F218" s="152" t="n">
        <f aca="false">Dashboard!$AF$34</f>
        <v>34</v>
      </c>
      <c r="G218" s="152" t="n">
        <f aca="false">Dashboard!$AG$34</f>
        <v>8</v>
      </c>
      <c r="H218" s="152" t="n">
        <f aca="false">Dashboard!$AH$34</f>
        <v>45</v>
      </c>
      <c r="I218" s="152" t="n">
        <f aca="false">Dashboard!$AI$34</f>
        <v>0</v>
      </c>
      <c r="J218" s="153" t="n">
        <f aca="false">IFERROR(IF(E218=0,"",E218/D218),"")</f>
        <v>0.250720461095101</v>
      </c>
      <c r="K218" s="153" t="n">
        <f aca="false">IFERROR(IF(E218=0,"",F218/E218),"")</f>
        <v>0.390804597701149</v>
      </c>
      <c r="L218" s="151" t="s">
        <v>358</v>
      </c>
    </row>
    <row r="219" customFormat="false" ht="30" hidden="false" customHeight="true" outlineLevel="0" collapsed="false">
      <c r="B219" s="150" t="s">
        <v>359</v>
      </c>
      <c r="C219" s="151" t="s">
        <v>360</v>
      </c>
      <c r="D219" s="152" t="n">
        <f aca="false">Dashboard!$F$34</f>
        <v>347</v>
      </c>
      <c r="E219" s="152" t="n">
        <f aca="false">Dashboard!$AJ$34</f>
        <v>17</v>
      </c>
      <c r="F219" s="152" t="n">
        <f aca="false">Dashboard!$AK$34</f>
        <v>8</v>
      </c>
      <c r="G219" s="152" t="n">
        <f aca="false">Dashboard!$AL$34</f>
        <v>3</v>
      </c>
      <c r="H219" s="152" t="n">
        <f aca="false">Dashboard!$AM$34</f>
        <v>6</v>
      </c>
      <c r="I219" s="152" t="n">
        <f aca="false">Dashboard!$AN$34</f>
        <v>0</v>
      </c>
      <c r="J219" s="153" t="n">
        <f aca="false">IFERROR(IF(E219=0,"",E219/D219),"")</f>
        <v>0.0489913544668588</v>
      </c>
      <c r="K219" s="153" t="n">
        <f aca="false">IFERROR(IF(E219=0,"",F219/E219),"")</f>
        <v>0.470588235294118</v>
      </c>
      <c r="L219" s="151" t="s">
        <v>361</v>
      </c>
    </row>
    <row r="220" customFormat="false" ht="30" hidden="false" customHeight="true" outlineLevel="0" collapsed="false">
      <c r="B220" s="150" t="s">
        <v>362</v>
      </c>
      <c r="C220" s="151" t="s">
        <v>363</v>
      </c>
      <c r="D220" s="152" t="n">
        <f aca="false">Dashboard!$F$34</f>
        <v>347</v>
      </c>
      <c r="E220" s="152" t="n">
        <f aca="false">Dashboard!$AO$34</f>
        <v>9</v>
      </c>
      <c r="F220" s="152" t="n">
        <f aca="false">Dashboard!$AP$34</f>
        <v>4</v>
      </c>
      <c r="G220" s="152" t="n">
        <f aca="false">Dashboard!$AQ$34</f>
        <v>3</v>
      </c>
      <c r="H220" s="152" t="n">
        <f aca="false">Dashboard!$AR$34</f>
        <v>2</v>
      </c>
      <c r="I220" s="152" t="n">
        <f aca="false">Dashboard!$AS$34</f>
        <v>0</v>
      </c>
      <c r="J220" s="153" t="n">
        <f aca="false">IFERROR(IF(E220=0,"",E220/D220),"")</f>
        <v>0.0259365994236311</v>
      </c>
      <c r="K220" s="153" t="n">
        <f aca="false">IFERROR(IF(E220=0,"",F220/E220),"")</f>
        <v>0.444444444444444</v>
      </c>
      <c r="L220" s="151" t="s">
        <v>364</v>
      </c>
    </row>
    <row r="221" customFormat="false" ht="30" hidden="false" customHeight="true" outlineLevel="0" collapsed="false">
      <c r="B221" s="150" t="s">
        <v>365</v>
      </c>
      <c r="C221" s="151" t="s">
        <v>366</v>
      </c>
      <c r="D221" s="152" t="n">
        <f aca="false">Dashboard!$F$34</f>
        <v>347</v>
      </c>
      <c r="E221" s="152" t="n">
        <f aca="false">Dashboard!$AT$34</f>
        <v>0</v>
      </c>
      <c r="F221" s="152" t="n">
        <f aca="false">Dashboard!$AU$34</f>
        <v>0</v>
      </c>
      <c r="G221" s="152" t="n">
        <f aca="false">Dashboard!$AV$34</f>
        <v>0</v>
      </c>
      <c r="H221" s="152" t="n">
        <f aca="false">Dashboard!$AW$34</f>
        <v>0</v>
      </c>
      <c r="I221" s="152" t="n">
        <f aca="false">Dashboard!$AX$34</f>
        <v>0</v>
      </c>
      <c r="J221" s="153" t="str">
        <f aca="false">IFERROR(IF(E221=0,"",E221/D221),"")</f>
        <v/>
      </c>
      <c r="K221" s="153" t="str">
        <f aca="false">IFERROR(IF(E221=0,"",F221/E221),"")</f>
        <v/>
      </c>
      <c r="L221" s="151"/>
    </row>
    <row r="222" customFormat="false" ht="30" hidden="false" customHeight="true" outlineLevel="0" collapsed="false">
      <c r="B222" s="150" t="s">
        <v>367</v>
      </c>
      <c r="C222" s="151" t="s">
        <v>368</v>
      </c>
      <c r="D222" s="152" t="n">
        <f aca="false">Dashboard!$F$34</f>
        <v>347</v>
      </c>
      <c r="E222" s="152" t="n">
        <f aca="false">Dashboard!$AY$34</f>
        <v>0</v>
      </c>
      <c r="F222" s="152" t="n">
        <f aca="false">Dashboard!$AZ$34</f>
        <v>0</v>
      </c>
      <c r="G222" s="152" t="n">
        <f aca="false">Dashboard!$BA$34</f>
        <v>0</v>
      </c>
      <c r="H222" s="152" t="n">
        <f aca="false">Dashboard!$BB$34</f>
        <v>0</v>
      </c>
      <c r="I222" s="152" t="n">
        <f aca="false">Dashboard!$BC$34</f>
        <v>0</v>
      </c>
      <c r="J222" s="153" t="str">
        <f aca="false">IFERROR(IF(E222=0,"",E222/D222),"")</f>
        <v/>
      </c>
      <c r="K222" s="153" t="str">
        <f aca="false">IFERROR(IF(E222=0,"",F222/E222),"")</f>
        <v/>
      </c>
      <c r="L222" s="151"/>
    </row>
    <row r="223" customFormat="false" ht="30" hidden="false" customHeight="true" outlineLevel="0" collapsed="false">
      <c r="B223" s="154" t="s">
        <v>369</v>
      </c>
      <c r="C223" s="155" t="str">
        <f aca="false">TEXT(Summary!$C$10,"DD/MM/YYYY")&amp;"  →  "&amp;TEXT(Summary!$C$11,"DD/MM/YYYY")</f>
        <v>28/07/2026  →  28/07/2026</v>
      </c>
      <c r="D223" s="155" t="n">
        <f aca="false">Dashboard!$F$34</f>
        <v>347</v>
      </c>
      <c r="E223" s="155" t="n">
        <f aca="false">Dashboard!$L$34</f>
        <v>85</v>
      </c>
      <c r="F223" s="155" t="n">
        <f aca="false">Dashboard!$G$34</f>
        <v>38</v>
      </c>
      <c r="G223" s="155" t="n">
        <f aca="false">Dashboard!$H$34</f>
        <v>7</v>
      </c>
      <c r="H223" s="155" t="n">
        <f aca="false">Dashboard!$I$34</f>
        <v>40</v>
      </c>
      <c r="I223" s="155" t="n">
        <f aca="false">Dashboard!$J$34</f>
        <v>0</v>
      </c>
      <c r="J223" s="156" t="n">
        <f aca="false">IFERROR(E223/D223,0)</f>
        <v>0.244956772334294</v>
      </c>
      <c r="K223" s="156" t="n">
        <f aca="false">IFERROR(F223/E223,0)</f>
        <v>0.447058823529412</v>
      </c>
      <c r="L223" s="155" t="s">
        <v>370</v>
      </c>
    </row>
    <row r="224" customFormat="false" ht="15.75" hidden="false" customHeight="true" outlineLevel="0" collapsed="false">
      <c r="B224" s="157"/>
      <c r="C224" s="158"/>
      <c r="D224" s="158"/>
      <c r="E224" s="158"/>
      <c r="F224" s="159"/>
      <c r="G224" s="159"/>
      <c r="H224" s="23"/>
      <c r="I224" s="23"/>
      <c r="J224" s="23"/>
      <c r="K224" s="23"/>
    </row>
    <row r="225" customFormat="false" ht="15.75" hidden="false" customHeight="true" outlineLevel="0" collapsed="false">
      <c r="B225" s="146" t="s">
        <v>371</v>
      </c>
      <c r="C225" s="146"/>
      <c r="D225" s="146"/>
      <c r="E225" s="23"/>
      <c r="F225" s="23"/>
      <c r="G225" s="23"/>
      <c r="H225" s="23"/>
      <c r="I225" s="23"/>
      <c r="J225" s="23"/>
      <c r="K225" s="23"/>
    </row>
    <row r="226" customFormat="false" ht="15.75" hidden="false" customHeight="true" outlineLevel="0" collapsed="false">
      <c r="B226" s="147" t="s">
        <v>351</v>
      </c>
      <c r="C226" s="147" t="s">
        <v>372</v>
      </c>
      <c r="D226" s="147" t="s">
        <v>373</v>
      </c>
      <c r="E226" s="23"/>
      <c r="F226" s="23"/>
      <c r="G226" s="23"/>
      <c r="H226" s="23"/>
      <c r="I226" s="23"/>
      <c r="J226" s="23"/>
      <c r="K226" s="23"/>
    </row>
    <row r="227" customFormat="false" ht="15.75" hidden="false" customHeight="true" outlineLevel="0" collapsed="false">
      <c r="B227" s="160" t="n">
        <v>1</v>
      </c>
      <c r="C227" s="161" t="n">
        <f aca="false">COUNTIF('Bug Data'!$U:$U,$B227)</f>
        <v>11</v>
      </c>
      <c r="D227" s="161" t="n">
        <f aca="false">COUNTIFS('Bug Data'!$U:$U,$B227,'Bug Data'!$O:$O,"Done")</f>
        <v>3</v>
      </c>
      <c r="E227" s="23"/>
      <c r="F227" s="23"/>
      <c r="G227" s="23"/>
      <c r="H227" s="23"/>
      <c r="I227" s="23"/>
      <c r="J227" s="23"/>
      <c r="K227" s="23"/>
    </row>
    <row r="228" customFormat="false" ht="15.75" hidden="false" customHeight="true" outlineLevel="0" collapsed="false">
      <c r="B228" s="160" t="n">
        <v>2</v>
      </c>
      <c r="C228" s="161" t="n">
        <f aca="false">COUNTIF('Bug Data'!$U:$U,$B228)</f>
        <v>3</v>
      </c>
      <c r="D228" s="161" t="n">
        <f aca="false">COUNTIFS('Bug Data'!$U:$U,$B228,'Bug Data'!$O:$O,"Done")</f>
        <v>2</v>
      </c>
      <c r="E228" s="23"/>
      <c r="F228" s="23"/>
      <c r="G228" s="23"/>
      <c r="H228" s="23"/>
      <c r="I228" s="23"/>
      <c r="J228" s="23"/>
      <c r="K228" s="23"/>
    </row>
    <row r="229" customFormat="false" ht="15.75" hidden="false" customHeight="true" outlineLevel="0" collapsed="false">
      <c r="B229" s="160" t="n">
        <v>3</v>
      </c>
      <c r="C229" s="161" t="n">
        <f aca="false">COUNTIF('Bug Data'!$U:$U,$B229)</f>
        <v>2</v>
      </c>
      <c r="D229" s="161" t="n">
        <f aca="false">COUNTIFS('Bug Data'!$U:$U,$B229,'Bug Data'!$O:$O,"Done")</f>
        <v>1</v>
      </c>
      <c r="E229" s="23"/>
      <c r="F229" s="23"/>
      <c r="G229" s="23"/>
      <c r="H229" s="23"/>
      <c r="I229" s="23"/>
      <c r="J229" s="23"/>
      <c r="K229" s="23"/>
    </row>
    <row r="230" customFormat="false" ht="15.75" hidden="false" customHeight="true" outlineLevel="0" collapsed="false">
      <c r="B230" s="162" t="n">
        <v>4</v>
      </c>
      <c r="C230" s="152" t="n">
        <f aca="false">COUNTIF('Bug Data'!$U:$U,$B230)</f>
        <v>0</v>
      </c>
      <c r="D230" s="161" t="n">
        <f aca="false">COUNTIFS('Bug Data'!$U:$U,$B230,'Bug Data'!$O:$O,"Done")</f>
        <v>0</v>
      </c>
      <c r="E230" s="23"/>
      <c r="F230" s="23"/>
      <c r="G230" s="23"/>
      <c r="H230" s="23"/>
      <c r="I230" s="23"/>
      <c r="J230" s="23"/>
      <c r="K230" s="23"/>
    </row>
    <row r="231" customFormat="false" ht="15.75" hidden="false" customHeight="true" outlineLevel="0" collapsed="false">
      <c r="B231" s="162" t="n">
        <v>5</v>
      </c>
      <c r="C231" s="152" t="n">
        <f aca="false">COUNTIF('Bug Data'!$U:$U,$B231)</f>
        <v>0</v>
      </c>
      <c r="D231" s="161" t="n">
        <f aca="false">COUNTIFS('Bug Data'!$U:$U,$B231,'Bug Data'!$O:$O,"Done")</f>
        <v>0</v>
      </c>
      <c r="E231" s="23"/>
      <c r="F231" s="23"/>
      <c r="G231" s="23"/>
      <c r="H231" s="23"/>
      <c r="I231" s="23"/>
      <c r="J231" s="23"/>
      <c r="K231" s="23"/>
    </row>
    <row r="232" customFormat="false" ht="15.75" hidden="false" customHeight="true" outlineLevel="0" collapsed="false">
      <c r="B232" s="163" t="s">
        <v>243</v>
      </c>
      <c r="C232" s="163" t="n">
        <f aca="false">SUM(C227:C231)</f>
        <v>16</v>
      </c>
      <c r="D232" s="164" t="n">
        <f aca="false">SUM(D227:D231)</f>
        <v>6</v>
      </c>
      <c r="E232" s="23"/>
      <c r="F232" s="23"/>
      <c r="G232" s="23"/>
      <c r="H232" s="23"/>
      <c r="I232" s="23"/>
      <c r="J232" s="23"/>
      <c r="K232" s="23"/>
    </row>
    <row r="233" customFormat="false" ht="15.75" hidden="false" customHeight="true" outlineLevel="0" collapsed="false">
      <c r="B233" s="165" t="s">
        <v>374</v>
      </c>
      <c r="C233" s="165"/>
      <c r="D233" s="165"/>
      <c r="E233" s="165"/>
      <c r="F233" s="165"/>
      <c r="G233" s="165"/>
      <c r="H233" s="165"/>
      <c r="I233" s="165"/>
      <c r="J233" s="165"/>
      <c r="K233" s="165"/>
    </row>
    <row r="234" customFormat="false" ht="15.75" hidden="false" customHeight="true" outlineLevel="0" collapsed="false">
      <c r="B234" s="158"/>
      <c r="C234" s="158"/>
      <c r="D234" s="23"/>
      <c r="E234" s="23"/>
      <c r="F234" s="23"/>
      <c r="G234" s="23"/>
      <c r="H234" s="23"/>
      <c r="I234" s="23"/>
      <c r="J234" s="23"/>
      <c r="K234" s="23"/>
    </row>
    <row r="235" customFormat="false" ht="15.75" hidden="false" customHeight="true" outlineLevel="0" collapsed="false">
      <c r="B235" s="158"/>
      <c r="C235" s="158"/>
      <c r="D235" s="23"/>
      <c r="E235" s="23"/>
      <c r="F235" s="23"/>
      <c r="G235" s="23"/>
      <c r="H235" s="23"/>
      <c r="I235" s="23"/>
      <c r="J235" s="23"/>
      <c r="K235" s="23"/>
    </row>
    <row r="236" customFormat="false" ht="15.75" hidden="false" customHeight="true" outlineLevel="0" collapsed="false">
      <c r="B236" s="158"/>
      <c r="C236" s="158"/>
      <c r="D236" s="23"/>
      <c r="E236" s="23"/>
      <c r="F236" s="23"/>
      <c r="G236" s="23"/>
      <c r="H236" s="23"/>
      <c r="I236" s="23"/>
      <c r="J236" s="23"/>
      <c r="K236" s="23"/>
    </row>
    <row r="237" customFormat="false" ht="15.75" hidden="false" customHeight="true" outlineLevel="0" collapsed="false">
      <c r="B237" s="158"/>
      <c r="C237" s="158"/>
      <c r="D237" s="23"/>
      <c r="E237" s="23"/>
      <c r="F237" s="23"/>
      <c r="G237" s="23"/>
      <c r="H237" s="23"/>
      <c r="I237" s="23"/>
      <c r="J237" s="23"/>
      <c r="K237" s="23"/>
    </row>
    <row r="238" customFormat="false" ht="15.75" hidden="false" customHeight="true" outlineLevel="0" collapsed="false">
      <c r="B238" s="166"/>
      <c r="C238" s="158"/>
      <c r="D238" s="23"/>
      <c r="E238" s="23"/>
      <c r="F238" s="23"/>
      <c r="G238" s="23"/>
      <c r="H238" s="23"/>
      <c r="I238" s="23"/>
      <c r="J238" s="23"/>
      <c r="K238" s="23"/>
    </row>
    <row r="239" customFormat="false" ht="15.75" hidden="false" customHeight="true" outlineLevel="0" collapsed="false">
      <c r="B239" s="167"/>
      <c r="C239" s="23"/>
      <c r="D239" s="23"/>
      <c r="E239" s="23"/>
      <c r="F239" s="23"/>
      <c r="G239" s="23"/>
      <c r="H239" s="23"/>
      <c r="I239" s="23"/>
      <c r="J239" s="23"/>
      <c r="K239" s="23"/>
    </row>
    <row r="240" customFormat="false" ht="15.75" hidden="false" customHeight="true" outlineLevel="0" collapsed="false">
      <c r="B240" s="23"/>
      <c r="C240" s="23"/>
      <c r="D240" s="23"/>
      <c r="E240" s="23"/>
      <c r="F240" s="23"/>
      <c r="G240" s="23"/>
      <c r="H240" s="23"/>
      <c r="I240" s="23"/>
      <c r="J240" s="23"/>
      <c r="K240" s="23"/>
    </row>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7">
    <mergeCell ref="F2:J2"/>
    <mergeCell ref="C3:D3"/>
    <mergeCell ref="F3:H3"/>
    <mergeCell ref="I3:J3"/>
    <mergeCell ref="C4:D4"/>
    <mergeCell ref="F4:H4"/>
    <mergeCell ref="I4:J4"/>
    <mergeCell ref="C5:D5"/>
    <mergeCell ref="F5:H5"/>
    <mergeCell ref="I5:J5"/>
    <mergeCell ref="C6:D6"/>
    <mergeCell ref="F6:H6"/>
    <mergeCell ref="I6:J6"/>
    <mergeCell ref="B7:D9"/>
    <mergeCell ref="F7:H7"/>
    <mergeCell ref="I7:J7"/>
    <mergeCell ref="F8:H8"/>
    <mergeCell ref="I8:J8"/>
    <mergeCell ref="F9:H9"/>
    <mergeCell ref="I9:J9"/>
    <mergeCell ref="F10:H10"/>
    <mergeCell ref="I10:J10"/>
    <mergeCell ref="F11:J11"/>
    <mergeCell ref="B13:I13"/>
    <mergeCell ref="B16:G16"/>
    <mergeCell ref="B21:G21"/>
    <mergeCell ref="B40:I40"/>
    <mergeCell ref="B54:I54"/>
    <mergeCell ref="B57:G57"/>
    <mergeCell ref="B63:G63"/>
    <mergeCell ref="B82:D82"/>
    <mergeCell ref="B99:E99"/>
    <mergeCell ref="B106:E106"/>
    <mergeCell ref="B114:I114"/>
    <mergeCell ref="B117:D117"/>
    <mergeCell ref="B133:E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B149:C149"/>
    <mergeCell ref="B165:C165"/>
    <mergeCell ref="B181:C181"/>
    <mergeCell ref="B197:D197"/>
    <mergeCell ref="B208:D208"/>
    <mergeCell ref="B214:L214"/>
    <mergeCell ref="B215:L215"/>
    <mergeCell ref="B216:L216"/>
    <mergeCell ref="B225:D2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000"/>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1" width="12"/>
    <col collapsed="false" customWidth="true" hidden="false" outlineLevel="0" max="2" min="2" style="1" width="9"/>
    <col collapsed="false" customWidth="true" hidden="false" outlineLevel="0" max="3" min="3" style="1" width="40"/>
    <col collapsed="false" customWidth="true" hidden="false" outlineLevel="0" max="4" min="4" style="1" width="14"/>
    <col collapsed="false" customWidth="true" hidden="false" outlineLevel="0" max="10" min="5" style="1" width="12"/>
    <col collapsed="false" customWidth="true" hidden="false" outlineLevel="0" max="11" min="11" style="1" width="10"/>
    <col collapsed="false" customWidth="true" hidden="false" outlineLevel="0" max="12" min="12" style="1" width="9"/>
    <col collapsed="false" customWidth="true" hidden="false" outlineLevel="0" max="13" min="13" style="1" width="13"/>
    <col collapsed="false" customWidth="true" hidden="false" outlineLevel="0" max="14" min="14" style="1" width="10"/>
    <col collapsed="false" customWidth="true" hidden="false" outlineLevel="0" max="16" min="15" style="1" width="12"/>
    <col collapsed="false" customWidth="true" hidden="false" outlineLevel="0" max="17" min="17" style="1" width="46"/>
    <col collapsed="false" customWidth="true" hidden="false" outlineLevel="0" max="18" min="18" style="1" width="13"/>
    <col collapsed="false" customWidth="true" hidden="false" outlineLevel="0" max="19" min="19" style="1" width="15"/>
    <col collapsed="false" customWidth="true" hidden="false" outlineLevel="0" max="20" min="20" style="1" width="13"/>
    <col collapsed="false" customWidth="true" hidden="false" outlineLevel="0" max="21" min="21" style="1" width="8"/>
    <col collapsed="false" customWidth="true" hidden="false" outlineLevel="0" max="22" min="22" style="1" width="14"/>
    <col collapsed="false" customWidth="true" hidden="false" outlineLevel="0" max="24" min="24" style="1" width="3"/>
    <col collapsed="false" customWidth="true" hidden="false" outlineLevel="0" max="25" min="25" style="1" width="60"/>
    <col collapsed="false" customWidth="true" hidden="false" outlineLevel="0" max="26" min="26" style="1" width="3"/>
    <col collapsed="false" customWidth="true" hidden="false" outlineLevel="0" max="27" min="27" style="1" width="66"/>
  </cols>
  <sheetData>
    <row r="1" customFormat="false" ht="27.75" hidden="false" customHeight="true" outlineLevel="0" collapsed="false">
      <c r="A1" s="168" t="s">
        <v>375</v>
      </c>
      <c r="B1" s="168" t="s">
        <v>376</v>
      </c>
      <c r="C1" s="168" t="s">
        <v>377</v>
      </c>
      <c r="D1" s="168" t="s">
        <v>378</v>
      </c>
      <c r="E1" s="168" t="s">
        <v>379</v>
      </c>
      <c r="F1" s="168" t="s">
        <v>380</v>
      </c>
      <c r="G1" s="168" t="s">
        <v>381</v>
      </c>
      <c r="H1" s="168" t="s">
        <v>382</v>
      </c>
      <c r="I1" s="168" t="s">
        <v>383</v>
      </c>
      <c r="J1" s="168" t="s">
        <v>384</v>
      </c>
      <c r="K1" s="168" t="s">
        <v>97</v>
      </c>
      <c r="L1" s="169" t="s">
        <v>385</v>
      </c>
      <c r="M1" s="169" t="s">
        <v>386</v>
      </c>
      <c r="N1" s="169" t="s">
        <v>130</v>
      </c>
      <c r="O1" s="169" t="s">
        <v>387</v>
      </c>
      <c r="P1" s="169" t="s">
        <v>288</v>
      </c>
      <c r="Q1" s="169" t="s">
        <v>388</v>
      </c>
      <c r="R1" s="169" t="s">
        <v>389</v>
      </c>
      <c r="S1" s="169" t="s">
        <v>326</v>
      </c>
      <c r="T1" s="169" t="s">
        <v>390</v>
      </c>
      <c r="U1" s="169" t="s">
        <v>351</v>
      </c>
      <c r="V1" s="169" t="s">
        <v>391</v>
      </c>
      <c r="Y1" s="170" t="s">
        <v>392</v>
      </c>
      <c r="AA1" s="171" t="s">
        <v>393</v>
      </c>
    </row>
    <row r="2" customFormat="false" ht="15.75" hidden="false" customHeight="true" outlineLevel="0" collapsed="false">
      <c r="A2" s="172" t="s">
        <v>394</v>
      </c>
      <c r="B2" s="172" t="s">
        <v>395</v>
      </c>
      <c r="C2" s="38" t="s">
        <v>396</v>
      </c>
      <c r="D2" s="172" t="s">
        <v>242</v>
      </c>
      <c r="E2" s="172" t="s">
        <v>397</v>
      </c>
      <c r="F2" s="172" t="s">
        <v>398</v>
      </c>
      <c r="G2" s="172" t="s">
        <v>399</v>
      </c>
      <c r="H2" s="172" t="s">
        <v>400</v>
      </c>
      <c r="I2" s="172" t="s">
        <v>401</v>
      </c>
      <c r="J2" s="172" t="s">
        <v>96</v>
      </c>
      <c r="K2" s="172" t="s">
        <v>402</v>
      </c>
      <c r="L2" s="172" t="n">
        <v>20</v>
      </c>
      <c r="M2" s="172" t="s">
        <v>253</v>
      </c>
      <c r="N2" s="172" t="s">
        <v>244</v>
      </c>
      <c r="O2" s="173" t="str">
        <f aca="false">IF($D2="","",IF(OR($D2="Todo",$D2="To Do",$D2="In Progress",$D2="In Review"),"Open",IF($D2="Cancel","Cancel",IF($D2="Pending","Pending",IF($D2="Done","Done",$D2)))))</f>
        <v>Done</v>
      </c>
      <c r="P2" s="172" t="s">
        <v>289</v>
      </c>
      <c r="Q2" s="38"/>
      <c r="R2" s="172" t="s">
        <v>321</v>
      </c>
      <c r="S2" s="172" t="s">
        <v>327</v>
      </c>
      <c r="T2" s="172" t="n">
        <v>1</v>
      </c>
      <c r="U2" s="172" t="n">
        <v>1</v>
      </c>
      <c r="V2" s="172" t="n">
        <v>1</v>
      </c>
      <c r="Y2" s="174" t="s">
        <v>403</v>
      </c>
      <c r="AA2" s="174" t="s">
        <v>404</v>
      </c>
    </row>
    <row r="3" customFormat="false" ht="15.75" hidden="false" customHeight="true" outlineLevel="0" collapsed="false">
      <c r="A3" s="172" t="s">
        <v>405</v>
      </c>
      <c r="B3" s="172" t="s">
        <v>395</v>
      </c>
      <c r="C3" s="38" t="s">
        <v>406</v>
      </c>
      <c r="D3" s="172" t="s">
        <v>407</v>
      </c>
      <c r="E3" s="172" t="s">
        <v>157</v>
      </c>
      <c r="F3" s="172" t="s">
        <v>408</v>
      </c>
      <c r="G3" s="172" t="s">
        <v>409</v>
      </c>
      <c r="H3" s="172" t="s">
        <v>410</v>
      </c>
      <c r="I3" s="172"/>
      <c r="J3" s="172" t="s">
        <v>96</v>
      </c>
      <c r="K3" s="172" t="s">
        <v>402</v>
      </c>
      <c r="L3" s="172" t="n">
        <v>5</v>
      </c>
      <c r="M3" s="172" t="s">
        <v>255</v>
      </c>
      <c r="N3" s="172" t="s">
        <v>245</v>
      </c>
      <c r="O3" s="173" t="str">
        <f aca="false">IF($D3="","",IF(OR($D3="Todo",$D3="To Do",$D3="In Progress",$D3="In Review"),"Open",IF($D3="Cancel","Cancel",IF($D3="Pending","Pending",IF($D3="Done","Done",$D3)))))</f>
        <v>Open</v>
      </c>
      <c r="P3" s="172"/>
      <c r="Q3" s="38"/>
      <c r="R3" s="172" t="s">
        <v>320</v>
      </c>
      <c r="S3" s="172" t="s">
        <v>331</v>
      </c>
      <c r="T3" s="172" t="n">
        <v>2</v>
      </c>
      <c r="U3" s="172" t="n">
        <v>1</v>
      </c>
      <c r="V3" s="172"/>
      <c r="Y3" s="174" t="s">
        <v>411</v>
      </c>
      <c r="AA3" s="174" t="s">
        <v>412</v>
      </c>
    </row>
    <row r="4" customFormat="false" ht="15.75" hidden="false" customHeight="true" outlineLevel="0" collapsed="false">
      <c r="A4" s="172" t="s">
        <v>413</v>
      </c>
      <c r="B4" s="172" t="s">
        <v>395</v>
      </c>
      <c r="C4" s="38" t="s">
        <v>414</v>
      </c>
      <c r="D4" s="172" t="s">
        <v>241</v>
      </c>
      <c r="E4" s="172" t="s">
        <v>156</v>
      </c>
      <c r="F4" s="172" t="s">
        <v>415</v>
      </c>
      <c r="G4" s="172" t="s">
        <v>416</v>
      </c>
      <c r="H4" s="172" t="s">
        <v>401</v>
      </c>
      <c r="I4" s="172"/>
      <c r="J4" s="172" t="s">
        <v>96</v>
      </c>
      <c r="K4" s="172" t="s">
        <v>402</v>
      </c>
      <c r="L4" s="172" t="n">
        <v>10</v>
      </c>
      <c r="M4" s="172" t="s">
        <v>257</v>
      </c>
      <c r="N4" s="172" t="s">
        <v>245</v>
      </c>
      <c r="O4" s="173" t="str">
        <f aca="false">IF($D4="","",IF(OR($D4="Todo",$D4="To Do",$D4="In Progress",$D4="In Review"),"Open",IF($D4="Cancel","Cancel",IF($D4="Pending","Pending",IF($D4="Done","Done",$D4)))))</f>
        <v>Pending</v>
      </c>
      <c r="P4" s="172" t="s">
        <v>290</v>
      </c>
      <c r="Q4" s="38" t="s">
        <v>417</v>
      </c>
      <c r="R4" s="172" t="s">
        <v>323</v>
      </c>
      <c r="S4" s="172" t="s">
        <v>328</v>
      </c>
      <c r="T4" s="172" t="n">
        <v>3</v>
      </c>
      <c r="U4" s="172" t="n">
        <v>1</v>
      </c>
      <c r="V4" s="172"/>
      <c r="Y4" s="174" t="s">
        <v>418</v>
      </c>
      <c r="AA4" s="174" t="s">
        <v>419</v>
      </c>
    </row>
    <row r="5" customFormat="false" ht="15.75" hidden="false" customHeight="true" outlineLevel="0" collapsed="false">
      <c r="A5" s="172" t="s">
        <v>420</v>
      </c>
      <c r="B5" s="172" t="s">
        <v>395</v>
      </c>
      <c r="C5" s="38" t="s">
        <v>421</v>
      </c>
      <c r="D5" s="172" t="s">
        <v>422</v>
      </c>
      <c r="E5" s="172" t="s">
        <v>156</v>
      </c>
      <c r="F5" s="172" t="s">
        <v>423</v>
      </c>
      <c r="G5" s="172" t="s">
        <v>424</v>
      </c>
      <c r="H5" s="172" t="s">
        <v>425</v>
      </c>
      <c r="I5" s="172"/>
      <c r="J5" s="172" t="s">
        <v>96</v>
      </c>
      <c r="K5" s="172" t="s">
        <v>402</v>
      </c>
      <c r="L5" s="172" t="n">
        <v>10</v>
      </c>
      <c r="M5" s="172" t="s">
        <v>253</v>
      </c>
      <c r="N5" s="172" t="s">
        <v>244</v>
      </c>
      <c r="O5" s="173" t="str">
        <f aca="false">IF($D5="","",IF(OR($D5="Todo",$D5="To Do",$D5="In Progress",$D5="In Review"),"Open",IF($D5="Cancel","Cancel",IF($D5="Pending","Pending",IF($D5="Done","Done",$D5)))))</f>
        <v>Open</v>
      </c>
      <c r="P5" s="172"/>
      <c r="Q5" s="38"/>
      <c r="R5" s="172" t="s">
        <v>321</v>
      </c>
      <c r="S5" s="172" t="s">
        <v>327</v>
      </c>
      <c r="T5" s="172" t="n">
        <v>1</v>
      </c>
      <c r="U5" s="172" t="n">
        <v>1</v>
      </c>
      <c r="V5" s="172"/>
      <c r="Y5" s="174" t="s">
        <v>426</v>
      </c>
      <c r="AA5" s="174" t="s">
        <v>427</v>
      </c>
    </row>
    <row r="6" customFormat="false" ht="15.75" hidden="false" customHeight="true" outlineLevel="0" collapsed="false">
      <c r="A6" s="172" t="s">
        <v>428</v>
      </c>
      <c r="B6" s="172" t="s">
        <v>395</v>
      </c>
      <c r="C6" s="38" t="s">
        <v>429</v>
      </c>
      <c r="D6" s="172" t="s">
        <v>242</v>
      </c>
      <c r="E6" s="172" t="s">
        <v>397</v>
      </c>
      <c r="F6" s="172" t="s">
        <v>430</v>
      </c>
      <c r="G6" s="172" t="s">
        <v>399</v>
      </c>
      <c r="H6" s="172" t="s">
        <v>431</v>
      </c>
      <c r="I6" s="172" t="s">
        <v>432</v>
      </c>
      <c r="J6" s="172" t="s">
        <v>96</v>
      </c>
      <c r="K6" s="172" t="s">
        <v>402</v>
      </c>
      <c r="L6" s="172" t="n">
        <v>20</v>
      </c>
      <c r="M6" s="172" t="s">
        <v>255</v>
      </c>
      <c r="N6" s="172" t="s">
        <v>244</v>
      </c>
      <c r="O6" s="173" t="str">
        <f aca="false">IF($D6="","",IF(OR($D6="Todo",$D6="To Do",$D6="In Progress",$D6="In Review"),"Open",IF($D6="Cancel","Cancel",IF($D6="Pending","Pending",IF($D6="Done","Done",$D6)))))</f>
        <v>Done</v>
      </c>
      <c r="P6" s="172" t="s">
        <v>289</v>
      </c>
      <c r="Q6" s="38"/>
      <c r="R6" s="172" t="s">
        <v>323</v>
      </c>
      <c r="S6" s="172" t="s">
        <v>329</v>
      </c>
      <c r="T6" s="172" t="n">
        <v>1</v>
      </c>
      <c r="U6" s="172" t="n">
        <v>1</v>
      </c>
      <c r="V6" s="172" t="n">
        <v>1</v>
      </c>
      <c r="Y6" s="174" t="s">
        <v>433</v>
      </c>
      <c r="AA6" s="174" t="s">
        <v>434</v>
      </c>
    </row>
    <row r="7" customFormat="false" ht="15.75" hidden="false" customHeight="true" outlineLevel="0" collapsed="false">
      <c r="A7" s="172" t="s">
        <v>435</v>
      </c>
      <c r="B7" s="172" t="s">
        <v>395</v>
      </c>
      <c r="C7" s="38" t="s">
        <v>436</v>
      </c>
      <c r="D7" s="172" t="s">
        <v>240</v>
      </c>
      <c r="E7" s="172" t="s">
        <v>158</v>
      </c>
      <c r="F7" s="172" t="s">
        <v>398</v>
      </c>
      <c r="G7" s="172" t="s">
        <v>409</v>
      </c>
      <c r="H7" s="172" t="s">
        <v>437</v>
      </c>
      <c r="I7" s="172"/>
      <c r="J7" s="172" t="s">
        <v>96</v>
      </c>
      <c r="K7" s="172" t="s">
        <v>402</v>
      </c>
      <c r="L7" s="172" t="n">
        <v>2</v>
      </c>
      <c r="M7" s="172" t="s">
        <v>257</v>
      </c>
      <c r="N7" s="172" t="s">
        <v>245</v>
      </c>
      <c r="O7" s="173" t="str">
        <f aca="false">IF($D7="","",IF(OR($D7="Todo",$D7="To Do",$D7="In Progress",$D7="In Review"),"Open",IF($D7="Cancel","Cancel",IF($D7="Pending","Pending",IF($D7="Done","Done",$D7)))))</f>
        <v>Cancel</v>
      </c>
      <c r="P7" s="172"/>
      <c r="Q7" s="38"/>
      <c r="R7" s="172" t="s">
        <v>319</v>
      </c>
      <c r="S7" s="172" t="s">
        <v>331</v>
      </c>
      <c r="T7" s="172" t="n">
        <v>4</v>
      </c>
      <c r="U7" s="172" t="n">
        <v>1</v>
      </c>
      <c r="V7" s="172"/>
      <c r="Y7" s="174" t="s">
        <v>438</v>
      </c>
      <c r="AA7" s="174" t="s">
        <v>439</v>
      </c>
    </row>
    <row r="8" customFormat="false" ht="15.75" hidden="false" customHeight="true" outlineLevel="0" collapsed="false">
      <c r="A8" s="172" t="s">
        <v>440</v>
      </c>
      <c r="B8" s="172" t="s">
        <v>395</v>
      </c>
      <c r="C8" s="38" t="s">
        <v>441</v>
      </c>
      <c r="D8" s="172" t="s">
        <v>242</v>
      </c>
      <c r="E8" s="172" t="s">
        <v>157</v>
      </c>
      <c r="F8" s="172" t="s">
        <v>408</v>
      </c>
      <c r="G8" s="172" t="s">
        <v>416</v>
      </c>
      <c r="H8" s="172" t="s">
        <v>442</v>
      </c>
      <c r="I8" s="172" t="s">
        <v>443</v>
      </c>
      <c r="J8" s="172" t="s">
        <v>96</v>
      </c>
      <c r="K8" s="172" t="s">
        <v>402</v>
      </c>
      <c r="L8" s="172" t="n">
        <v>5</v>
      </c>
      <c r="M8" s="172" t="s">
        <v>253</v>
      </c>
      <c r="N8" s="172" t="s">
        <v>244</v>
      </c>
      <c r="O8" s="173" t="str">
        <f aca="false">IF($D8="","",IF(OR($D8="Todo",$D8="To Do",$D8="In Progress",$D8="In Review"),"Open",IF($D8="Cancel","Cancel",IF($D8="Pending","Pending",IF($D8="Done","Done",$D8)))))</f>
        <v>Done</v>
      </c>
      <c r="P8" s="172" t="s">
        <v>289</v>
      </c>
      <c r="Q8" s="38"/>
      <c r="R8" s="172" t="s">
        <v>320</v>
      </c>
      <c r="S8" s="172" t="s">
        <v>327</v>
      </c>
      <c r="T8" s="172" t="n">
        <v>2</v>
      </c>
      <c r="U8" s="172" t="n">
        <v>1</v>
      </c>
      <c r="V8" s="172" t="n">
        <v>1</v>
      </c>
      <c r="Y8" s="174" t="s">
        <v>417</v>
      </c>
      <c r="AA8" s="174" t="s">
        <v>444</v>
      </c>
    </row>
    <row r="9" customFormat="false" ht="15.75" hidden="false" customHeight="true" outlineLevel="0" collapsed="false">
      <c r="A9" s="172" t="s">
        <v>445</v>
      </c>
      <c r="B9" s="172" t="s">
        <v>395</v>
      </c>
      <c r="C9" s="38" t="s">
        <v>446</v>
      </c>
      <c r="D9" s="172" t="s">
        <v>447</v>
      </c>
      <c r="E9" s="172" t="s">
        <v>156</v>
      </c>
      <c r="F9" s="172" t="s">
        <v>415</v>
      </c>
      <c r="G9" s="172" t="s">
        <v>424</v>
      </c>
      <c r="H9" s="172" t="s">
        <v>448</v>
      </c>
      <c r="I9" s="172"/>
      <c r="J9" s="172" t="s">
        <v>96</v>
      </c>
      <c r="K9" s="172" t="s">
        <v>402</v>
      </c>
      <c r="L9" s="172" t="n">
        <v>10</v>
      </c>
      <c r="M9" s="172" t="s">
        <v>255</v>
      </c>
      <c r="N9" s="172" t="s">
        <v>245</v>
      </c>
      <c r="O9" s="173" t="str">
        <f aca="false">IF($D9="","",IF(OR($D9="Todo",$D9="To Do",$D9="In Progress",$D9="In Review"),"Open",IF($D9="Cancel","Cancel",IF($D9="Pending","Pending",IF($D9="Done","Done",$D9)))))</f>
        <v>Open</v>
      </c>
      <c r="P9" s="172"/>
      <c r="Q9" s="38"/>
      <c r="R9" s="172" t="s">
        <v>321</v>
      </c>
      <c r="S9" s="172" t="s">
        <v>328</v>
      </c>
      <c r="T9" s="172" t="n">
        <v>1</v>
      </c>
      <c r="U9" s="172" t="n">
        <v>1</v>
      </c>
      <c r="V9" s="172"/>
      <c r="Y9" s="174" t="s">
        <v>449</v>
      </c>
      <c r="AA9" s="174" t="s">
        <v>450</v>
      </c>
    </row>
    <row r="10" customFormat="false" ht="15.75" hidden="false" customHeight="true" outlineLevel="0" collapsed="false">
      <c r="A10" s="172" t="s">
        <v>451</v>
      </c>
      <c r="B10" s="172" t="s">
        <v>395</v>
      </c>
      <c r="C10" s="38" t="s">
        <v>452</v>
      </c>
      <c r="D10" s="172" t="s">
        <v>242</v>
      </c>
      <c r="E10" s="172" t="s">
        <v>397</v>
      </c>
      <c r="F10" s="172" t="s">
        <v>423</v>
      </c>
      <c r="G10" s="172" t="s">
        <v>399</v>
      </c>
      <c r="H10" s="172" t="s">
        <v>432</v>
      </c>
      <c r="I10" s="172" t="s">
        <v>453</v>
      </c>
      <c r="J10" s="172" t="s">
        <v>96</v>
      </c>
      <c r="K10" s="172" t="s">
        <v>454</v>
      </c>
      <c r="L10" s="172" t="n">
        <v>20</v>
      </c>
      <c r="M10" s="172" t="s">
        <v>257</v>
      </c>
      <c r="N10" s="172" t="s">
        <v>244</v>
      </c>
      <c r="O10" s="173" t="str">
        <f aca="false">IF($D10="","",IF(OR($D10="Todo",$D10="To Do",$D10="In Progress",$D10="In Review"),"Open",IF($D10="Cancel","Cancel",IF($D10="Pending","Pending",IF($D10="Done","Done",$D10)))))</f>
        <v>Done</v>
      </c>
      <c r="P10" s="172" t="s">
        <v>289</v>
      </c>
      <c r="Q10" s="38"/>
      <c r="R10" s="172" t="s">
        <v>323</v>
      </c>
      <c r="S10" s="172" t="s">
        <v>327</v>
      </c>
      <c r="T10" s="172" t="n">
        <v>1</v>
      </c>
      <c r="U10" s="172" t="n">
        <v>2</v>
      </c>
      <c r="V10" s="172" t="n">
        <v>2</v>
      </c>
      <c r="Y10" s="174" t="s">
        <v>455</v>
      </c>
      <c r="AA10" s="174" t="s">
        <v>456</v>
      </c>
    </row>
    <row r="11" customFormat="false" ht="15.75" hidden="false" customHeight="true" outlineLevel="0" collapsed="false">
      <c r="A11" s="172" t="s">
        <v>457</v>
      </c>
      <c r="B11" s="172" t="s">
        <v>395</v>
      </c>
      <c r="C11" s="38" t="s">
        <v>458</v>
      </c>
      <c r="D11" s="172" t="s">
        <v>241</v>
      </c>
      <c r="E11" s="172" t="s">
        <v>157</v>
      </c>
      <c r="F11" s="172" t="s">
        <v>430</v>
      </c>
      <c r="G11" s="172" t="s">
        <v>409</v>
      </c>
      <c r="H11" s="172" t="s">
        <v>443</v>
      </c>
      <c r="I11" s="172"/>
      <c r="J11" s="172" t="s">
        <v>96</v>
      </c>
      <c r="K11" s="172" t="s">
        <v>454</v>
      </c>
      <c r="L11" s="172" t="n">
        <v>5</v>
      </c>
      <c r="M11" s="172" t="s">
        <v>253</v>
      </c>
      <c r="N11" s="172" t="s">
        <v>245</v>
      </c>
      <c r="O11" s="173" t="str">
        <f aca="false">IF($D11="","",IF(OR($D11="Todo",$D11="To Do",$D11="In Progress",$D11="In Review"),"Open",IF($D11="Cancel","Cancel",IF($D11="Pending","Pending",IF($D11="Done","Done",$D11)))))</f>
        <v>Pending</v>
      </c>
      <c r="P11" s="172" t="s">
        <v>290</v>
      </c>
      <c r="Q11" s="38" t="s">
        <v>418</v>
      </c>
      <c r="R11" s="172" t="s">
        <v>324</v>
      </c>
      <c r="S11" s="172" t="s">
        <v>331</v>
      </c>
      <c r="T11" s="172" t="n">
        <v>5</v>
      </c>
      <c r="U11" s="172" t="n">
        <v>2</v>
      </c>
      <c r="V11" s="172"/>
      <c r="Y11" s="174" t="s">
        <v>459</v>
      </c>
      <c r="AA11" s="174" t="s">
        <v>460</v>
      </c>
    </row>
    <row r="12" customFormat="false" ht="15.75" hidden="false" customHeight="true" outlineLevel="0" collapsed="false">
      <c r="A12" s="172" t="s">
        <v>461</v>
      </c>
      <c r="B12" s="172" t="s">
        <v>395</v>
      </c>
      <c r="C12" s="38" t="s">
        <v>462</v>
      </c>
      <c r="D12" s="172" t="s">
        <v>242</v>
      </c>
      <c r="E12" s="172" t="s">
        <v>156</v>
      </c>
      <c r="F12" s="172" t="s">
        <v>398</v>
      </c>
      <c r="G12" s="172" t="s">
        <v>416</v>
      </c>
      <c r="H12" s="172" t="s">
        <v>463</v>
      </c>
      <c r="I12" s="172" t="s">
        <v>464</v>
      </c>
      <c r="J12" s="172" t="s">
        <v>96</v>
      </c>
      <c r="K12" s="172" t="s">
        <v>454</v>
      </c>
      <c r="L12" s="172" t="n">
        <v>10</v>
      </c>
      <c r="M12" s="172" t="s">
        <v>255</v>
      </c>
      <c r="N12" s="172" t="s">
        <v>244</v>
      </c>
      <c r="O12" s="173" t="str">
        <f aca="false">IF($D12="","",IF(OR($D12="Todo",$D12="To Do",$D12="In Progress",$D12="In Review"),"Open",IF($D12="Cancel","Cancel",IF($D12="Pending","Pending",IF($D12="Done","Done",$D12)))))</f>
        <v>Done</v>
      </c>
      <c r="P12" s="172" t="s">
        <v>289</v>
      </c>
      <c r="Q12" s="38"/>
      <c r="R12" s="172" t="s">
        <v>321</v>
      </c>
      <c r="S12" s="172" t="s">
        <v>327</v>
      </c>
      <c r="T12" s="172" t="n">
        <v>1</v>
      </c>
      <c r="U12" s="172" t="n">
        <v>2</v>
      </c>
      <c r="V12" s="172" t="n">
        <v>2</v>
      </c>
      <c r="AA12" s="174" t="s">
        <v>465</v>
      </c>
    </row>
    <row r="13" customFormat="false" ht="15.75" hidden="false" customHeight="true" outlineLevel="0" collapsed="false">
      <c r="A13" s="172" t="s">
        <v>466</v>
      </c>
      <c r="B13" s="172" t="s">
        <v>395</v>
      </c>
      <c r="C13" s="38" t="s">
        <v>467</v>
      </c>
      <c r="D13" s="172" t="s">
        <v>407</v>
      </c>
      <c r="E13" s="172" t="s">
        <v>158</v>
      </c>
      <c r="F13" s="172" t="s">
        <v>408</v>
      </c>
      <c r="G13" s="172" t="s">
        <v>424</v>
      </c>
      <c r="H13" s="172" t="s">
        <v>468</v>
      </c>
      <c r="I13" s="172"/>
      <c r="J13" s="172" t="s">
        <v>96</v>
      </c>
      <c r="K13" s="172" t="s">
        <v>469</v>
      </c>
      <c r="L13" s="172" t="n">
        <v>2</v>
      </c>
      <c r="M13" s="172" t="s">
        <v>257</v>
      </c>
      <c r="N13" s="172" t="s">
        <v>245</v>
      </c>
      <c r="O13" s="173" t="str">
        <f aca="false">IF($D13="","",IF(OR($D13="Todo",$D13="To Do",$D13="In Progress",$D13="In Review"),"Open",IF($D13="Cancel","Cancel",IF($D13="Pending","Pending",IF($D13="Done","Done",$D13)))))</f>
        <v>Open</v>
      </c>
      <c r="P13" s="172"/>
      <c r="Q13" s="38"/>
      <c r="R13" s="172" t="s">
        <v>319</v>
      </c>
      <c r="S13" s="172" t="s">
        <v>330</v>
      </c>
      <c r="T13" s="172" t="n">
        <v>2</v>
      </c>
      <c r="U13" s="172" t="n">
        <v>3</v>
      </c>
      <c r="V13" s="172"/>
      <c r="AA13" s="174" t="s">
        <v>470</v>
      </c>
    </row>
    <row r="14" customFormat="false" ht="15.75" hidden="false" customHeight="true" outlineLevel="0" collapsed="false">
      <c r="A14" s="172" t="s">
        <v>471</v>
      </c>
      <c r="B14" s="172" t="s">
        <v>395</v>
      </c>
      <c r="C14" s="38" t="s">
        <v>472</v>
      </c>
      <c r="D14" s="172" t="s">
        <v>242</v>
      </c>
      <c r="E14" s="172" t="s">
        <v>156</v>
      </c>
      <c r="F14" s="172" t="s">
        <v>415</v>
      </c>
      <c r="G14" s="172" t="s">
        <v>399</v>
      </c>
      <c r="H14" s="172" t="s">
        <v>473</v>
      </c>
      <c r="I14" s="172" t="s">
        <v>474</v>
      </c>
      <c r="J14" s="172" t="s">
        <v>96</v>
      </c>
      <c r="K14" s="172" t="s">
        <v>469</v>
      </c>
      <c r="L14" s="172" t="n">
        <v>10</v>
      </c>
      <c r="M14" s="172" t="s">
        <v>253</v>
      </c>
      <c r="N14" s="172" t="s">
        <v>244</v>
      </c>
      <c r="O14" s="173" t="str">
        <f aca="false">IF($D14="","",IF(OR($D14="Todo",$D14="To Do",$D14="In Progress",$D14="In Review"),"Open",IF($D14="Cancel","Cancel",IF($D14="Pending","Pending",IF($D14="Done","Done",$D14)))))</f>
        <v>Done</v>
      </c>
      <c r="P14" s="172" t="s">
        <v>289</v>
      </c>
      <c r="Q14" s="38"/>
      <c r="R14" s="172" t="s">
        <v>320</v>
      </c>
      <c r="S14" s="172" t="s">
        <v>329</v>
      </c>
      <c r="T14" s="172" t="n">
        <v>1</v>
      </c>
      <c r="U14" s="172" t="n">
        <v>3</v>
      </c>
      <c r="V14" s="172" t="n">
        <v>3</v>
      </c>
    </row>
    <row r="15" customFormat="false" ht="15" hidden="false" customHeight="true" outlineLevel="0" collapsed="false">
      <c r="C15" s="1" t="s">
        <v>475</v>
      </c>
      <c r="K15" s="1" t="s">
        <v>402</v>
      </c>
      <c r="L15" s="1" t="n">
        <v>10</v>
      </c>
      <c r="M15" s="1" t="s">
        <v>202</v>
      </c>
      <c r="N15" s="175" t="s">
        <v>245</v>
      </c>
      <c r="O15" s="173" t="str">
        <f aca="false">IF($D15="","",IF(OR($D15="Todo",$D15="To Do",$D15="In Progress",$D15="In Review"),"Open",IF($D15="Cancel","Cancel",IF($D15="Pending","Pending",IF($D15="Done","Done",$D15)))))</f>
        <v/>
      </c>
      <c r="R15" s="175" t="s">
        <v>321</v>
      </c>
      <c r="S15" s="175" t="s">
        <v>327</v>
      </c>
      <c r="T15" s="1" t="n">
        <v>1</v>
      </c>
      <c r="U15" s="1" t="n">
        <v>1</v>
      </c>
    </row>
    <row r="16" customFormat="false" ht="15" hidden="false" customHeight="true" outlineLevel="0" collapsed="false">
      <c r="C16" s="1" t="s">
        <v>476</v>
      </c>
      <c r="K16" s="1" t="s">
        <v>402</v>
      </c>
      <c r="L16" s="1" t="n">
        <v>5</v>
      </c>
      <c r="M16" s="1" t="s">
        <v>202</v>
      </c>
      <c r="N16" s="175" t="s">
        <v>245</v>
      </c>
      <c r="O16" s="173" t="str">
        <f aca="false">IF($D16="","",IF(OR($D16="Todo",$D16="To Do",$D16="In Progress",$D16="In Review"),"Open",IF($D16="Cancel","Cancel",IF($D16="Pending","Pending",IF($D16="Done","Done",$D16)))))</f>
        <v/>
      </c>
      <c r="R16" s="175" t="s">
        <v>320</v>
      </c>
      <c r="S16" s="175" t="s">
        <v>331</v>
      </c>
      <c r="T16" s="1" t="n">
        <v>1</v>
      </c>
      <c r="U16" s="1" t="n">
        <v>1</v>
      </c>
    </row>
    <row r="17" customFormat="false" ht="15" hidden="false" customHeight="true" outlineLevel="0" collapsed="false">
      <c r="A17" s="1" t="s">
        <v>477</v>
      </c>
      <c r="B17" s="1" t="s">
        <v>395</v>
      </c>
      <c r="C17" s="1" t="s">
        <v>478</v>
      </c>
      <c r="D17" s="1" t="s">
        <v>447</v>
      </c>
      <c r="E17" s="1" t="s">
        <v>157</v>
      </c>
      <c r="F17" s="1" t="s">
        <v>479</v>
      </c>
      <c r="G17" s="1" t="s">
        <v>84</v>
      </c>
      <c r="H17" s="1" t="s">
        <v>480</v>
      </c>
      <c r="J17" s="1" t="s">
        <v>96</v>
      </c>
      <c r="K17" s="1" t="s">
        <v>402</v>
      </c>
      <c r="L17" s="1" t="n">
        <v>5</v>
      </c>
      <c r="M17" s="1" t="s">
        <v>197</v>
      </c>
      <c r="N17" s="175" t="s">
        <v>245</v>
      </c>
      <c r="O17" s="173" t="str">
        <f aca="false">IF($D17="","",IF(OR($D17="Todo",$D17="To Do",$D17="In Progress",$D17="In Review"),"Open",IF($D17="Cancel","Cancel",IF($D17="Pending","Pending",IF($D17="Done","Done",$D17)))))</f>
        <v>Open</v>
      </c>
      <c r="R17" s="175" t="s">
        <v>320</v>
      </c>
      <c r="S17" s="175" t="s">
        <v>331</v>
      </c>
      <c r="T17" s="1" t="n">
        <v>1</v>
      </c>
      <c r="U17" s="1" t="n">
        <v>1</v>
      </c>
    </row>
    <row r="18" customFormat="false" ht="15" hidden="false" customHeight="true" outlineLevel="0" collapsed="false">
      <c r="N18" s="175"/>
      <c r="O18" s="173" t="str">
        <f aca="false">IF($D18="","",IF(OR($D18="Todo",$D18="To Do",$D18="In Progress",$D18="In Review"),"Open",IF($D18="Cancel","Cancel",IF($D18="Pending","Pending",IF($D18="Done","Done",$D18)))))</f>
        <v/>
      </c>
      <c r="R18" s="175"/>
      <c r="S18" s="175"/>
    </row>
    <row r="19" customFormat="false" ht="15" hidden="false" customHeight="true" outlineLevel="0" collapsed="false">
      <c r="N19" s="175"/>
      <c r="O19" s="173" t="str">
        <f aca="false">IF($D19="","",IF(OR($D19="Todo",$D19="To Do",$D19="In Progress",$D19="In Review"),"Open",IF($D19="Cancel","Cancel",IF($D19="Pending","Pending",IF($D19="Done","Done",$D19)))))</f>
        <v/>
      </c>
      <c r="R19" s="175"/>
      <c r="S19" s="175"/>
    </row>
    <row r="20" customFormat="false" ht="15" hidden="false" customHeight="true" outlineLevel="0" collapsed="false">
      <c r="N20" s="175"/>
      <c r="O20" s="173" t="str">
        <f aca="false">IF($D20="","",IF(OR($D20="Todo",$D20="To Do",$D20="In Progress",$D20="In Review"),"Open",IF($D20="Cancel","Cancel",IF($D20="Pending","Pending",IF($D20="Done","Done",$D20)))))</f>
        <v/>
      </c>
      <c r="R20" s="175"/>
      <c r="S20" s="175"/>
    </row>
    <row r="21" customFormat="false" ht="15.75" hidden="false" customHeight="true" outlineLevel="0" collapsed="false">
      <c r="N21" s="175"/>
      <c r="O21" s="173" t="str">
        <f aca="false">IF($D21="","",IF(OR($D21="Todo",$D21="To Do",$D21="In Progress",$D21="In Review"),"Open",IF($D21="Cancel","Cancel",IF($D21="Pending","Pending",IF($D21="Done","Done",$D21)))))</f>
        <v/>
      </c>
      <c r="R21" s="175"/>
      <c r="S21" s="175"/>
    </row>
    <row r="22" customFormat="false" ht="15.75" hidden="false" customHeight="true" outlineLevel="0" collapsed="false">
      <c r="N22" s="175"/>
      <c r="O22" s="173" t="str">
        <f aca="false">IF($D22="","",IF(OR($D22="Todo",$D22="To Do",$D22="In Progress",$D22="In Review"),"Open",IF($D22="Cancel","Cancel",IF($D22="Pending","Pending",IF($D22="Done","Done",$D22)))))</f>
        <v/>
      </c>
      <c r="R22" s="175"/>
      <c r="S22" s="175"/>
    </row>
    <row r="23" customFormat="false" ht="15.75" hidden="false" customHeight="true" outlineLevel="0" collapsed="false">
      <c r="N23" s="175"/>
      <c r="O23" s="173" t="str">
        <f aca="false">IF($D23="","",IF(OR($D23="Todo",$D23="To Do",$D23="In Progress",$D23="In Review"),"Open",IF($D23="Cancel","Cancel",IF($D23="Pending","Pending",IF($D23="Done","Done",$D23)))))</f>
        <v/>
      </c>
      <c r="R23" s="175"/>
      <c r="S23" s="175"/>
    </row>
    <row r="24" customFormat="false" ht="15.75" hidden="false" customHeight="true" outlineLevel="0" collapsed="false">
      <c r="N24" s="175"/>
      <c r="O24" s="173" t="str">
        <f aca="false">IF($D24="","",IF(OR($D24="Todo",$D24="To Do",$D24="In Progress",$D24="In Review"),"Open",IF($D24="Cancel","Cancel",IF($D24="Pending","Pending",IF($D24="Done","Done",$D24)))))</f>
        <v/>
      </c>
      <c r="R24" s="175"/>
      <c r="S24" s="175"/>
    </row>
    <row r="25" customFormat="false" ht="15.75" hidden="false" customHeight="true" outlineLevel="0" collapsed="false">
      <c r="N25" s="175"/>
      <c r="O25" s="173" t="str">
        <f aca="false">IF($D25="","",IF(OR($D25="Todo",$D25="To Do",$D25="In Progress",$D25="In Review"),"Open",IF($D25="Cancel","Cancel",IF($D25="Pending","Pending",IF($D25="Done","Done",$D25)))))</f>
        <v/>
      </c>
      <c r="R25" s="175"/>
      <c r="S25" s="175"/>
    </row>
    <row r="26" customFormat="false" ht="15.75" hidden="false" customHeight="true" outlineLevel="0" collapsed="false">
      <c r="N26" s="175"/>
      <c r="O26" s="173" t="str">
        <f aca="false">IF($D26="","",IF(OR($D26="Todo",$D26="To Do",$D26="In Progress",$D26="In Review"),"Open",IF($D26="Cancel","Cancel",IF($D26="Pending","Pending",IF($D26="Done","Done",$D26)))))</f>
        <v/>
      </c>
      <c r="R26" s="175"/>
      <c r="S26" s="175"/>
    </row>
    <row r="27" customFormat="false" ht="15.75" hidden="false" customHeight="true" outlineLevel="0" collapsed="false">
      <c r="N27" s="175"/>
      <c r="O27" s="173" t="str">
        <f aca="false">IF($D27="","",IF(OR($D27="Todo",$D27="To Do",$D27="In Progress",$D27="In Review"),"Open",IF($D27="Cancel","Cancel",IF($D27="Pending","Pending",IF($D27="Done","Done",$D27)))))</f>
        <v/>
      </c>
      <c r="R27" s="175"/>
      <c r="S27" s="175"/>
    </row>
    <row r="28" customFormat="false" ht="15.75" hidden="false" customHeight="true" outlineLevel="0" collapsed="false">
      <c r="N28" s="175"/>
      <c r="O28" s="173" t="str">
        <f aca="false">IF($D28="","",IF(OR($D28="Todo",$D28="To Do",$D28="In Progress",$D28="In Review"),"Open",IF($D28="Cancel","Cancel",IF($D28="Pending","Pending",IF($D28="Done","Done",$D28)))))</f>
        <v/>
      </c>
      <c r="R28" s="175"/>
      <c r="S28" s="175"/>
    </row>
    <row r="29" customFormat="false" ht="15.75" hidden="false" customHeight="true" outlineLevel="0" collapsed="false">
      <c r="N29" s="175"/>
      <c r="O29" s="173" t="str">
        <f aca="false">IF($D29="","",IF(OR($D29="Todo",$D29="To Do",$D29="In Progress",$D29="In Review"),"Open",IF($D29="Cancel","Cancel",IF($D29="Pending","Pending",IF($D29="Done","Done",$D29)))))</f>
        <v/>
      </c>
      <c r="R29" s="175"/>
      <c r="S29" s="175"/>
    </row>
    <row r="30" customFormat="false" ht="15.75" hidden="false" customHeight="true" outlineLevel="0" collapsed="false">
      <c r="N30" s="175"/>
      <c r="O30" s="173" t="str">
        <f aca="false">IF($D30="","",IF(OR($D30="Todo",$D30="To Do",$D30="In Progress",$D30="In Review"),"Open",IF($D30="Cancel","Cancel",IF($D30="Pending","Pending",IF($D30="Done","Done",$D30)))))</f>
        <v/>
      </c>
      <c r="R30" s="175"/>
      <c r="S30" s="175"/>
    </row>
    <row r="31" customFormat="false" ht="15.75" hidden="false" customHeight="true" outlineLevel="0" collapsed="false">
      <c r="N31" s="175"/>
      <c r="O31" s="173" t="str">
        <f aca="false">IF($D31="","",IF(OR($D31="Todo",$D31="To Do",$D31="In Progress",$D31="In Review"),"Open",IF($D31="Cancel","Cancel",IF($D31="Pending","Pending",IF($D31="Done","Done",$D31)))))</f>
        <v/>
      </c>
      <c r="R31" s="175"/>
      <c r="S31" s="175"/>
    </row>
    <row r="32" customFormat="false" ht="15.75" hidden="false" customHeight="true" outlineLevel="0" collapsed="false">
      <c r="N32" s="175"/>
      <c r="O32" s="173" t="str">
        <f aca="false">IF($D32="","",IF(OR($D32="Todo",$D32="To Do",$D32="In Progress",$D32="In Review"),"Open",IF($D32="Cancel","Cancel",IF($D32="Pending","Pending",IF($D32="Done","Done",$D32)))))</f>
        <v/>
      </c>
      <c r="R32" s="175"/>
      <c r="S32" s="175"/>
    </row>
    <row r="33" customFormat="false" ht="15.75" hidden="false" customHeight="true" outlineLevel="0" collapsed="false">
      <c r="N33" s="175"/>
      <c r="O33" s="173" t="str">
        <f aca="false">IF($D33="","",IF(OR($D33="Todo",$D33="To Do",$D33="In Progress",$D33="In Review"),"Open",IF($D33="Cancel","Cancel",IF($D33="Pending","Pending",IF($D33="Done","Done",$D33)))))</f>
        <v/>
      </c>
      <c r="R33" s="175"/>
      <c r="S33" s="175"/>
    </row>
    <row r="34" customFormat="false" ht="15.75" hidden="false" customHeight="true" outlineLevel="0" collapsed="false">
      <c r="N34" s="175"/>
      <c r="O34" s="173" t="str">
        <f aca="false">IF($D34="","",IF(OR($D34="Todo",$D34="To Do",$D34="In Progress",$D34="In Review"),"Open",IF($D34="Cancel","Cancel",IF($D34="Pending","Pending",IF($D34="Done","Done",$D34)))))</f>
        <v/>
      </c>
      <c r="R34" s="175"/>
      <c r="S34" s="175"/>
    </row>
    <row r="35" customFormat="false" ht="15.75" hidden="false" customHeight="true" outlineLevel="0" collapsed="false">
      <c r="N35" s="175"/>
      <c r="O35" s="173" t="str">
        <f aca="false">IF($D35="","",IF(OR($D35="Todo",$D35="To Do",$D35="In Progress",$D35="In Review"),"Open",IF($D35="Cancel","Cancel",IF($D35="Pending","Pending",IF($D35="Done","Done",$D35)))))</f>
        <v/>
      </c>
      <c r="R35" s="175"/>
      <c r="S35" s="175"/>
    </row>
    <row r="36" customFormat="false" ht="15.75" hidden="false" customHeight="true" outlineLevel="0" collapsed="false">
      <c r="N36" s="175"/>
      <c r="O36" s="173" t="str">
        <f aca="false">IF($D36="","",IF(OR($D36="Todo",$D36="To Do",$D36="In Progress",$D36="In Review"),"Open",IF($D36="Cancel","Cancel",IF($D36="Pending","Pending",IF($D36="Done","Done",$D36)))))</f>
        <v/>
      </c>
      <c r="R36" s="175"/>
      <c r="S36" s="175"/>
    </row>
    <row r="37" customFormat="false" ht="15.75" hidden="false" customHeight="true" outlineLevel="0" collapsed="false">
      <c r="N37" s="175"/>
      <c r="O37" s="173" t="str">
        <f aca="false">IF($D37="","",IF(OR($D37="Todo",$D37="To Do",$D37="In Progress",$D37="In Review"),"Open",IF($D37="Cancel","Cancel",IF($D37="Pending","Pending",IF($D37="Done","Done",$D37)))))</f>
        <v/>
      </c>
      <c r="R37" s="175"/>
      <c r="S37" s="175"/>
    </row>
    <row r="38" customFormat="false" ht="15.75" hidden="false" customHeight="true" outlineLevel="0" collapsed="false">
      <c r="N38" s="175"/>
      <c r="O38" s="173" t="str">
        <f aca="false">IF($D38="","",IF(OR($D38="Todo",$D38="To Do",$D38="In Progress",$D38="In Review"),"Open",IF($D38="Cancel","Cancel",IF($D38="Pending","Pending",IF($D38="Done","Done",$D38)))))</f>
        <v/>
      </c>
      <c r="R38" s="175"/>
      <c r="S38" s="175"/>
    </row>
    <row r="39" customFormat="false" ht="15.75" hidden="false" customHeight="true" outlineLevel="0" collapsed="false">
      <c r="N39" s="175"/>
      <c r="O39" s="173" t="str">
        <f aca="false">IF($D39="","",IF(OR($D39="Todo",$D39="To Do",$D39="In Progress",$D39="In Review"),"Open",IF($D39="Cancel","Cancel",IF($D39="Pending","Pending",IF($D39="Done","Done",$D39)))))</f>
        <v/>
      </c>
      <c r="R39" s="175"/>
      <c r="S39" s="175"/>
    </row>
    <row r="40" customFormat="false" ht="15.75" hidden="false" customHeight="true" outlineLevel="0" collapsed="false">
      <c r="N40" s="175"/>
      <c r="O40" s="173" t="str">
        <f aca="false">IF($D40="","",IF(OR($D40="Todo",$D40="To Do",$D40="In Progress",$D40="In Review"),"Open",IF($D40="Cancel","Cancel",IF($D40="Pending","Pending",IF($D40="Done","Done",$D40)))))</f>
        <v/>
      </c>
      <c r="R40" s="175"/>
      <c r="S40" s="175"/>
    </row>
    <row r="41" customFormat="false" ht="15.75" hidden="false" customHeight="true" outlineLevel="0" collapsed="false">
      <c r="N41" s="175"/>
      <c r="O41" s="173" t="str">
        <f aca="false">IF($D41="","",IF(OR($D41="Todo",$D41="To Do",$D41="In Progress",$D41="In Review"),"Open",IF($D41="Cancel","Cancel",IF($D41="Pending","Pending",IF($D41="Done","Done",$D41)))))</f>
        <v/>
      </c>
      <c r="R41" s="175"/>
      <c r="S41" s="175"/>
    </row>
    <row r="42" customFormat="false" ht="15.75" hidden="false" customHeight="true" outlineLevel="0" collapsed="false">
      <c r="N42" s="175"/>
      <c r="O42" s="173" t="str">
        <f aca="false">IF($D42="","",IF(OR($D42="Todo",$D42="To Do",$D42="In Progress",$D42="In Review"),"Open",IF($D42="Cancel","Cancel",IF($D42="Pending","Pending",IF($D42="Done","Done",$D42)))))</f>
        <v/>
      </c>
      <c r="R42" s="175"/>
      <c r="S42" s="175"/>
    </row>
    <row r="43" customFormat="false" ht="15.75" hidden="false" customHeight="true" outlineLevel="0" collapsed="false">
      <c r="N43" s="175"/>
      <c r="O43" s="173" t="str">
        <f aca="false">IF($D43="","",IF(OR($D43="Todo",$D43="To Do",$D43="In Progress",$D43="In Review"),"Open",IF($D43="Cancel","Cancel",IF($D43="Pending","Pending",IF($D43="Done","Done",$D43)))))</f>
        <v/>
      </c>
      <c r="R43" s="175"/>
      <c r="S43" s="175"/>
    </row>
    <row r="44" customFormat="false" ht="15.75" hidden="false" customHeight="true" outlineLevel="0" collapsed="false">
      <c r="N44" s="175"/>
      <c r="O44" s="173" t="str">
        <f aca="false">IF($D44="","",IF(OR($D44="Todo",$D44="To Do",$D44="In Progress",$D44="In Review"),"Open",IF($D44="Cancel","Cancel",IF($D44="Pending","Pending",IF($D44="Done","Done",$D44)))))</f>
        <v/>
      </c>
      <c r="R44" s="175"/>
      <c r="S44" s="175"/>
    </row>
    <row r="45" customFormat="false" ht="15.75" hidden="false" customHeight="true" outlineLevel="0" collapsed="false">
      <c r="N45" s="175"/>
      <c r="O45" s="173" t="str">
        <f aca="false">IF($D45="","",IF(OR($D45="Todo",$D45="To Do",$D45="In Progress",$D45="In Review"),"Open",IF($D45="Cancel","Cancel",IF($D45="Pending","Pending",IF($D45="Done","Done",$D45)))))</f>
        <v/>
      </c>
      <c r="R45" s="175"/>
      <c r="S45" s="175"/>
    </row>
    <row r="46" customFormat="false" ht="15.75" hidden="false" customHeight="true" outlineLevel="0" collapsed="false">
      <c r="N46" s="175"/>
      <c r="O46" s="173" t="str">
        <f aca="false">IF($D46="","",IF(OR($D46="Todo",$D46="To Do",$D46="In Progress",$D46="In Review"),"Open",IF($D46="Cancel","Cancel",IF($D46="Pending","Pending",IF($D46="Done","Done",$D46)))))</f>
        <v/>
      </c>
      <c r="R46" s="175"/>
      <c r="S46" s="175"/>
    </row>
    <row r="47" customFormat="false" ht="15.75" hidden="false" customHeight="true" outlineLevel="0" collapsed="false">
      <c r="N47" s="175"/>
      <c r="O47" s="173" t="str">
        <f aca="false">IF($D47="","",IF(OR($D47="Todo",$D47="To Do",$D47="In Progress",$D47="In Review"),"Open",IF($D47="Cancel","Cancel",IF($D47="Pending","Pending",IF($D47="Done","Done",$D47)))))</f>
        <v/>
      </c>
      <c r="R47" s="175"/>
      <c r="S47" s="175"/>
    </row>
    <row r="48" customFormat="false" ht="15.75" hidden="false" customHeight="true" outlineLevel="0" collapsed="false">
      <c r="N48" s="175"/>
      <c r="O48" s="173" t="str">
        <f aca="false">IF($D48="","",IF(OR($D48="Todo",$D48="To Do",$D48="In Progress",$D48="In Review"),"Open",IF($D48="Cancel","Cancel",IF($D48="Pending","Pending",IF($D48="Done","Done",$D48)))))</f>
        <v/>
      </c>
      <c r="R48" s="175"/>
      <c r="S48" s="175"/>
    </row>
    <row r="49" customFormat="false" ht="15.75" hidden="false" customHeight="true" outlineLevel="0" collapsed="false">
      <c r="N49" s="175"/>
      <c r="O49" s="173" t="str">
        <f aca="false">IF($D49="","",IF(OR($D49="Todo",$D49="To Do",$D49="In Progress",$D49="In Review"),"Open",IF($D49="Cancel","Cancel",IF($D49="Pending","Pending",IF($D49="Done","Done",$D49)))))</f>
        <v/>
      </c>
      <c r="R49" s="175"/>
      <c r="S49" s="175"/>
    </row>
    <row r="50" customFormat="false" ht="15.75" hidden="false" customHeight="true" outlineLevel="0" collapsed="false">
      <c r="N50" s="175"/>
      <c r="O50" s="173" t="str">
        <f aca="false">IF($D50="","",IF(OR($D50="Todo",$D50="To Do",$D50="In Progress",$D50="In Review"),"Open",IF($D50="Cancel","Cancel",IF($D50="Pending","Pending",IF($D50="Done","Done",$D50)))))</f>
        <v/>
      </c>
      <c r="R50" s="175"/>
      <c r="S50" s="175"/>
    </row>
    <row r="51" customFormat="false" ht="15.75" hidden="false" customHeight="true" outlineLevel="0" collapsed="false">
      <c r="N51" s="175"/>
      <c r="O51" s="173" t="str">
        <f aca="false">IF($D51="","",IF(OR($D51="Todo",$D51="To Do",$D51="In Progress",$D51="In Review"),"Open",IF($D51="Cancel","Cancel",IF($D51="Pending","Pending",IF($D51="Done","Done",$D51)))))</f>
        <v/>
      </c>
      <c r="R51" s="175"/>
      <c r="S51" s="175"/>
    </row>
    <row r="52" customFormat="false" ht="15.75" hidden="false" customHeight="true" outlineLevel="0" collapsed="false">
      <c r="N52" s="175"/>
      <c r="O52" s="173" t="str">
        <f aca="false">IF($D52="","",IF(OR($D52="Todo",$D52="To Do",$D52="In Progress",$D52="In Review"),"Open",IF($D52="Cancel","Cancel",IF($D52="Pending","Pending",IF($D52="Done","Done",$D52)))))</f>
        <v/>
      </c>
      <c r="R52" s="175"/>
      <c r="S52" s="175"/>
    </row>
    <row r="53" customFormat="false" ht="15.75" hidden="false" customHeight="true" outlineLevel="0" collapsed="false">
      <c r="N53" s="175"/>
      <c r="O53" s="173" t="str">
        <f aca="false">IF($D53="","",IF(OR($D53="Todo",$D53="To Do",$D53="In Progress",$D53="In Review"),"Open",IF($D53="Cancel","Cancel",IF($D53="Pending","Pending",IF($D53="Done","Done",$D53)))))</f>
        <v/>
      </c>
      <c r="R53" s="175"/>
      <c r="S53" s="175"/>
    </row>
    <row r="54" customFormat="false" ht="15.75" hidden="false" customHeight="true" outlineLevel="0" collapsed="false">
      <c r="N54" s="175"/>
      <c r="O54" s="173" t="str">
        <f aca="false">IF($D54="","",IF(OR($D54="Todo",$D54="To Do",$D54="In Progress",$D54="In Review"),"Open",IF($D54="Cancel","Cancel",IF($D54="Pending","Pending",IF($D54="Done","Done",$D54)))))</f>
        <v/>
      </c>
      <c r="R54" s="175"/>
      <c r="S54" s="175"/>
    </row>
    <row r="55" customFormat="false" ht="15.75" hidden="false" customHeight="true" outlineLevel="0" collapsed="false">
      <c r="N55" s="175"/>
      <c r="O55" s="173" t="str">
        <f aca="false">IF($D55="","",IF(OR($D55="Todo",$D55="To Do",$D55="In Progress",$D55="In Review"),"Open",IF($D55="Cancel","Cancel",IF($D55="Pending","Pending",IF($D55="Done","Done",$D55)))))</f>
        <v/>
      </c>
      <c r="R55" s="175"/>
      <c r="S55" s="175"/>
    </row>
    <row r="56" customFormat="false" ht="15.75" hidden="false" customHeight="true" outlineLevel="0" collapsed="false">
      <c r="N56" s="175"/>
      <c r="O56" s="173" t="str">
        <f aca="false">IF($D56="","",IF(OR($D56="Todo",$D56="To Do",$D56="In Progress",$D56="In Review"),"Open",IF($D56="Cancel","Cancel",IF($D56="Pending","Pending",IF($D56="Done","Done",$D56)))))</f>
        <v/>
      </c>
      <c r="R56" s="175"/>
      <c r="S56" s="175"/>
    </row>
    <row r="57" customFormat="false" ht="15.75" hidden="false" customHeight="true" outlineLevel="0" collapsed="false">
      <c r="N57" s="175"/>
      <c r="O57" s="173" t="str">
        <f aca="false">IF($D57="","",IF(OR($D57="Todo",$D57="To Do",$D57="In Progress",$D57="In Review"),"Open",IF($D57="Cancel","Cancel",IF($D57="Pending","Pending",IF($D57="Done","Done",$D57)))))</f>
        <v/>
      </c>
      <c r="R57" s="175"/>
      <c r="S57" s="175"/>
    </row>
    <row r="58" customFormat="false" ht="15.75" hidden="false" customHeight="true" outlineLevel="0" collapsed="false">
      <c r="N58" s="175"/>
      <c r="O58" s="173" t="str">
        <f aca="false">IF($D58="","",IF(OR($D58="Todo",$D58="To Do",$D58="In Progress",$D58="In Review"),"Open",IF($D58="Cancel","Cancel",IF($D58="Pending","Pending",IF($D58="Done","Done",$D58)))))</f>
        <v/>
      </c>
      <c r="R58" s="175"/>
      <c r="S58" s="175"/>
    </row>
    <row r="59" customFormat="false" ht="15.75" hidden="false" customHeight="true" outlineLevel="0" collapsed="false">
      <c r="N59" s="175"/>
      <c r="O59" s="173" t="str">
        <f aca="false">IF($D59="","",IF(OR($D59="Todo",$D59="To Do",$D59="In Progress",$D59="In Review"),"Open",IF($D59="Cancel","Cancel",IF($D59="Pending","Pending",IF($D59="Done","Done",$D59)))))</f>
        <v/>
      </c>
      <c r="R59" s="175"/>
      <c r="S59" s="175"/>
    </row>
    <row r="60" customFormat="false" ht="15.75" hidden="false" customHeight="true" outlineLevel="0" collapsed="false">
      <c r="N60" s="175"/>
      <c r="O60" s="173" t="str">
        <f aca="false">IF($D60="","",IF(OR($D60="Todo",$D60="To Do",$D60="In Progress",$D60="In Review"),"Open",IF($D60="Cancel","Cancel",IF($D60="Pending","Pending",IF($D60="Done","Done",$D60)))))</f>
        <v/>
      </c>
      <c r="R60" s="175"/>
      <c r="S60" s="175"/>
    </row>
    <row r="61" customFormat="false" ht="15.75" hidden="false" customHeight="true" outlineLevel="0" collapsed="false">
      <c r="N61" s="175"/>
      <c r="O61" s="173" t="str">
        <f aca="false">IF($D61="","",IF(OR($D61="Todo",$D61="To Do",$D61="In Progress",$D61="In Review"),"Open",IF($D61="Cancel","Cancel",IF($D61="Pending","Pending",IF($D61="Done","Done",$D61)))))</f>
        <v/>
      </c>
      <c r="R61" s="175"/>
      <c r="S61" s="175"/>
    </row>
    <row r="62" customFormat="false" ht="15.75" hidden="false" customHeight="true" outlineLevel="0" collapsed="false">
      <c r="N62" s="175"/>
      <c r="O62" s="173" t="str">
        <f aca="false">IF($D62="","",IF(OR($D62="Todo",$D62="To Do",$D62="In Progress",$D62="In Review"),"Open",IF($D62="Cancel","Cancel",IF($D62="Pending","Pending",IF($D62="Done","Done",$D62)))))</f>
        <v/>
      </c>
      <c r="R62" s="175"/>
      <c r="S62" s="175"/>
    </row>
    <row r="63" customFormat="false" ht="15.75" hidden="false" customHeight="true" outlineLevel="0" collapsed="false">
      <c r="N63" s="175"/>
      <c r="O63" s="173" t="str">
        <f aca="false">IF($D63="","",IF(OR($D63="Todo",$D63="To Do",$D63="In Progress",$D63="In Review"),"Open",IF($D63="Cancel","Cancel",IF($D63="Pending","Pending",IF($D63="Done","Done",$D63)))))</f>
        <v/>
      </c>
      <c r="R63" s="175"/>
      <c r="S63" s="175"/>
    </row>
    <row r="64" customFormat="false" ht="15.75" hidden="false" customHeight="true" outlineLevel="0" collapsed="false">
      <c r="N64" s="175"/>
      <c r="O64" s="173" t="str">
        <f aca="false">IF($D64="","",IF(OR($D64="Todo",$D64="To Do",$D64="In Progress",$D64="In Review"),"Open",IF($D64="Cancel","Cancel",IF($D64="Pending","Pending",IF($D64="Done","Done",$D64)))))</f>
        <v/>
      </c>
      <c r="R64" s="175"/>
      <c r="S64" s="175"/>
    </row>
    <row r="65" customFormat="false" ht="15.75" hidden="false" customHeight="true" outlineLevel="0" collapsed="false">
      <c r="N65" s="175"/>
      <c r="O65" s="173" t="str">
        <f aca="false">IF($D65="","",IF(OR($D65="Todo",$D65="To Do",$D65="In Progress",$D65="In Review"),"Open",IF($D65="Cancel","Cancel",IF($D65="Pending","Pending",IF($D65="Done","Done",$D65)))))</f>
        <v/>
      </c>
      <c r="R65" s="175"/>
      <c r="S65" s="175"/>
    </row>
    <row r="66" customFormat="false" ht="15.75" hidden="false" customHeight="true" outlineLevel="0" collapsed="false">
      <c r="N66" s="175"/>
      <c r="O66" s="173" t="str">
        <f aca="false">IF($D66="","",IF(OR($D66="Todo",$D66="To Do",$D66="In Progress",$D66="In Review"),"Open",IF($D66="Cancel","Cancel",IF($D66="Pending","Pending",IF($D66="Done","Done",$D66)))))</f>
        <v/>
      </c>
      <c r="R66" s="175"/>
      <c r="S66" s="175"/>
    </row>
    <row r="67" customFormat="false" ht="15.75" hidden="false" customHeight="true" outlineLevel="0" collapsed="false">
      <c r="N67" s="175"/>
      <c r="O67" s="173" t="str">
        <f aca="false">IF($D67="","",IF(OR($D67="Todo",$D67="To Do",$D67="In Progress",$D67="In Review"),"Open",IF($D67="Cancel","Cancel",IF($D67="Pending","Pending",IF($D67="Done","Done",$D67)))))</f>
        <v/>
      </c>
      <c r="R67" s="175"/>
      <c r="S67" s="175"/>
    </row>
    <row r="68" customFormat="false" ht="15.75" hidden="false" customHeight="true" outlineLevel="0" collapsed="false">
      <c r="N68" s="175"/>
      <c r="O68" s="173" t="str">
        <f aca="false">IF($D68="","",IF(OR($D68="Todo",$D68="To Do",$D68="In Progress",$D68="In Review"),"Open",IF($D68="Cancel","Cancel",IF($D68="Pending","Pending",IF($D68="Done","Done",$D68)))))</f>
        <v/>
      </c>
      <c r="R68" s="175"/>
      <c r="S68" s="175"/>
    </row>
    <row r="69" customFormat="false" ht="15.75" hidden="false" customHeight="true" outlineLevel="0" collapsed="false">
      <c r="N69" s="175"/>
      <c r="O69" s="173" t="str">
        <f aca="false">IF($D69="","",IF(OR($D69="Todo",$D69="To Do",$D69="In Progress",$D69="In Review"),"Open",IF($D69="Cancel","Cancel",IF($D69="Pending","Pending",IF($D69="Done","Done",$D69)))))</f>
        <v/>
      </c>
      <c r="R69" s="175"/>
      <c r="S69" s="175"/>
    </row>
    <row r="70" customFormat="false" ht="15.75" hidden="false" customHeight="true" outlineLevel="0" collapsed="false">
      <c r="N70" s="175"/>
      <c r="O70" s="173" t="str">
        <f aca="false">IF($D70="","",IF(OR($D70="Todo",$D70="To Do",$D70="In Progress",$D70="In Review"),"Open",IF($D70="Cancel","Cancel",IF($D70="Pending","Pending",IF($D70="Done","Done",$D70)))))</f>
        <v/>
      </c>
      <c r="R70" s="175"/>
      <c r="S70" s="175"/>
    </row>
    <row r="71" customFormat="false" ht="15.75" hidden="false" customHeight="true" outlineLevel="0" collapsed="false">
      <c r="N71" s="175"/>
      <c r="O71" s="173" t="str">
        <f aca="false">IF($D71="","",IF(OR($D71="Todo",$D71="To Do",$D71="In Progress",$D71="In Review"),"Open",IF($D71="Cancel","Cancel",IF($D71="Pending","Pending",IF($D71="Done","Done",$D71)))))</f>
        <v/>
      </c>
      <c r="R71" s="175"/>
      <c r="S71" s="175"/>
    </row>
    <row r="72" customFormat="false" ht="15.75" hidden="false" customHeight="true" outlineLevel="0" collapsed="false">
      <c r="N72" s="175"/>
      <c r="O72" s="173" t="str">
        <f aca="false">IF($D72="","",IF(OR($D72="Todo",$D72="To Do",$D72="In Progress",$D72="In Review"),"Open",IF($D72="Cancel","Cancel",IF($D72="Pending","Pending",IF($D72="Done","Done",$D72)))))</f>
        <v/>
      </c>
      <c r="R72" s="175"/>
      <c r="S72" s="175"/>
    </row>
    <row r="73" customFormat="false" ht="15.75" hidden="false" customHeight="true" outlineLevel="0" collapsed="false">
      <c r="N73" s="175"/>
      <c r="O73" s="173" t="str">
        <f aca="false">IF($D73="","",IF(OR($D73="Todo",$D73="To Do",$D73="In Progress",$D73="In Review"),"Open",IF($D73="Cancel","Cancel",IF($D73="Pending","Pending",IF($D73="Done","Done",$D73)))))</f>
        <v/>
      </c>
      <c r="R73" s="175"/>
      <c r="S73" s="175"/>
    </row>
    <row r="74" customFormat="false" ht="15.75" hidden="false" customHeight="true" outlineLevel="0" collapsed="false">
      <c r="N74" s="175"/>
      <c r="O74" s="173" t="str">
        <f aca="false">IF($D74="","",IF(OR($D74="Todo",$D74="To Do",$D74="In Progress",$D74="In Review"),"Open",IF($D74="Cancel","Cancel",IF($D74="Pending","Pending",IF($D74="Done","Done",$D74)))))</f>
        <v/>
      </c>
      <c r="R74" s="175"/>
      <c r="S74" s="175"/>
    </row>
    <row r="75" customFormat="false" ht="15.75" hidden="false" customHeight="true" outlineLevel="0" collapsed="false">
      <c r="N75" s="175"/>
      <c r="O75" s="173" t="str">
        <f aca="false">IF($D75="","",IF(OR($D75="Todo",$D75="To Do",$D75="In Progress",$D75="In Review"),"Open",IF($D75="Cancel","Cancel",IF($D75="Pending","Pending",IF($D75="Done","Done",$D75)))))</f>
        <v/>
      </c>
      <c r="R75" s="175"/>
      <c r="S75" s="175"/>
    </row>
    <row r="76" customFormat="false" ht="15.75" hidden="false" customHeight="true" outlineLevel="0" collapsed="false">
      <c r="N76" s="175"/>
      <c r="O76" s="173" t="str">
        <f aca="false">IF($D76="","",IF(OR($D76="Todo",$D76="To Do",$D76="In Progress",$D76="In Review"),"Open",IF($D76="Cancel","Cancel",IF($D76="Pending","Pending",IF($D76="Done","Done",$D76)))))</f>
        <v/>
      </c>
      <c r="R76" s="175"/>
      <c r="S76" s="175"/>
    </row>
    <row r="77" customFormat="false" ht="15.75" hidden="false" customHeight="true" outlineLevel="0" collapsed="false">
      <c r="N77" s="175"/>
      <c r="O77" s="173" t="str">
        <f aca="false">IF($D77="","",IF(OR($D77="Todo",$D77="To Do",$D77="In Progress",$D77="In Review"),"Open",IF($D77="Cancel","Cancel",IF($D77="Pending","Pending",IF($D77="Done","Done",$D77)))))</f>
        <v/>
      </c>
      <c r="R77" s="175"/>
      <c r="S77" s="175"/>
    </row>
    <row r="78" customFormat="false" ht="15.75" hidden="false" customHeight="true" outlineLevel="0" collapsed="false">
      <c r="N78" s="175"/>
      <c r="O78" s="173" t="str">
        <f aca="false">IF($D78="","",IF(OR($D78="Todo",$D78="To Do",$D78="In Progress",$D78="In Review"),"Open",IF($D78="Cancel","Cancel",IF($D78="Pending","Pending",IF($D78="Done","Done",$D78)))))</f>
        <v/>
      </c>
      <c r="R78" s="175"/>
      <c r="S78" s="175"/>
    </row>
    <row r="79" customFormat="false" ht="15.75" hidden="false" customHeight="true" outlineLevel="0" collapsed="false">
      <c r="N79" s="175"/>
      <c r="O79" s="173" t="str">
        <f aca="false">IF($D79="","",IF(OR($D79="Todo",$D79="To Do",$D79="In Progress",$D79="In Review"),"Open",IF($D79="Cancel","Cancel",IF($D79="Pending","Pending",IF($D79="Done","Done",$D79)))))</f>
        <v/>
      </c>
      <c r="R79" s="175"/>
      <c r="S79" s="175"/>
    </row>
    <row r="80" customFormat="false" ht="15.75" hidden="false" customHeight="true" outlineLevel="0" collapsed="false">
      <c r="N80" s="175"/>
      <c r="O80" s="173" t="str">
        <f aca="false">IF($D80="","",IF(OR($D80="Todo",$D80="To Do",$D80="In Progress",$D80="In Review"),"Open",IF($D80="Cancel","Cancel",IF($D80="Pending","Pending",IF($D80="Done","Done",$D80)))))</f>
        <v/>
      </c>
      <c r="R80" s="175"/>
      <c r="S80" s="175"/>
    </row>
    <row r="81" customFormat="false" ht="15.75" hidden="false" customHeight="true" outlineLevel="0" collapsed="false">
      <c r="N81" s="175"/>
      <c r="O81" s="173" t="str">
        <f aca="false">IF($D81="","",IF(OR($D81="Todo",$D81="To Do",$D81="In Progress",$D81="In Review"),"Open",IF($D81="Cancel","Cancel",IF($D81="Pending","Pending",IF($D81="Done","Done",$D81)))))</f>
        <v/>
      </c>
      <c r="R81" s="175"/>
      <c r="S81" s="175"/>
    </row>
    <row r="82" customFormat="false" ht="15.75" hidden="false" customHeight="true" outlineLevel="0" collapsed="false">
      <c r="N82" s="175"/>
      <c r="O82" s="173" t="str">
        <f aca="false">IF($D82="","",IF(OR($D82="Todo",$D82="To Do",$D82="In Progress",$D82="In Review"),"Open",IF($D82="Cancel","Cancel",IF($D82="Pending","Pending",IF($D82="Done","Done",$D82)))))</f>
        <v/>
      </c>
      <c r="R82" s="175"/>
      <c r="S82" s="175"/>
    </row>
    <row r="83" customFormat="false" ht="15.75" hidden="false" customHeight="true" outlineLevel="0" collapsed="false">
      <c r="N83" s="175"/>
      <c r="O83" s="173" t="str">
        <f aca="false">IF($D83="","",IF(OR($D83="Todo",$D83="To Do",$D83="In Progress",$D83="In Review"),"Open",IF($D83="Cancel","Cancel",IF($D83="Pending","Pending",IF($D83="Done","Done",$D83)))))</f>
        <v/>
      </c>
      <c r="R83" s="175"/>
      <c r="S83" s="175"/>
    </row>
    <row r="84" customFormat="false" ht="15.75" hidden="false" customHeight="true" outlineLevel="0" collapsed="false">
      <c r="N84" s="175"/>
      <c r="O84" s="173" t="str">
        <f aca="false">IF($D84="","",IF(OR($D84="Todo",$D84="To Do",$D84="In Progress",$D84="In Review"),"Open",IF($D84="Cancel","Cancel",IF($D84="Pending","Pending",IF($D84="Done","Done",$D84)))))</f>
        <v/>
      </c>
      <c r="R84" s="175"/>
      <c r="S84" s="175"/>
    </row>
    <row r="85" customFormat="false" ht="15.75" hidden="false" customHeight="true" outlineLevel="0" collapsed="false">
      <c r="N85" s="175"/>
      <c r="O85" s="173" t="str">
        <f aca="false">IF($D85="","",IF(OR($D85="Todo",$D85="To Do",$D85="In Progress",$D85="In Review"),"Open",IF($D85="Cancel","Cancel",IF($D85="Pending","Pending",IF($D85="Done","Done",$D85)))))</f>
        <v/>
      </c>
      <c r="R85" s="175"/>
      <c r="S85" s="175"/>
    </row>
    <row r="86" customFormat="false" ht="15.75" hidden="false" customHeight="true" outlineLevel="0" collapsed="false">
      <c r="N86" s="175"/>
      <c r="O86" s="173" t="str">
        <f aca="false">IF($D86="","",IF(OR($D86="Todo",$D86="To Do",$D86="In Progress",$D86="In Review"),"Open",IF($D86="Cancel","Cancel",IF($D86="Pending","Pending",IF($D86="Done","Done",$D86)))))</f>
        <v/>
      </c>
      <c r="R86" s="175"/>
      <c r="S86" s="175"/>
    </row>
    <row r="87" customFormat="false" ht="15.75" hidden="false" customHeight="true" outlineLevel="0" collapsed="false">
      <c r="N87" s="175"/>
      <c r="O87" s="173" t="str">
        <f aca="false">IF($D87="","",IF(OR($D87="Todo",$D87="To Do",$D87="In Progress",$D87="In Review"),"Open",IF($D87="Cancel","Cancel",IF($D87="Pending","Pending",IF($D87="Done","Done",$D87)))))</f>
        <v/>
      </c>
      <c r="R87" s="175"/>
      <c r="S87" s="175"/>
    </row>
    <row r="88" customFormat="false" ht="15.75" hidden="false" customHeight="true" outlineLevel="0" collapsed="false">
      <c r="N88" s="175"/>
      <c r="O88" s="173" t="str">
        <f aca="false">IF($D88="","",IF(OR($D88="Todo",$D88="To Do",$D88="In Progress",$D88="In Review"),"Open",IF($D88="Cancel","Cancel",IF($D88="Pending","Pending",IF($D88="Done","Done",$D88)))))</f>
        <v/>
      </c>
      <c r="R88" s="175"/>
      <c r="S88" s="175"/>
    </row>
    <row r="89" customFormat="false" ht="15.75" hidden="false" customHeight="true" outlineLevel="0" collapsed="false">
      <c r="N89" s="175"/>
      <c r="O89" s="173" t="str">
        <f aca="false">IF($D89="","",IF(OR($D89="Todo",$D89="To Do",$D89="In Progress",$D89="In Review"),"Open",IF($D89="Cancel","Cancel",IF($D89="Pending","Pending",IF($D89="Done","Done",$D89)))))</f>
        <v/>
      </c>
      <c r="R89" s="175"/>
      <c r="S89" s="175"/>
    </row>
    <row r="90" customFormat="false" ht="15.75" hidden="false" customHeight="true" outlineLevel="0" collapsed="false">
      <c r="N90" s="175"/>
      <c r="O90" s="173" t="str">
        <f aca="false">IF($D90="","",IF(OR($D90="Todo",$D90="To Do",$D90="In Progress",$D90="In Review"),"Open",IF($D90="Cancel","Cancel",IF($D90="Pending","Pending",IF($D90="Done","Done",$D90)))))</f>
        <v/>
      </c>
      <c r="R90" s="175"/>
      <c r="S90" s="175"/>
    </row>
    <row r="91" customFormat="false" ht="15.75" hidden="false" customHeight="true" outlineLevel="0" collapsed="false">
      <c r="N91" s="175"/>
      <c r="O91" s="173" t="str">
        <f aca="false">IF($D91="","",IF(OR($D91="Todo",$D91="To Do",$D91="In Progress",$D91="In Review"),"Open",IF($D91="Cancel","Cancel",IF($D91="Pending","Pending",IF($D91="Done","Done",$D91)))))</f>
        <v/>
      </c>
      <c r="R91" s="175"/>
      <c r="S91" s="175"/>
    </row>
    <row r="92" customFormat="false" ht="15.75" hidden="false" customHeight="true" outlineLevel="0" collapsed="false">
      <c r="N92" s="175"/>
      <c r="O92" s="173" t="str">
        <f aca="false">IF($D92="","",IF(OR($D92="Todo",$D92="To Do",$D92="In Progress",$D92="In Review"),"Open",IF($D92="Cancel","Cancel",IF($D92="Pending","Pending",IF($D92="Done","Done",$D92)))))</f>
        <v/>
      </c>
      <c r="R92" s="175"/>
      <c r="S92" s="175"/>
    </row>
    <row r="93" customFormat="false" ht="15.75" hidden="false" customHeight="true" outlineLevel="0" collapsed="false">
      <c r="N93" s="175"/>
      <c r="O93" s="173" t="str">
        <f aca="false">IF($D93="","",IF(OR($D93="Todo",$D93="To Do",$D93="In Progress",$D93="In Review"),"Open",IF($D93="Cancel","Cancel",IF($D93="Pending","Pending",IF($D93="Done","Done",$D93)))))</f>
        <v/>
      </c>
      <c r="R93" s="175"/>
      <c r="S93" s="175"/>
    </row>
    <row r="94" customFormat="false" ht="15.75" hidden="false" customHeight="true" outlineLevel="0" collapsed="false">
      <c r="N94" s="175"/>
      <c r="O94" s="173" t="str">
        <f aca="false">IF($D94="","",IF(OR($D94="Todo",$D94="To Do",$D94="In Progress",$D94="In Review"),"Open",IF($D94="Cancel","Cancel",IF($D94="Pending","Pending",IF($D94="Done","Done",$D94)))))</f>
        <v/>
      </c>
      <c r="R94" s="175"/>
      <c r="S94" s="175"/>
    </row>
    <row r="95" customFormat="false" ht="15.75" hidden="false" customHeight="true" outlineLevel="0" collapsed="false">
      <c r="N95" s="175"/>
      <c r="O95" s="173" t="str">
        <f aca="false">IF($D95="","",IF(OR($D95="Todo",$D95="To Do",$D95="In Progress",$D95="In Review"),"Open",IF($D95="Cancel","Cancel",IF($D95="Pending","Pending",IF($D95="Done","Done",$D95)))))</f>
        <v/>
      </c>
      <c r="R95" s="175"/>
      <c r="S95" s="175"/>
    </row>
    <row r="96" customFormat="false" ht="15.75" hidden="false" customHeight="true" outlineLevel="0" collapsed="false">
      <c r="N96" s="175"/>
      <c r="O96" s="173" t="str">
        <f aca="false">IF($D96="","",IF(OR($D96="Todo",$D96="To Do",$D96="In Progress",$D96="In Review"),"Open",IF($D96="Cancel","Cancel",IF($D96="Pending","Pending",IF($D96="Done","Done",$D96)))))</f>
        <v/>
      </c>
      <c r="R96" s="175"/>
      <c r="S96" s="175"/>
    </row>
    <row r="97" customFormat="false" ht="15.75" hidden="false" customHeight="true" outlineLevel="0" collapsed="false">
      <c r="N97" s="175"/>
      <c r="O97" s="173" t="str">
        <f aca="false">IF($D97="","",IF(OR($D97="Todo",$D97="To Do",$D97="In Progress",$D97="In Review"),"Open",IF($D97="Cancel","Cancel",IF($D97="Pending","Pending",IF($D97="Done","Done",$D97)))))</f>
        <v/>
      </c>
      <c r="R97" s="175"/>
      <c r="S97" s="175"/>
    </row>
    <row r="98" customFormat="false" ht="15.75" hidden="false" customHeight="true" outlineLevel="0" collapsed="false">
      <c r="N98" s="175"/>
      <c r="O98" s="173" t="str">
        <f aca="false">IF($D98="","",IF(OR($D98="Todo",$D98="To Do",$D98="In Progress",$D98="In Review"),"Open",IF($D98="Cancel","Cancel",IF($D98="Pending","Pending",IF($D98="Done","Done",$D98)))))</f>
        <v/>
      </c>
      <c r="R98" s="175"/>
      <c r="S98" s="175"/>
    </row>
    <row r="99" customFormat="false" ht="15.75" hidden="false" customHeight="true" outlineLevel="0" collapsed="false">
      <c r="N99" s="175"/>
      <c r="O99" s="173" t="str">
        <f aca="false">IF($D99="","",IF(OR($D99="Todo",$D99="To Do",$D99="In Progress",$D99="In Review"),"Open",IF($D99="Cancel","Cancel",IF($D99="Pending","Pending",IF($D99="Done","Done",$D99)))))</f>
        <v/>
      </c>
      <c r="R99" s="175"/>
      <c r="S99" s="175"/>
    </row>
    <row r="100" customFormat="false" ht="15.75" hidden="false" customHeight="true" outlineLevel="0" collapsed="false">
      <c r="N100" s="175"/>
      <c r="O100" s="173" t="str">
        <f aca="false">IF($D100="","",IF(OR($D100="Todo",$D100="To Do",$D100="In Progress",$D100="In Review"),"Open",IF($D100="Cancel","Cancel",IF($D100="Pending","Pending",IF($D100="Done","Done",$D100)))))</f>
        <v/>
      </c>
      <c r="R100" s="175"/>
      <c r="S100" s="175"/>
    </row>
    <row r="101" customFormat="false" ht="15.75" hidden="false" customHeight="true" outlineLevel="0" collapsed="false">
      <c r="N101" s="175"/>
      <c r="O101" s="173" t="str">
        <f aca="false">IF($D101="","",IF(OR($D101="Todo",$D101="To Do",$D101="In Progress",$D101="In Review"),"Open",IF($D101="Cancel","Cancel",IF($D101="Pending","Pending",IF($D101="Done","Done",$D101)))))</f>
        <v/>
      </c>
      <c r="R101" s="175"/>
      <c r="S101" s="175"/>
    </row>
    <row r="102" customFormat="false" ht="15.75" hidden="false" customHeight="true" outlineLevel="0" collapsed="false">
      <c r="N102" s="175"/>
      <c r="O102" s="173" t="str">
        <f aca="false">IF($D102="","",IF(OR($D102="Todo",$D102="To Do",$D102="In Progress",$D102="In Review"),"Open",IF($D102="Cancel","Cancel",IF($D102="Pending","Pending",IF($D102="Done","Done",$D102)))))</f>
        <v/>
      </c>
      <c r="R102" s="175"/>
      <c r="S102" s="175"/>
    </row>
    <row r="103" customFormat="false" ht="15.75" hidden="false" customHeight="true" outlineLevel="0" collapsed="false">
      <c r="N103" s="175"/>
      <c r="O103" s="173" t="str">
        <f aca="false">IF($D103="","",IF(OR($D103="Todo",$D103="To Do",$D103="In Progress",$D103="In Review"),"Open",IF($D103="Cancel","Cancel",IF($D103="Pending","Pending",IF($D103="Done","Done",$D103)))))</f>
        <v/>
      </c>
      <c r="R103" s="175"/>
      <c r="S103" s="175"/>
    </row>
    <row r="104" customFormat="false" ht="15.75" hidden="false" customHeight="true" outlineLevel="0" collapsed="false">
      <c r="N104" s="175"/>
      <c r="O104" s="173" t="str">
        <f aca="false">IF($D104="","",IF(OR($D104="Todo",$D104="To Do",$D104="In Progress",$D104="In Review"),"Open",IF($D104="Cancel","Cancel",IF($D104="Pending","Pending",IF($D104="Done","Done",$D104)))))</f>
        <v/>
      </c>
      <c r="R104" s="175"/>
      <c r="S104" s="175"/>
    </row>
    <row r="105" customFormat="false" ht="15.75" hidden="false" customHeight="true" outlineLevel="0" collapsed="false">
      <c r="N105" s="175"/>
      <c r="O105" s="173" t="str">
        <f aca="false">IF($D105="","",IF(OR($D105="Todo",$D105="To Do",$D105="In Progress",$D105="In Review"),"Open",IF($D105="Cancel","Cancel",IF($D105="Pending","Pending",IF($D105="Done","Done",$D105)))))</f>
        <v/>
      </c>
      <c r="R105" s="175"/>
      <c r="S105" s="175"/>
    </row>
    <row r="106" customFormat="false" ht="15.75" hidden="false" customHeight="true" outlineLevel="0" collapsed="false">
      <c r="N106" s="175"/>
      <c r="O106" s="173" t="str">
        <f aca="false">IF($D106="","",IF(OR($D106="Todo",$D106="To Do",$D106="In Progress",$D106="In Review"),"Open",IF($D106="Cancel","Cancel",IF($D106="Pending","Pending",IF($D106="Done","Done",$D106)))))</f>
        <v/>
      </c>
      <c r="R106" s="175"/>
      <c r="S106" s="175"/>
    </row>
    <row r="107" customFormat="false" ht="15.75" hidden="false" customHeight="true" outlineLevel="0" collapsed="false">
      <c r="N107" s="175"/>
      <c r="O107" s="173" t="str">
        <f aca="false">IF($D107="","",IF(OR($D107="Todo",$D107="To Do",$D107="In Progress",$D107="In Review"),"Open",IF($D107="Cancel","Cancel",IF($D107="Pending","Pending",IF($D107="Done","Done",$D107)))))</f>
        <v/>
      </c>
      <c r="R107" s="175"/>
      <c r="S107" s="175"/>
    </row>
    <row r="108" customFormat="false" ht="15.75" hidden="false" customHeight="true" outlineLevel="0" collapsed="false">
      <c r="N108" s="175"/>
      <c r="O108" s="173" t="str">
        <f aca="false">IF($D108="","",IF(OR($D108="Todo",$D108="To Do",$D108="In Progress",$D108="In Review"),"Open",IF($D108="Cancel","Cancel",IF($D108="Pending","Pending",IF($D108="Done","Done",$D108)))))</f>
        <v/>
      </c>
      <c r="R108" s="175"/>
      <c r="S108" s="175"/>
    </row>
    <row r="109" customFormat="false" ht="15.75" hidden="false" customHeight="true" outlineLevel="0" collapsed="false">
      <c r="N109" s="175"/>
      <c r="O109" s="173" t="str">
        <f aca="false">IF($D109="","",IF(OR($D109="Todo",$D109="To Do",$D109="In Progress",$D109="In Review"),"Open",IF($D109="Cancel","Cancel",IF($D109="Pending","Pending",IF($D109="Done","Done",$D109)))))</f>
        <v/>
      </c>
      <c r="R109" s="175"/>
      <c r="S109" s="175"/>
    </row>
    <row r="110" customFormat="false" ht="15.75" hidden="false" customHeight="true" outlineLevel="0" collapsed="false">
      <c r="N110" s="175"/>
      <c r="O110" s="173" t="str">
        <f aca="false">IF($D110="","",IF(OR($D110="Todo",$D110="To Do",$D110="In Progress",$D110="In Review"),"Open",IF($D110="Cancel","Cancel",IF($D110="Pending","Pending",IF($D110="Done","Done",$D110)))))</f>
        <v/>
      </c>
      <c r="R110" s="175"/>
      <c r="S110" s="175"/>
    </row>
    <row r="111" customFormat="false" ht="15.75" hidden="false" customHeight="true" outlineLevel="0" collapsed="false">
      <c r="N111" s="175"/>
      <c r="O111" s="173" t="str">
        <f aca="false">IF($D111="","",IF(OR($D111="Todo",$D111="To Do",$D111="In Progress",$D111="In Review"),"Open",IF($D111="Cancel","Cancel",IF($D111="Pending","Pending",IF($D111="Done","Done",$D111)))))</f>
        <v/>
      </c>
      <c r="R111" s="175"/>
      <c r="S111" s="175"/>
    </row>
    <row r="112" customFormat="false" ht="15.75" hidden="false" customHeight="true" outlineLevel="0" collapsed="false">
      <c r="N112" s="175"/>
      <c r="O112" s="173" t="str">
        <f aca="false">IF($D112="","",IF(OR($D112="Todo",$D112="To Do",$D112="In Progress",$D112="In Review"),"Open",IF($D112="Cancel","Cancel",IF($D112="Pending","Pending",IF($D112="Done","Done",$D112)))))</f>
        <v/>
      </c>
      <c r="R112" s="175"/>
      <c r="S112" s="175"/>
    </row>
    <row r="113" customFormat="false" ht="15.75" hidden="false" customHeight="true" outlineLevel="0" collapsed="false">
      <c r="N113" s="175"/>
      <c r="O113" s="173" t="str">
        <f aca="false">IF($D113="","",IF(OR($D113="Todo",$D113="To Do",$D113="In Progress",$D113="In Review"),"Open",IF($D113="Cancel","Cancel",IF($D113="Pending","Pending",IF($D113="Done","Done",$D113)))))</f>
        <v/>
      </c>
      <c r="R113" s="175"/>
      <c r="S113" s="175"/>
    </row>
    <row r="114" customFormat="false" ht="15.75" hidden="false" customHeight="true" outlineLevel="0" collapsed="false">
      <c r="N114" s="175"/>
      <c r="O114" s="173" t="str">
        <f aca="false">IF($D114="","",IF(OR($D114="Todo",$D114="To Do",$D114="In Progress",$D114="In Review"),"Open",IF($D114="Cancel","Cancel",IF($D114="Pending","Pending",IF($D114="Done","Done",$D114)))))</f>
        <v/>
      </c>
      <c r="R114" s="175"/>
      <c r="S114" s="175"/>
    </row>
    <row r="115" customFormat="false" ht="15.75" hidden="false" customHeight="true" outlineLevel="0" collapsed="false">
      <c r="N115" s="175"/>
      <c r="O115" s="173" t="str">
        <f aca="false">IF($D115="","",IF(OR($D115="Todo",$D115="To Do",$D115="In Progress",$D115="In Review"),"Open",IF($D115="Cancel","Cancel",IF($D115="Pending","Pending",IF($D115="Done","Done",$D115)))))</f>
        <v/>
      </c>
      <c r="R115" s="175"/>
      <c r="S115" s="175"/>
    </row>
    <row r="116" customFormat="false" ht="15.75" hidden="false" customHeight="true" outlineLevel="0" collapsed="false">
      <c r="N116" s="175"/>
      <c r="O116" s="173" t="str">
        <f aca="false">IF($D116="","",IF(OR($D116="Todo",$D116="To Do",$D116="In Progress",$D116="In Review"),"Open",IF($D116="Cancel","Cancel",IF($D116="Pending","Pending",IF($D116="Done","Done",$D116)))))</f>
        <v/>
      </c>
      <c r="R116" s="175"/>
      <c r="S116" s="175"/>
    </row>
    <row r="117" customFormat="false" ht="15.75" hidden="false" customHeight="true" outlineLevel="0" collapsed="false">
      <c r="N117" s="175"/>
      <c r="O117" s="173" t="str">
        <f aca="false">IF($D117="","",IF(OR($D117="Todo",$D117="To Do",$D117="In Progress",$D117="In Review"),"Open",IF($D117="Cancel","Cancel",IF($D117="Pending","Pending",IF($D117="Done","Done",$D117)))))</f>
        <v/>
      </c>
      <c r="R117" s="175"/>
      <c r="S117" s="175"/>
    </row>
    <row r="118" customFormat="false" ht="15.75" hidden="false" customHeight="true" outlineLevel="0" collapsed="false">
      <c r="N118" s="175"/>
      <c r="O118" s="173" t="str">
        <f aca="false">IF($D118="","",IF(OR($D118="Todo",$D118="To Do",$D118="In Progress",$D118="In Review"),"Open",IF($D118="Cancel","Cancel",IF($D118="Pending","Pending",IF($D118="Done","Done",$D118)))))</f>
        <v/>
      </c>
      <c r="R118" s="175"/>
      <c r="S118" s="175"/>
    </row>
    <row r="119" customFormat="false" ht="15.75" hidden="false" customHeight="true" outlineLevel="0" collapsed="false">
      <c r="N119" s="175"/>
      <c r="O119" s="173" t="str">
        <f aca="false">IF($D119="","",IF(OR($D119="Todo",$D119="To Do",$D119="In Progress",$D119="In Review"),"Open",IF($D119="Cancel","Cancel",IF($D119="Pending","Pending",IF($D119="Done","Done",$D119)))))</f>
        <v/>
      </c>
      <c r="R119" s="175"/>
      <c r="S119" s="175"/>
    </row>
    <row r="120" customFormat="false" ht="15.75" hidden="false" customHeight="true" outlineLevel="0" collapsed="false">
      <c r="N120" s="175"/>
      <c r="O120" s="173" t="str">
        <f aca="false">IF($D120="","",IF(OR($D120="Todo",$D120="To Do",$D120="In Progress",$D120="In Review"),"Open",IF($D120="Cancel","Cancel",IF($D120="Pending","Pending",IF($D120="Done","Done",$D120)))))</f>
        <v/>
      </c>
      <c r="R120" s="175"/>
      <c r="S120" s="175"/>
    </row>
    <row r="121" customFormat="false" ht="15.75" hidden="false" customHeight="true" outlineLevel="0" collapsed="false">
      <c r="N121" s="175"/>
      <c r="O121" s="173" t="str">
        <f aca="false">IF($D121="","",IF(OR($D121="Todo",$D121="To Do",$D121="In Progress",$D121="In Review"),"Open",IF($D121="Cancel","Cancel",IF($D121="Pending","Pending",IF($D121="Done","Done",$D121)))))</f>
        <v/>
      </c>
      <c r="R121" s="175"/>
      <c r="S121" s="175"/>
    </row>
    <row r="122" customFormat="false" ht="15.75" hidden="false" customHeight="true" outlineLevel="0" collapsed="false">
      <c r="N122" s="175"/>
      <c r="O122" s="173" t="str">
        <f aca="false">IF($D122="","",IF(OR($D122="Todo",$D122="To Do",$D122="In Progress",$D122="In Review"),"Open",IF($D122="Cancel","Cancel",IF($D122="Pending","Pending",IF($D122="Done","Done",$D122)))))</f>
        <v/>
      </c>
      <c r="R122" s="175"/>
      <c r="S122" s="175"/>
    </row>
    <row r="123" customFormat="false" ht="15.75" hidden="false" customHeight="true" outlineLevel="0" collapsed="false">
      <c r="N123" s="175"/>
      <c r="O123" s="173" t="str">
        <f aca="false">IF($D123="","",IF(OR($D123="Todo",$D123="To Do",$D123="In Progress",$D123="In Review"),"Open",IF($D123="Cancel","Cancel",IF($D123="Pending","Pending",IF($D123="Done","Done",$D123)))))</f>
        <v/>
      </c>
      <c r="R123" s="175"/>
      <c r="S123" s="175"/>
    </row>
    <row r="124" customFormat="false" ht="15.75" hidden="false" customHeight="true" outlineLevel="0" collapsed="false">
      <c r="N124" s="175"/>
      <c r="O124" s="173" t="str">
        <f aca="false">IF($D124="","",IF(OR($D124="Todo",$D124="To Do",$D124="In Progress",$D124="In Review"),"Open",IF($D124="Cancel","Cancel",IF($D124="Pending","Pending",IF($D124="Done","Done",$D124)))))</f>
        <v/>
      </c>
      <c r="R124" s="175"/>
      <c r="S124" s="175"/>
    </row>
    <row r="125" customFormat="false" ht="15.75" hidden="false" customHeight="true" outlineLevel="0" collapsed="false">
      <c r="N125" s="175"/>
      <c r="O125" s="173" t="str">
        <f aca="false">IF($D125="","",IF(OR($D125="Todo",$D125="To Do",$D125="In Progress",$D125="In Review"),"Open",IF($D125="Cancel","Cancel",IF($D125="Pending","Pending",IF($D125="Done","Done",$D125)))))</f>
        <v/>
      </c>
      <c r="R125" s="175"/>
      <c r="S125" s="175"/>
    </row>
    <row r="126" customFormat="false" ht="15.75" hidden="false" customHeight="true" outlineLevel="0" collapsed="false">
      <c r="N126" s="175"/>
      <c r="O126" s="173" t="str">
        <f aca="false">IF($D126="","",IF(OR($D126="Todo",$D126="To Do",$D126="In Progress",$D126="In Review"),"Open",IF($D126="Cancel","Cancel",IF($D126="Pending","Pending",IF($D126="Done","Done",$D126)))))</f>
        <v/>
      </c>
      <c r="R126" s="175"/>
      <c r="S126" s="175"/>
    </row>
    <row r="127" customFormat="false" ht="15.75" hidden="false" customHeight="true" outlineLevel="0" collapsed="false">
      <c r="N127" s="175"/>
      <c r="O127" s="173" t="str">
        <f aca="false">IF($D127="","",IF(OR($D127="Todo",$D127="To Do",$D127="In Progress",$D127="In Review"),"Open",IF($D127="Cancel","Cancel",IF($D127="Pending","Pending",IF($D127="Done","Done",$D127)))))</f>
        <v/>
      </c>
      <c r="R127" s="175"/>
      <c r="S127" s="175"/>
    </row>
    <row r="128" customFormat="false" ht="15.75" hidden="false" customHeight="true" outlineLevel="0" collapsed="false">
      <c r="N128" s="175"/>
      <c r="O128" s="173" t="str">
        <f aca="false">IF($D128="","",IF(OR($D128="Todo",$D128="To Do",$D128="In Progress",$D128="In Review"),"Open",IF($D128="Cancel","Cancel",IF($D128="Pending","Pending",IF($D128="Done","Done",$D128)))))</f>
        <v/>
      </c>
      <c r="R128" s="175"/>
      <c r="S128" s="175"/>
    </row>
    <row r="129" customFormat="false" ht="15.75" hidden="false" customHeight="true" outlineLevel="0" collapsed="false">
      <c r="N129" s="175"/>
      <c r="O129" s="173" t="str">
        <f aca="false">IF($D129="","",IF(OR($D129="Todo",$D129="To Do",$D129="In Progress",$D129="In Review"),"Open",IF($D129="Cancel","Cancel",IF($D129="Pending","Pending",IF($D129="Done","Done",$D129)))))</f>
        <v/>
      </c>
      <c r="R129" s="175"/>
      <c r="S129" s="175"/>
    </row>
    <row r="130" customFormat="false" ht="15.75" hidden="false" customHeight="true" outlineLevel="0" collapsed="false">
      <c r="N130" s="175"/>
      <c r="O130" s="173" t="str">
        <f aca="false">IF($D130="","",IF(OR($D130="Todo",$D130="To Do",$D130="In Progress",$D130="In Review"),"Open",IF($D130="Cancel","Cancel",IF($D130="Pending","Pending",IF($D130="Done","Done",$D130)))))</f>
        <v/>
      </c>
      <c r="R130" s="175"/>
      <c r="S130" s="175"/>
    </row>
    <row r="131" customFormat="false" ht="15.75" hidden="false" customHeight="true" outlineLevel="0" collapsed="false">
      <c r="N131" s="175"/>
      <c r="O131" s="173" t="str">
        <f aca="false">IF($D131="","",IF(OR($D131="Todo",$D131="To Do",$D131="In Progress",$D131="In Review"),"Open",IF($D131="Cancel","Cancel",IF($D131="Pending","Pending",IF($D131="Done","Done",$D131)))))</f>
        <v/>
      </c>
      <c r="R131" s="175"/>
      <c r="S131" s="175"/>
    </row>
    <row r="132" customFormat="false" ht="15.75" hidden="false" customHeight="true" outlineLevel="0" collapsed="false">
      <c r="N132" s="175"/>
      <c r="O132" s="173" t="str">
        <f aca="false">IF($D132="","",IF(OR($D132="Todo",$D132="To Do",$D132="In Progress",$D132="In Review"),"Open",IF($D132="Cancel","Cancel",IF($D132="Pending","Pending",IF($D132="Done","Done",$D132)))))</f>
        <v/>
      </c>
      <c r="R132" s="175"/>
      <c r="S132" s="175"/>
    </row>
    <row r="133" customFormat="false" ht="15.75" hidden="false" customHeight="true" outlineLevel="0" collapsed="false">
      <c r="N133" s="175"/>
      <c r="O133" s="173" t="str">
        <f aca="false">IF($D133="","",IF(OR($D133="Todo",$D133="To Do",$D133="In Progress",$D133="In Review"),"Open",IF($D133="Cancel","Cancel",IF($D133="Pending","Pending",IF($D133="Done","Done",$D133)))))</f>
        <v/>
      </c>
      <c r="R133" s="175"/>
      <c r="S133" s="175"/>
    </row>
    <row r="134" customFormat="false" ht="15.75" hidden="false" customHeight="true" outlineLevel="0" collapsed="false">
      <c r="N134" s="175"/>
      <c r="O134" s="173" t="str">
        <f aca="false">IF($D134="","",IF(OR($D134="Todo",$D134="To Do",$D134="In Progress",$D134="In Review"),"Open",IF($D134="Cancel","Cancel",IF($D134="Pending","Pending",IF($D134="Done","Done",$D134)))))</f>
        <v/>
      </c>
      <c r="R134" s="175"/>
      <c r="S134" s="175"/>
    </row>
    <row r="135" customFormat="false" ht="15.75" hidden="false" customHeight="true" outlineLevel="0" collapsed="false">
      <c r="N135" s="175"/>
      <c r="O135" s="173" t="str">
        <f aca="false">IF($D135="","",IF(OR($D135="Todo",$D135="To Do",$D135="In Progress",$D135="In Review"),"Open",IF($D135="Cancel","Cancel",IF($D135="Pending","Pending",IF($D135="Done","Done",$D135)))))</f>
        <v/>
      </c>
      <c r="R135" s="175"/>
      <c r="S135" s="175"/>
    </row>
    <row r="136" customFormat="false" ht="15.75" hidden="false" customHeight="true" outlineLevel="0" collapsed="false">
      <c r="N136" s="175"/>
      <c r="O136" s="173" t="str">
        <f aca="false">IF($D136="","",IF(OR($D136="Todo",$D136="To Do",$D136="In Progress",$D136="In Review"),"Open",IF($D136="Cancel","Cancel",IF($D136="Pending","Pending",IF($D136="Done","Done",$D136)))))</f>
        <v/>
      </c>
      <c r="R136" s="175"/>
      <c r="S136" s="175"/>
    </row>
    <row r="137" customFormat="false" ht="15.75" hidden="false" customHeight="true" outlineLevel="0" collapsed="false">
      <c r="N137" s="175"/>
      <c r="O137" s="173" t="str">
        <f aca="false">IF($D137="","",IF(OR($D137="Todo",$D137="To Do",$D137="In Progress",$D137="In Review"),"Open",IF($D137="Cancel","Cancel",IF($D137="Pending","Pending",IF($D137="Done","Done",$D137)))))</f>
        <v/>
      </c>
      <c r="R137" s="175"/>
      <c r="S137" s="175"/>
    </row>
    <row r="138" customFormat="false" ht="15.75" hidden="false" customHeight="true" outlineLevel="0" collapsed="false">
      <c r="N138" s="175"/>
      <c r="O138" s="173" t="str">
        <f aca="false">IF($D138="","",IF(OR($D138="Todo",$D138="To Do",$D138="In Progress",$D138="In Review"),"Open",IF($D138="Cancel","Cancel",IF($D138="Pending","Pending",IF($D138="Done","Done",$D138)))))</f>
        <v/>
      </c>
      <c r="R138" s="175"/>
      <c r="S138" s="175"/>
    </row>
    <row r="139" customFormat="false" ht="15.75" hidden="false" customHeight="true" outlineLevel="0" collapsed="false">
      <c r="N139" s="175"/>
      <c r="O139" s="173" t="str">
        <f aca="false">IF($D139="","",IF(OR($D139="Todo",$D139="To Do",$D139="In Progress",$D139="In Review"),"Open",IF($D139="Cancel","Cancel",IF($D139="Pending","Pending",IF($D139="Done","Done",$D139)))))</f>
        <v/>
      </c>
      <c r="R139" s="175"/>
      <c r="S139" s="175"/>
    </row>
    <row r="140" customFormat="false" ht="15.75" hidden="false" customHeight="true" outlineLevel="0" collapsed="false">
      <c r="N140" s="175"/>
      <c r="O140" s="173" t="str">
        <f aca="false">IF($D140="","",IF(OR($D140="Todo",$D140="To Do",$D140="In Progress",$D140="In Review"),"Open",IF($D140="Cancel","Cancel",IF($D140="Pending","Pending",IF($D140="Done","Done",$D140)))))</f>
        <v/>
      </c>
      <c r="R140" s="175"/>
      <c r="S140" s="175"/>
    </row>
    <row r="141" customFormat="false" ht="15.75" hidden="false" customHeight="true" outlineLevel="0" collapsed="false">
      <c r="N141" s="175"/>
      <c r="O141" s="173" t="str">
        <f aca="false">IF($D141="","",IF(OR($D141="Todo",$D141="To Do",$D141="In Progress",$D141="In Review"),"Open",IF($D141="Cancel","Cancel",IF($D141="Pending","Pending",IF($D141="Done","Done",$D141)))))</f>
        <v/>
      </c>
      <c r="R141" s="175"/>
      <c r="S141" s="175"/>
    </row>
    <row r="142" customFormat="false" ht="15.75" hidden="false" customHeight="true" outlineLevel="0" collapsed="false">
      <c r="N142" s="175"/>
      <c r="O142" s="173" t="str">
        <f aca="false">IF($D142="","",IF(OR($D142="Todo",$D142="To Do",$D142="In Progress",$D142="In Review"),"Open",IF($D142="Cancel","Cancel",IF($D142="Pending","Pending",IF($D142="Done","Done",$D142)))))</f>
        <v/>
      </c>
      <c r="R142" s="175"/>
      <c r="S142" s="175"/>
    </row>
    <row r="143" customFormat="false" ht="15.75" hidden="false" customHeight="true" outlineLevel="0" collapsed="false">
      <c r="N143" s="175"/>
      <c r="O143" s="173" t="str">
        <f aca="false">IF($D143="","",IF(OR($D143="Todo",$D143="To Do",$D143="In Progress",$D143="In Review"),"Open",IF($D143="Cancel","Cancel",IF($D143="Pending","Pending",IF($D143="Done","Done",$D143)))))</f>
        <v/>
      </c>
      <c r="R143" s="175"/>
      <c r="S143" s="175"/>
    </row>
    <row r="144" customFormat="false" ht="15.75" hidden="false" customHeight="true" outlineLevel="0" collapsed="false">
      <c r="N144" s="175"/>
      <c r="O144" s="173" t="str">
        <f aca="false">IF($D144="","",IF(OR($D144="Todo",$D144="To Do",$D144="In Progress",$D144="In Review"),"Open",IF($D144="Cancel","Cancel",IF($D144="Pending","Pending",IF($D144="Done","Done",$D144)))))</f>
        <v/>
      </c>
      <c r="R144" s="175"/>
      <c r="S144" s="175"/>
    </row>
    <row r="145" customFormat="false" ht="15.75" hidden="false" customHeight="true" outlineLevel="0" collapsed="false">
      <c r="N145" s="175"/>
      <c r="O145" s="173" t="str">
        <f aca="false">IF($D145="","",IF(OR($D145="Todo",$D145="To Do",$D145="In Progress",$D145="In Review"),"Open",IF($D145="Cancel","Cancel",IF($D145="Pending","Pending",IF($D145="Done","Done",$D145)))))</f>
        <v/>
      </c>
      <c r="R145" s="175"/>
      <c r="S145" s="175"/>
    </row>
    <row r="146" customFormat="false" ht="15.75" hidden="false" customHeight="true" outlineLevel="0" collapsed="false">
      <c r="N146" s="175"/>
      <c r="O146" s="173" t="str">
        <f aca="false">IF($D146="","",IF(OR($D146="Todo",$D146="To Do",$D146="In Progress",$D146="In Review"),"Open",IF($D146="Cancel","Cancel",IF($D146="Pending","Pending",IF($D146="Done","Done",$D146)))))</f>
        <v/>
      </c>
      <c r="R146" s="175"/>
      <c r="S146" s="175"/>
    </row>
    <row r="147" customFormat="false" ht="15.75" hidden="false" customHeight="true" outlineLevel="0" collapsed="false">
      <c r="N147" s="175"/>
      <c r="O147" s="173" t="str">
        <f aca="false">IF($D147="","",IF(OR($D147="Todo",$D147="To Do",$D147="In Progress",$D147="In Review"),"Open",IF($D147="Cancel","Cancel",IF($D147="Pending","Pending",IF($D147="Done","Done",$D147)))))</f>
        <v/>
      </c>
      <c r="R147" s="175"/>
      <c r="S147" s="175"/>
    </row>
    <row r="148" customFormat="false" ht="15.75" hidden="false" customHeight="true" outlineLevel="0" collapsed="false">
      <c r="N148" s="175"/>
      <c r="O148" s="173" t="str">
        <f aca="false">IF($D148="","",IF(OR($D148="Todo",$D148="To Do",$D148="In Progress",$D148="In Review"),"Open",IF($D148="Cancel","Cancel",IF($D148="Pending","Pending",IF($D148="Done","Done",$D148)))))</f>
        <v/>
      </c>
      <c r="R148" s="175"/>
      <c r="S148" s="175"/>
    </row>
    <row r="149" customFormat="false" ht="15.75" hidden="false" customHeight="true" outlineLevel="0" collapsed="false">
      <c r="N149" s="175"/>
      <c r="O149" s="173" t="str">
        <f aca="false">IF($D149="","",IF(OR($D149="Todo",$D149="To Do",$D149="In Progress",$D149="In Review"),"Open",IF($D149="Cancel","Cancel",IF($D149="Pending","Pending",IF($D149="Done","Done",$D149)))))</f>
        <v/>
      </c>
      <c r="R149" s="175"/>
      <c r="S149" s="175"/>
    </row>
    <row r="150" customFormat="false" ht="15.75" hidden="false" customHeight="true" outlineLevel="0" collapsed="false">
      <c r="N150" s="175"/>
      <c r="O150" s="173" t="str">
        <f aca="false">IF($D150="","",IF(OR($D150="Todo",$D150="To Do",$D150="In Progress",$D150="In Review"),"Open",IF($D150="Cancel","Cancel",IF($D150="Pending","Pending",IF($D150="Done","Done",$D150)))))</f>
        <v/>
      </c>
      <c r="R150" s="175"/>
      <c r="S150" s="175"/>
    </row>
    <row r="151" customFormat="false" ht="15.75" hidden="false" customHeight="true" outlineLevel="0" collapsed="false">
      <c r="N151" s="175"/>
      <c r="O151" s="173" t="str">
        <f aca="false">IF($D151="","",IF(OR($D151="Todo",$D151="To Do",$D151="In Progress",$D151="In Review"),"Open",IF($D151="Cancel","Cancel",IF($D151="Pending","Pending",IF($D151="Done","Done",$D151)))))</f>
        <v/>
      </c>
      <c r="R151" s="175"/>
      <c r="S151" s="175"/>
    </row>
    <row r="152" customFormat="false" ht="15.75" hidden="false" customHeight="true" outlineLevel="0" collapsed="false">
      <c r="N152" s="175"/>
      <c r="O152" s="173" t="str">
        <f aca="false">IF($D152="","",IF(OR($D152="Todo",$D152="To Do",$D152="In Progress",$D152="In Review"),"Open",IF($D152="Cancel","Cancel",IF($D152="Pending","Pending",IF($D152="Done","Done",$D152)))))</f>
        <v/>
      </c>
      <c r="R152" s="175"/>
      <c r="S152" s="175"/>
    </row>
    <row r="153" customFormat="false" ht="15.75" hidden="false" customHeight="true" outlineLevel="0" collapsed="false">
      <c r="N153" s="175"/>
      <c r="O153" s="173" t="str">
        <f aca="false">IF($D153="","",IF(OR($D153="Todo",$D153="To Do",$D153="In Progress",$D153="In Review"),"Open",IF($D153="Cancel","Cancel",IF($D153="Pending","Pending",IF($D153="Done","Done",$D153)))))</f>
        <v/>
      </c>
      <c r="R153" s="175"/>
      <c r="S153" s="175"/>
    </row>
    <row r="154" customFormat="false" ht="15.75" hidden="false" customHeight="true" outlineLevel="0" collapsed="false">
      <c r="N154" s="175"/>
      <c r="O154" s="173" t="str">
        <f aca="false">IF($D154="","",IF(OR($D154="Todo",$D154="To Do",$D154="In Progress",$D154="In Review"),"Open",IF($D154="Cancel","Cancel",IF($D154="Pending","Pending",IF($D154="Done","Done",$D154)))))</f>
        <v/>
      </c>
      <c r="R154" s="175"/>
      <c r="S154" s="175"/>
    </row>
    <row r="155" customFormat="false" ht="15.75" hidden="false" customHeight="true" outlineLevel="0" collapsed="false">
      <c r="N155" s="175"/>
      <c r="O155" s="173" t="str">
        <f aca="false">IF($D155="","",IF(OR($D155="Todo",$D155="To Do",$D155="In Progress",$D155="In Review"),"Open",IF($D155="Cancel","Cancel",IF($D155="Pending","Pending",IF($D155="Done","Done",$D155)))))</f>
        <v/>
      </c>
      <c r="R155" s="175"/>
      <c r="S155" s="175"/>
    </row>
    <row r="156" customFormat="false" ht="15.75" hidden="false" customHeight="true" outlineLevel="0" collapsed="false">
      <c r="N156" s="175"/>
      <c r="O156" s="173" t="str">
        <f aca="false">IF($D156="","",IF(OR($D156="Todo",$D156="To Do",$D156="In Progress",$D156="In Review"),"Open",IF($D156="Cancel","Cancel",IF($D156="Pending","Pending",IF($D156="Done","Done",$D156)))))</f>
        <v/>
      </c>
      <c r="R156" s="175"/>
      <c r="S156" s="175"/>
    </row>
    <row r="157" customFormat="false" ht="15.75" hidden="false" customHeight="true" outlineLevel="0" collapsed="false">
      <c r="N157" s="175"/>
      <c r="O157" s="173" t="str">
        <f aca="false">IF($D157="","",IF(OR($D157="Todo",$D157="To Do",$D157="In Progress",$D157="In Review"),"Open",IF($D157="Cancel","Cancel",IF($D157="Pending","Pending",IF($D157="Done","Done",$D157)))))</f>
        <v/>
      </c>
      <c r="R157" s="175"/>
      <c r="S157" s="175"/>
    </row>
    <row r="158" customFormat="false" ht="15.75" hidden="false" customHeight="true" outlineLevel="0" collapsed="false">
      <c r="N158" s="175"/>
      <c r="O158" s="173" t="str">
        <f aca="false">IF($D158="","",IF(OR($D158="Todo",$D158="To Do",$D158="In Progress",$D158="In Review"),"Open",IF($D158="Cancel","Cancel",IF($D158="Pending","Pending",IF($D158="Done","Done",$D158)))))</f>
        <v/>
      </c>
      <c r="R158" s="175"/>
      <c r="S158" s="175"/>
    </row>
    <row r="159" customFormat="false" ht="15.75" hidden="false" customHeight="true" outlineLevel="0" collapsed="false">
      <c r="N159" s="175"/>
      <c r="O159" s="173" t="str">
        <f aca="false">IF($D159="","",IF(OR($D159="Todo",$D159="To Do",$D159="In Progress",$D159="In Review"),"Open",IF($D159="Cancel","Cancel",IF($D159="Pending","Pending",IF($D159="Done","Done",$D159)))))</f>
        <v/>
      </c>
      <c r="R159" s="175"/>
      <c r="S159" s="175"/>
    </row>
    <row r="160" customFormat="false" ht="15.75" hidden="false" customHeight="true" outlineLevel="0" collapsed="false">
      <c r="N160" s="175"/>
      <c r="O160" s="173" t="str">
        <f aca="false">IF($D160="","",IF(OR($D160="Todo",$D160="To Do",$D160="In Progress",$D160="In Review"),"Open",IF($D160="Cancel","Cancel",IF($D160="Pending","Pending",IF($D160="Done","Done",$D160)))))</f>
        <v/>
      </c>
      <c r="R160" s="175"/>
      <c r="S160" s="175"/>
    </row>
    <row r="161" customFormat="false" ht="15.75" hidden="false" customHeight="true" outlineLevel="0" collapsed="false">
      <c r="N161" s="175"/>
      <c r="O161" s="173" t="str">
        <f aca="false">IF($D161="","",IF(OR($D161="Todo",$D161="To Do",$D161="In Progress",$D161="In Review"),"Open",IF($D161="Cancel","Cancel",IF($D161="Pending","Pending",IF($D161="Done","Done",$D161)))))</f>
        <v/>
      </c>
      <c r="R161" s="175"/>
      <c r="S161" s="175"/>
    </row>
    <row r="162" customFormat="false" ht="15.75" hidden="false" customHeight="true" outlineLevel="0" collapsed="false">
      <c r="N162" s="175"/>
      <c r="O162" s="173" t="str">
        <f aca="false">IF($D162="","",IF(OR($D162="Todo",$D162="To Do",$D162="In Progress",$D162="In Review"),"Open",IF($D162="Cancel","Cancel",IF($D162="Pending","Pending",IF($D162="Done","Done",$D162)))))</f>
        <v/>
      </c>
      <c r="R162" s="175"/>
      <c r="S162" s="175"/>
    </row>
    <row r="163" customFormat="false" ht="15.75" hidden="false" customHeight="true" outlineLevel="0" collapsed="false">
      <c r="N163" s="175"/>
      <c r="O163" s="173" t="str">
        <f aca="false">IF($D163="","",IF(OR($D163="Todo",$D163="To Do",$D163="In Progress",$D163="In Review"),"Open",IF($D163="Cancel","Cancel",IF($D163="Pending","Pending",IF($D163="Done","Done",$D163)))))</f>
        <v/>
      </c>
      <c r="R163" s="175"/>
      <c r="S163" s="175"/>
    </row>
    <row r="164" customFormat="false" ht="15.75" hidden="false" customHeight="true" outlineLevel="0" collapsed="false">
      <c r="N164" s="175"/>
      <c r="O164" s="173" t="str">
        <f aca="false">IF($D164="","",IF(OR($D164="Todo",$D164="To Do",$D164="In Progress",$D164="In Review"),"Open",IF($D164="Cancel","Cancel",IF($D164="Pending","Pending",IF($D164="Done","Done",$D164)))))</f>
        <v/>
      </c>
      <c r="R164" s="175"/>
      <c r="S164" s="175"/>
    </row>
    <row r="165" customFormat="false" ht="15.75" hidden="false" customHeight="true" outlineLevel="0" collapsed="false">
      <c r="N165" s="175"/>
      <c r="O165" s="173" t="str">
        <f aca="false">IF($D165="","",IF(OR($D165="Todo",$D165="To Do",$D165="In Progress",$D165="In Review"),"Open",IF($D165="Cancel","Cancel",IF($D165="Pending","Pending",IF($D165="Done","Done",$D165)))))</f>
        <v/>
      </c>
      <c r="R165" s="175"/>
      <c r="S165" s="175"/>
    </row>
    <row r="166" customFormat="false" ht="15.75" hidden="false" customHeight="true" outlineLevel="0" collapsed="false">
      <c r="N166" s="175"/>
      <c r="O166" s="173" t="str">
        <f aca="false">IF($D166="","",IF(OR($D166="Todo",$D166="To Do",$D166="In Progress",$D166="In Review"),"Open",IF($D166="Cancel","Cancel",IF($D166="Pending","Pending",IF($D166="Done","Done",$D166)))))</f>
        <v/>
      </c>
      <c r="R166" s="175"/>
      <c r="S166" s="175"/>
    </row>
    <row r="167" customFormat="false" ht="15.75" hidden="false" customHeight="true" outlineLevel="0" collapsed="false">
      <c r="N167" s="175"/>
      <c r="O167" s="173" t="str">
        <f aca="false">IF($D167="","",IF(OR($D167="Todo",$D167="To Do",$D167="In Progress",$D167="In Review"),"Open",IF($D167="Cancel","Cancel",IF($D167="Pending","Pending",IF($D167="Done","Done",$D167)))))</f>
        <v/>
      </c>
      <c r="R167" s="175"/>
      <c r="S167" s="175"/>
    </row>
    <row r="168" customFormat="false" ht="15.75" hidden="false" customHeight="true" outlineLevel="0" collapsed="false">
      <c r="N168" s="175"/>
      <c r="O168" s="173" t="str">
        <f aca="false">IF($D168="","",IF(OR($D168="Todo",$D168="To Do",$D168="In Progress",$D168="In Review"),"Open",IF($D168="Cancel","Cancel",IF($D168="Pending","Pending",IF($D168="Done","Done",$D168)))))</f>
        <v/>
      </c>
      <c r="R168" s="175"/>
      <c r="S168" s="175"/>
    </row>
    <row r="169" customFormat="false" ht="15.75" hidden="false" customHeight="true" outlineLevel="0" collapsed="false">
      <c r="N169" s="175"/>
      <c r="O169" s="173" t="str">
        <f aca="false">IF($D169="","",IF(OR($D169="Todo",$D169="To Do",$D169="In Progress",$D169="In Review"),"Open",IF($D169="Cancel","Cancel",IF($D169="Pending","Pending",IF($D169="Done","Done",$D169)))))</f>
        <v/>
      </c>
      <c r="R169" s="175"/>
      <c r="S169" s="175"/>
    </row>
    <row r="170" customFormat="false" ht="15.75" hidden="false" customHeight="true" outlineLevel="0" collapsed="false">
      <c r="N170" s="175"/>
      <c r="O170" s="173" t="str">
        <f aca="false">IF($D170="","",IF(OR($D170="Todo",$D170="To Do",$D170="In Progress",$D170="In Review"),"Open",IF($D170="Cancel","Cancel",IF($D170="Pending","Pending",IF($D170="Done","Done",$D170)))))</f>
        <v/>
      </c>
      <c r="R170" s="175"/>
      <c r="S170" s="175"/>
    </row>
    <row r="171" customFormat="false" ht="15.75" hidden="false" customHeight="true" outlineLevel="0" collapsed="false">
      <c r="N171" s="175"/>
      <c r="O171" s="173" t="str">
        <f aca="false">IF($D171="","",IF(OR($D171="Todo",$D171="To Do",$D171="In Progress",$D171="In Review"),"Open",IF($D171="Cancel","Cancel",IF($D171="Pending","Pending",IF($D171="Done","Done",$D171)))))</f>
        <v/>
      </c>
      <c r="R171" s="175"/>
      <c r="S171" s="175"/>
    </row>
    <row r="172" customFormat="false" ht="15.75" hidden="false" customHeight="true" outlineLevel="0" collapsed="false">
      <c r="N172" s="175"/>
      <c r="O172" s="173" t="str">
        <f aca="false">IF($D172="","",IF(OR($D172="Todo",$D172="To Do",$D172="In Progress",$D172="In Review"),"Open",IF($D172="Cancel","Cancel",IF($D172="Pending","Pending",IF($D172="Done","Done",$D172)))))</f>
        <v/>
      </c>
      <c r="R172" s="175"/>
      <c r="S172" s="175"/>
    </row>
    <row r="173" customFormat="false" ht="15.75" hidden="false" customHeight="true" outlineLevel="0" collapsed="false">
      <c r="N173" s="175"/>
      <c r="O173" s="173" t="str">
        <f aca="false">IF($D173="","",IF(OR($D173="Todo",$D173="To Do",$D173="In Progress",$D173="In Review"),"Open",IF($D173="Cancel","Cancel",IF($D173="Pending","Pending",IF($D173="Done","Done",$D173)))))</f>
        <v/>
      </c>
      <c r="R173" s="175"/>
      <c r="S173" s="175"/>
    </row>
    <row r="174" customFormat="false" ht="15.75" hidden="false" customHeight="true" outlineLevel="0" collapsed="false">
      <c r="N174" s="175"/>
      <c r="O174" s="173" t="str">
        <f aca="false">IF($D174="","",IF(OR($D174="Todo",$D174="To Do",$D174="In Progress",$D174="In Review"),"Open",IF($D174="Cancel","Cancel",IF($D174="Pending","Pending",IF($D174="Done","Done",$D174)))))</f>
        <v/>
      </c>
      <c r="R174" s="175"/>
      <c r="S174" s="175"/>
    </row>
    <row r="175" customFormat="false" ht="15.75" hidden="false" customHeight="true" outlineLevel="0" collapsed="false">
      <c r="N175" s="175"/>
      <c r="O175" s="173" t="str">
        <f aca="false">IF($D175="","",IF(OR($D175="Todo",$D175="To Do",$D175="In Progress",$D175="In Review"),"Open",IF($D175="Cancel","Cancel",IF($D175="Pending","Pending",IF($D175="Done","Done",$D175)))))</f>
        <v/>
      </c>
      <c r="R175" s="175"/>
      <c r="S175" s="175"/>
    </row>
    <row r="176" customFormat="false" ht="15.75" hidden="false" customHeight="true" outlineLevel="0" collapsed="false">
      <c r="N176" s="175"/>
      <c r="O176" s="173" t="str">
        <f aca="false">IF($D176="","",IF(OR($D176="Todo",$D176="To Do",$D176="In Progress",$D176="In Review"),"Open",IF($D176="Cancel","Cancel",IF($D176="Pending","Pending",IF($D176="Done","Done",$D176)))))</f>
        <v/>
      </c>
      <c r="R176" s="175"/>
      <c r="S176" s="175"/>
    </row>
    <row r="177" customFormat="false" ht="15.75" hidden="false" customHeight="true" outlineLevel="0" collapsed="false">
      <c r="N177" s="175"/>
      <c r="O177" s="173" t="str">
        <f aca="false">IF($D177="","",IF(OR($D177="Todo",$D177="To Do",$D177="In Progress",$D177="In Review"),"Open",IF($D177="Cancel","Cancel",IF($D177="Pending","Pending",IF($D177="Done","Done",$D177)))))</f>
        <v/>
      </c>
      <c r="R177" s="175"/>
      <c r="S177" s="175"/>
    </row>
    <row r="178" customFormat="false" ht="15.75" hidden="false" customHeight="true" outlineLevel="0" collapsed="false">
      <c r="N178" s="175"/>
      <c r="O178" s="173" t="str">
        <f aca="false">IF($D178="","",IF(OR($D178="Todo",$D178="To Do",$D178="In Progress",$D178="In Review"),"Open",IF($D178="Cancel","Cancel",IF($D178="Pending","Pending",IF($D178="Done","Done",$D178)))))</f>
        <v/>
      </c>
      <c r="R178" s="175"/>
      <c r="S178" s="175"/>
    </row>
    <row r="179" customFormat="false" ht="15.75" hidden="false" customHeight="true" outlineLevel="0" collapsed="false">
      <c r="N179" s="175"/>
      <c r="O179" s="173" t="str">
        <f aca="false">IF($D179="","",IF(OR($D179="Todo",$D179="To Do",$D179="In Progress",$D179="In Review"),"Open",IF($D179="Cancel","Cancel",IF($D179="Pending","Pending",IF($D179="Done","Done",$D179)))))</f>
        <v/>
      </c>
      <c r="R179" s="175"/>
      <c r="S179" s="175"/>
    </row>
    <row r="180" customFormat="false" ht="15.75" hidden="false" customHeight="true" outlineLevel="0" collapsed="false">
      <c r="N180" s="175"/>
      <c r="O180" s="173" t="str">
        <f aca="false">IF($D180="","",IF(OR($D180="Todo",$D180="To Do",$D180="In Progress",$D180="In Review"),"Open",IF($D180="Cancel","Cancel",IF($D180="Pending","Pending",IF($D180="Done","Done",$D180)))))</f>
        <v/>
      </c>
      <c r="R180" s="175"/>
      <c r="S180" s="175"/>
    </row>
    <row r="181" customFormat="false" ht="15.75" hidden="false" customHeight="true" outlineLevel="0" collapsed="false">
      <c r="N181" s="175"/>
      <c r="O181" s="173" t="str">
        <f aca="false">IF($D181="","",IF(OR($D181="Todo",$D181="To Do",$D181="In Progress",$D181="In Review"),"Open",IF($D181="Cancel","Cancel",IF($D181="Pending","Pending",IF($D181="Done","Done",$D181)))))</f>
        <v/>
      </c>
      <c r="R181" s="175"/>
      <c r="S181" s="175"/>
    </row>
    <row r="182" customFormat="false" ht="15.75" hidden="false" customHeight="true" outlineLevel="0" collapsed="false">
      <c r="N182" s="175"/>
      <c r="O182" s="173" t="str">
        <f aca="false">IF($D182="","",IF(OR($D182="Todo",$D182="To Do",$D182="In Progress",$D182="In Review"),"Open",IF($D182="Cancel","Cancel",IF($D182="Pending","Pending",IF($D182="Done","Done",$D182)))))</f>
        <v/>
      </c>
      <c r="R182" s="175"/>
      <c r="S182" s="175"/>
    </row>
    <row r="183" customFormat="false" ht="15.75" hidden="false" customHeight="true" outlineLevel="0" collapsed="false">
      <c r="N183" s="175"/>
      <c r="O183" s="173" t="str">
        <f aca="false">IF($D183="","",IF(OR($D183="Todo",$D183="To Do",$D183="In Progress",$D183="In Review"),"Open",IF($D183="Cancel","Cancel",IF($D183="Pending","Pending",IF($D183="Done","Done",$D183)))))</f>
        <v/>
      </c>
      <c r="R183" s="175"/>
      <c r="S183" s="175"/>
    </row>
    <row r="184" customFormat="false" ht="15.75" hidden="false" customHeight="true" outlineLevel="0" collapsed="false">
      <c r="N184" s="175"/>
      <c r="O184" s="173" t="str">
        <f aca="false">IF($D184="","",IF(OR($D184="Todo",$D184="To Do",$D184="In Progress",$D184="In Review"),"Open",IF($D184="Cancel","Cancel",IF($D184="Pending","Pending",IF($D184="Done","Done",$D184)))))</f>
        <v/>
      </c>
      <c r="R184" s="175"/>
      <c r="S184" s="175"/>
    </row>
    <row r="185" customFormat="false" ht="15.75" hidden="false" customHeight="true" outlineLevel="0" collapsed="false">
      <c r="N185" s="175"/>
      <c r="O185" s="173" t="str">
        <f aca="false">IF($D185="","",IF(OR($D185="Todo",$D185="To Do",$D185="In Progress",$D185="In Review"),"Open",IF($D185="Cancel","Cancel",IF($D185="Pending","Pending",IF($D185="Done","Done",$D185)))))</f>
        <v/>
      </c>
      <c r="R185" s="175"/>
      <c r="S185" s="175"/>
    </row>
    <row r="186" customFormat="false" ht="15.75" hidden="false" customHeight="true" outlineLevel="0" collapsed="false">
      <c r="N186" s="175"/>
      <c r="O186" s="173" t="str">
        <f aca="false">IF($D186="","",IF(OR($D186="Todo",$D186="To Do",$D186="In Progress",$D186="In Review"),"Open",IF($D186="Cancel","Cancel",IF($D186="Pending","Pending",IF($D186="Done","Done",$D186)))))</f>
        <v/>
      </c>
      <c r="R186" s="175"/>
      <c r="S186" s="175"/>
    </row>
    <row r="187" customFormat="false" ht="15.75" hidden="false" customHeight="true" outlineLevel="0" collapsed="false">
      <c r="N187" s="175"/>
      <c r="O187" s="173" t="str">
        <f aca="false">IF($D187="","",IF(OR($D187="Todo",$D187="To Do",$D187="In Progress",$D187="In Review"),"Open",IF($D187="Cancel","Cancel",IF($D187="Pending","Pending",IF($D187="Done","Done",$D187)))))</f>
        <v/>
      </c>
      <c r="R187" s="175"/>
      <c r="S187" s="175"/>
    </row>
    <row r="188" customFormat="false" ht="15.75" hidden="false" customHeight="true" outlineLevel="0" collapsed="false">
      <c r="N188" s="175"/>
      <c r="O188" s="173" t="str">
        <f aca="false">IF($D188="","",IF(OR($D188="Todo",$D188="To Do",$D188="In Progress",$D188="In Review"),"Open",IF($D188="Cancel","Cancel",IF($D188="Pending","Pending",IF($D188="Done","Done",$D188)))))</f>
        <v/>
      </c>
      <c r="R188" s="175"/>
      <c r="S188" s="175"/>
    </row>
    <row r="189" customFormat="false" ht="15.75" hidden="false" customHeight="true" outlineLevel="0" collapsed="false">
      <c r="N189" s="175"/>
      <c r="O189" s="173" t="str">
        <f aca="false">IF($D189="","",IF(OR($D189="Todo",$D189="To Do",$D189="In Progress",$D189="In Review"),"Open",IF($D189="Cancel","Cancel",IF($D189="Pending","Pending",IF($D189="Done","Done",$D189)))))</f>
        <v/>
      </c>
      <c r="R189" s="175"/>
      <c r="S189" s="175"/>
    </row>
    <row r="190" customFormat="false" ht="15.75" hidden="false" customHeight="true" outlineLevel="0" collapsed="false">
      <c r="N190" s="175"/>
      <c r="O190" s="173" t="str">
        <f aca="false">IF($D190="","",IF(OR($D190="Todo",$D190="To Do",$D190="In Progress",$D190="In Review"),"Open",IF($D190="Cancel","Cancel",IF($D190="Pending","Pending",IF($D190="Done","Done",$D190)))))</f>
        <v/>
      </c>
      <c r="R190" s="175"/>
      <c r="S190" s="175"/>
    </row>
    <row r="191" customFormat="false" ht="15.75" hidden="false" customHeight="true" outlineLevel="0" collapsed="false">
      <c r="N191" s="175"/>
      <c r="O191" s="173" t="str">
        <f aca="false">IF($D191="","",IF(OR($D191="Todo",$D191="To Do",$D191="In Progress",$D191="In Review"),"Open",IF($D191="Cancel","Cancel",IF($D191="Pending","Pending",IF($D191="Done","Done",$D191)))))</f>
        <v/>
      </c>
      <c r="R191" s="175"/>
      <c r="S191" s="175"/>
    </row>
    <row r="192" customFormat="false" ht="15.75" hidden="false" customHeight="true" outlineLevel="0" collapsed="false">
      <c r="N192" s="175"/>
      <c r="O192" s="173" t="str">
        <f aca="false">IF($D192="","",IF(OR($D192="Todo",$D192="To Do",$D192="In Progress",$D192="In Review"),"Open",IF($D192="Cancel","Cancel",IF($D192="Pending","Pending",IF($D192="Done","Done",$D192)))))</f>
        <v/>
      </c>
      <c r="R192" s="175"/>
      <c r="S192" s="175"/>
    </row>
    <row r="193" customFormat="false" ht="15.75" hidden="false" customHeight="true" outlineLevel="0" collapsed="false">
      <c r="N193" s="175"/>
      <c r="O193" s="173" t="str">
        <f aca="false">IF($D193="","",IF(OR($D193="Todo",$D193="To Do",$D193="In Progress",$D193="In Review"),"Open",IF($D193="Cancel","Cancel",IF($D193="Pending","Pending",IF($D193="Done","Done",$D193)))))</f>
        <v/>
      </c>
      <c r="R193" s="175"/>
      <c r="S193" s="175"/>
    </row>
    <row r="194" customFormat="false" ht="15.75" hidden="false" customHeight="true" outlineLevel="0" collapsed="false">
      <c r="N194" s="175"/>
      <c r="O194" s="173" t="str">
        <f aca="false">IF($D194="","",IF(OR($D194="Todo",$D194="To Do",$D194="In Progress",$D194="In Review"),"Open",IF($D194="Cancel","Cancel",IF($D194="Pending","Pending",IF($D194="Done","Done",$D194)))))</f>
        <v/>
      </c>
      <c r="R194" s="175"/>
      <c r="S194" s="175"/>
    </row>
    <row r="195" customFormat="false" ht="15.75" hidden="false" customHeight="true" outlineLevel="0" collapsed="false">
      <c r="N195" s="175"/>
      <c r="O195" s="173" t="str">
        <f aca="false">IF($D195="","",IF(OR($D195="Todo",$D195="To Do",$D195="In Progress",$D195="In Review"),"Open",IF($D195="Cancel","Cancel",IF($D195="Pending","Pending",IF($D195="Done","Done",$D195)))))</f>
        <v/>
      </c>
      <c r="R195" s="175"/>
      <c r="S195" s="175"/>
    </row>
    <row r="196" customFormat="false" ht="15.75" hidden="false" customHeight="true" outlineLevel="0" collapsed="false">
      <c r="N196" s="175"/>
      <c r="O196" s="173" t="str">
        <f aca="false">IF($D196="","",IF(OR($D196="Todo",$D196="To Do",$D196="In Progress",$D196="In Review"),"Open",IF($D196="Cancel","Cancel",IF($D196="Pending","Pending",IF($D196="Done","Done",$D196)))))</f>
        <v/>
      </c>
      <c r="R196" s="175"/>
      <c r="S196" s="175"/>
    </row>
    <row r="197" customFormat="false" ht="15.75" hidden="false" customHeight="true" outlineLevel="0" collapsed="false">
      <c r="N197" s="175"/>
      <c r="O197" s="173" t="str">
        <f aca="false">IF($D197="","",IF(OR($D197="Todo",$D197="To Do",$D197="In Progress",$D197="In Review"),"Open",IF($D197="Cancel","Cancel",IF($D197="Pending","Pending",IF($D197="Done","Done",$D197)))))</f>
        <v/>
      </c>
      <c r="R197" s="175"/>
      <c r="S197" s="175"/>
    </row>
    <row r="198" customFormat="false" ht="15.75" hidden="false" customHeight="true" outlineLevel="0" collapsed="false">
      <c r="N198" s="175"/>
      <c r="O198" s="173" t="str">
        <f aca="false">IF($D198="","",IF(OR($D198="Todo",$D198="To Do",$D198="In Progress",$D198="In Review"),"Open",IF($D198="Cancel","Cancel",IF($D198="Pending","Pending",IF($D198="Done","Done",$D198)))))</f>
        <v/>
      </c>
      <c r="R198" s="175"/>
      <c r="S198" s="175"/>
    </row>
    <row r="199" customFormat="false" ht="15.75" hidden="false" customHeight="true" outlineLevel="0" collapsed="false">
      <c r="N199" s="175"/>
      <c r="O199" s="173" t="str">
        <f aca="false">IF($D199="","",IF(OR($D199="Todo",$D199="To Do",$D199="In Progress",$D199="In Review"),"Open",IF($D199="Cancel","Cancel",IF($D199="Pending","Pending",IF($D199="Done","Done",$D199)))))</f>
        <v/>
      </c>
      <c r="R199" s="175"/>
      <c r="S199" s="175"/>
    </row>
    <row r="200" customFormat="false" ht="15.75" hidden="false" customHeight="true" outlineLevel="0" collapsed="false">
      <c r="N200" s="175"/>
      <c r="O200" s="173" t="str">
        <f aca="false">IF($D200="","",IF(OR($D200="Todo",$D200="To Do",$D200="In Progress",$D200="In Review"),"Open",IF($D200="Cancel","Cancel",IF($D200="Pending","Pending",IF($D200="Done","Done",$D200)))))</f>
        <v/>
      </c>
      <c r="R200" s="175"/>
      <c r="S200" s="175"/>
    </row>
    <row r="201" customFormat="false" ht="15.75" hidden="false" customHeight="true" outlineLevel="0" collapsed="false">
      <c r="N201" s="175"/>
      <c r="O201" s="173" t="str">
        <f aca="false">IF($D201="","",IF(OR($D201="Todo",$D201="To Do",$D201="In Progress",$D201="In Review"),"Open",IF($D201="Cancel","Cancel",IF($D201="Pending","Pending",IF($D201="Done","Done",$D201)))))</f>
        <v/>
      </c>
      <c r="R201" s="175"/>
      <c r="S201" s="175"/>
    </row>
    <row r="202" customFormat="false" ht="15.75" hidden="false" customHeight="true" outlineLevel="0" collapsed="false">
      <c r="N202" s="175"/>
      <c r="O202" s="173" t="str">
        <f aca="false">IF($D202="","",IF(OR($D202="Todo",$D202="To Do",$D202="In Progress",$D202="In Review"),"Open",IF($D202="Cancel","Cancel",IF($D202="Pending","Pending",IF($D202="Done","Done",$D202)))))</f>
        <v/>
      </c>
      <c r="R202" s="175"/>
      <c r="S202" s="175"/>
    </row>
    <row r="203" customFormat="false" ht="15.75" hidden="false" customHeight="true" outlineLevel="0" collapsed="false">
      <c r="N203" s="175"/>
      <c r="O203" s="173" t="str">
        <f aca="false">IF($D203="","",IF(OR($D203="Todo",$D203="To Do",$D203="In Progress",$D203="In Review"),"Open",IF($D203="Cancel","Cancel",IF($D203="Pending","Pending",IF($D203="Done","Done",$D203)))))</f>
        <v/>
      </c>
      <c r="R203" s="175"/>
      <c r="S203" s="175"/>
    </row>
    <row r="204" customFormat="false" ht="15.75" hidden="false" customHeight="true" outlineLevel="0" collapsed="false">
      <c r="N204" s="175"/>
      <c r="O204" s="173" t="str">
        <f aca="false">IF($D204="","",IF(OR($D204="Todo",$D204="To Do",$D204="In Progress",$D204="In Review"),"Open",IF($D204="Cancel","Cancel",IF($D204="Pending","Pending",IF($D204="Done","Done",$D204)))))</f>
        <v/>
      </c>
      <c r="R204" s="175"/>
      <c r="S204" s="175"/>
    </row>
    <row r="205" customFormat="false" ht="15.75" hidden="false" customHeight="true" outlineLevel="0" collapsed="false">
      <c r="N205" s="175"/>
      <c r="O205" s="173" t="str">
        <f aca="false">IF($D205="","",IF(OR($D205="Todo",$D205="To Do",$D205="In Progress",$D205="In Review"),"Open",IF($D205="Cancel","Cancel",IF($D205="Pending","Pending",IF($D205="Done","Done",$D205)))))</f>
        <v/>
      </c>
      <c r="R205" s="175"/>
      <c r="S205" s="175"/>
    </row>
    <row r="206" customFormat="false" ht="15.75" hidden="false" customHeight="true" outlineLevel="0" collapsed="false">
      <c r="N206" s="175"/>
      <c r="O206" s="173" t="str">
        <f aca="false">IF($D206="","",IF(OR($D206="Todo",$D206="To Do",$D206="In Progress",$D206="In Review"),"Open",IF($D206="Cancel","Cancel",IF($D206="Pending","Pending",IF($D206="Done","Done",$D206)))))</f>
        <v/>
      </c>
      <c r="R206" s="175"/>
      <c r="S206" s="175"/>
    </row>
    <row r="207" customFormat="false" ht="15.75" hidden="false" customHeight="true" outlineLevel="0" collapsed="false">
      <c r="N207" s="175"/>
      <c r="O207" s="173" t="str">
        <f aca="false">IF($D207="","",IF(OR($D207="Todo",$D207="To Do",$D207="In Progress",$D207="In Review"),"Open",IF($D207="Cancel","Cancel",IF($D207="Pending","Pending",IF($D207="Done","Done",$D207)))))</f>
        <v/>
      </c>
      <c r="R207" s="175"/>
      <c r="S207" s="175"/>
    </row>
    <row r="208" customFormat="false" ht="15.75" hidden="false" customHeight="true" outlineLevel="0" collapsed="false">
      <c r="N208" s="175"/>
      <c r="O208" s="173" t="str">
        <f aca="false">IF($D208="","",IF(OR($D208="Todo",$D208="To Do",$D208="In Progress",$D208="In Review"),"Open",IF($D208="Cancel","Cancel",IF($D208="Pending","Pending",IF($D208="Done","Done",$D208)))))</f>
        <v/>
      </c>
      <c r="R208" s="175"/>
      <c r="S208" s="175"/>
    </row>
    <row r="209" customFormat="false" ht="15.75" hidden="false" customHeight="true" outlineLevel="0" collapsed="false">
      <c r="N209" s="175"/>
      <c r="O209" s="173" t="str">
        <f aca="false">IF($D209="","",IF(OR($D209="Todo",$D209="To Do",$D209="In Progress",$D209="In Review"),"Open",IF($D209="Cancel","Cancel",IF($D209="Pending","Pending",IF($D209="Done","Done",$D209)))))</f>
        <v/>
      </c>
      <c r="R209" s="175"/>
      <c r="S209" s="175"/>
    </row>
    <row r="210" customFormat="false" ht="15.75" hidden="false" customHeight="true" outlineLevel="0" collapsed="false">
      <c r="N210" s="175"/>
      <c r="O210" s="173" t="str">
        <f aca="false">IF($D210="","",IF(OR($D210="Todo",$D210="To Do",$D210="In Progress",$D210="In Review"),"Open",IF($D210="Cancel","Cancel",IF($D210="Pending","Pending",IF($D210="Done","Done",$D210)))))</f>
        <v/>
      </c>
      <c r="R210" s="175"/>
      <c r="S210" s="175"/>
    </row>
    <row r="211" customFormat="false" ht="15.75" hidden="false" customHeight="true" outlineLevel="0" collapsed="false">
      <c r="N211" s="175"/>
      <c r="O211" s="173" t="str">
        <f aca="false">IF($D211="","",IF(OR($D211="Todo",$D211="To Do",$D211="In Progress",$D211="In Review"),"Open",IF($D211="Cancel","Cancel",IF($D211="Pending","Pending",IF($D211="Done","Done",$D211)))))</f>
        <v/>
      </c>
      <c r="R211" s="175"/>
      <c r="S211" s="175"/>
    </row>
    <row r="212" customFormat="false" ht="15.75" hidden="false" customHeight="true" outlineLevel="0" collapsed="false">
      <c r="N212" s="175"/>
      <c r="O212" s="173" t="str">
        <f aca="false">IF($D212="","",IF(OR($D212="Todo",$D212="To Do",$D212="In Progress",$D212="In Review"),"Open",IF($D212="Cancel","Cancel",IF($D212="Pending","Pending",IF($D212="Done","Done",$D212)))))</f>
        <v/>
      </c>
      <c r="R212" s="175"/>
      <c r="S212" s="175"/>
    </row>
    <row r="213" customFormat="false" ht="15.75" hidden="false" customHeight="true" outlineLevel="0" collapsed="false">
      <c r="N213" s="175"/>
      <c r="O213" s="173" t="str">
        <f aca="false">IF($D213="","",IF(OR($D213="Todo",$D213="To Do",$D213="In Progress",$D213="In Review"),"Open",IF($D213="Cancel","Cancel",IF($D213="Pending","Pending",IF($D213="Done","Done",$D213)))))</f>
        <v/>
      </c>
      <c r="R213" s="175"/>
      <c r="S213" s="175"/>
    </row>
    <row r="214" customFormat="false" ht="15.75" hidden="false" customHeight="true" outlineLevel="0" collapsed="false">
      <c r="N214" s="175"/>
      <c r="O214" s="173" t="str">
        <f aca="false">IF($D214="","",IF(OR($D214="Todo",$D214="To Do",$D214="In Progress",$D214="In Review"),"Open",IF($D214="Cancel","Cancel",IF($D214="Pending","Pending",IF($D214="Done","Done",$D214)))))</f>
        <v/>
      </c>
      <c r="R214" s="175"/>
      <c r="S214" s="175"/>
    </row>
    <row r="215" customFormat="false" ht="15.75" hidden="false" customHeight="true" outlineLevel="0" collapsed="false">
      <c r="N215" s="175"/>
      <c r="O215" s="173" t="str">
        <f aca="false">IF($D215="","",IF(OR($D215="Todo",$D215="To Do",$D215="In Progress",$D215="In Review"),"Open",IF($D215="Cancel","Cancel",IF($D215="Pending","Pending",IF($D215="Done","Done",$D215)))))</f>
        <v/>
      </c>
      <c r="R215" s="175"/>
      <c r="S215" s="175"/>
    </row>
    <row r="216" customFormat="false" ht="15.75" hidden="false" customHeight="true" outlineLevel="0" collapsed="false">
      <c r="N216" s="175"/>
      <c r="O216" s="173" t="str">
        <f aca="false">IF($D216="","",IF(OR($D216="Todo",$D216="To Do",$D216="In Progress",$D216="In Review"),"Open",IF($D216="Cancel","Cancel",IF($D216="Pending","Pending",IF($D216="Done","Done",$D216)))))</f>
        <v/>
      </c>
      <c r="R216" s="175"/>
      <c r="S216" s="175"/>
    </row>
    <row r="217" customFormat="false" ht="15.75" hidden="false" customHeight="true" outlineLevel="0" collapsed="false">
      <c r="N217" s="175"/>
      <c r="O217" s="173" t="str">
        <f aca="false">IF($D217="","",IF(OR($D217="Todo",$D217="To Do",$D217="In Progress",$D217="In Review"),"Open",IF($D217="Cancel","Cancel",IF($D217="Pending","Pending",IF($D217="Done","Done",$D217)))))</f>
        <v/>
      </c>
      <c r="R217" s="175"/>
      <c r="S217" s="175"/>
    </row>
    <row r="218" customFormat="false" ht="15.75" hidden="false" customHeight="true" outlineLevel="0" collapsed="false">
      <c r="N218" s="175"/>
      <c r="O218" s="173" t="str">
        <f aca="false">IF($D218="","",IF(OR($D218="Todo",$D218="To Do",$D218="In Progress",$D218="In Review"),"Open",IF($D218="Cancel","Cancel",IF($D218="Pending","Pending",IF($D218="Done","Done",$D218)))))</f>
        <v/>
      </c>
      <c r="R218" s="175"/>
      <c r="S218" s="175"/>
    </row>
    <row r="219" customFormat="false" ht="15.75" hidden="false" customHeight="true" outlineLevel="0" collapsed="false">
      <c r="N219" s="175"/>
      <c r="O219" s="173" t="str">
        <f aca="false">IF($D219="","",IF(OR($D219="Todo",$D219="To Do",$D219="In Progress",$D219="In Review"),"Open",IF($D219="Cancel","Cancel",IF($D219="Pending","Pending",IF($D219="Done","Done",$D219)))))</f>
        <v/>
      </c>
      <c r="R219" s="175"/>
      <c r="S219" s="175"/>
    </row>
    <row r="220" customFormat="false" ht="15.75" hidden="false" customHeight="true" outlineLevel="0" collapsed="false">
      <c r="N220" s="175"/>
      <c r="O220" s="173" t="str">
        <f aca="false">IF($D220="","",IF(OR($D220="Todo",$D220="To Do",$D220="In Progress",$D220="In Review"),"Open",IF($D220="Cancel","Cancel",IF($D220="Pending","Pending",IF($D220="Done","Done",$D220)))))</f>
        <v/>
      </c>
      <c r="R220" s="175"/>
      <c r="S220" s="175"/>
    </row>
    <row r="221" customFormat="false" ht="15.75" hidden="false" customHeight="true" outlineLevel="0" collapsed="false">
      <c r="N221" s="175"/>
      <c r="O221" s="173" t="str">
        <f aca="false">IF($D221="","",IF(OR($D221="Todo",$D221="To Do",$D221="In Progress",$D221="In Review"),"Open",IF($D221="Cancel","Cancel",IF($D221="Pending","Pending",IF($D221="Done","Done",$D221)))))</f>
        <v/>
      </c>
      <c r="R221" s="175"/>
      <c r="S221" s="175"/>
    </row>
    <row r="222" customFormat="false" ht="15.75" hidden="false" customHeight="true" outlineLevel="0" collapsed="false">
      <c r="N222" s="175"/>
      <c r="O222" s="173" t="str">
        <f aca="false">IF($D222="","",IF(OR($D222="Todo",$D222="To Do",$D222="In Progress",$D222="In Review"),"Open",IF($D222="Cancel","Cancel",IF($D222="Pending","Pending",IF($D222="Done","Done",$D222)))))</f>
        <v/>
      </c>
      <c r="R222" s="175"/>
      <c r="S222" s="175"/>
    </row>
    <row r="223" customFormat="false" ht="15.75" hidden="false" customHeight="true" outlineLevel="0" collapsed="false">
      <c r="N223" s="175"/>
      <c r="O223" s="173" t="str">
        <f aca="false">IF($D223="","",IF(OR($D223="Todo",$D223="To Do",$D223="In Progress",$D223="In Review"),"Open",IF($D223="Cancel","Cancel",IF($D223="Pending","Pending",IF($D223="Done","Done",$D223)))))</f>
        <v/>
      </c>
      <c r="R223" s="175"/>
      <c r="S223" s="175"/>
    </row>
    <row r="224" customFormat="false" ht="15.75" hidden="false" customHeight="true" outlineLevel="0" collapsed="false">
      <c r="N224" s="175"/>
      <c r="O224" s="173" t="str">
        <f aca="false">IF($D224="","",IF(OR($D224="Todo",$D224="To Do",$D224="In Progress",$D224="In Review"),"Open",IF($D224="Cancel","Cancel",IF($D224="Pending","Pending",IF($D224="Done","Done",$D224)))))</f>
        <v/>
      </c>
      <c r="R224" s="175"/>
      <c r="S224" s="175"/>
    </row>
    <row r="225" customFormat="false" ht="15.75" hidden="false" customHeight="true" outlineLevel="0" collapsed="false">
      <c r="N225" s="175"/>
      <c r="O225" s="173" t="str">
        <f aca="false">IF($D225="","",IF(OR($D225="Todo",$D225="To Do",$D225="In Progress",$D225="In Review"),"Open",IF($D225="Cancel","Cancel",IF($D225="Pending","Pending",IF($D225="Done","Done",$D225)))))</f>
        <v/>
      </c>
      <c r="R225" s="175"/>
      <c r="S225" s="175"/>
    </row>
    <row r="226" customFormat="false" ht="15.75" hidden="false" customHeight="true" outlineLevel="0" collapsed="false">
      <c r="N226" s="175"/>
      <c r="O226" s="173" t="str">
        <f aca="false">IF($D226="","",IF(OR($D226="Todo",$D226="To Do",$D226="In Progress",$D226="In Review"),"Open",IF($D226="Cancel","Cancel",IF($D226="Pending","Pending",IF($D226="Done","Done",$D226)))))</f>
        <v/>
      </c>
      <c r="R226" s="175"/>
      <c r="S226" s="175"/>
    </row>
    <row r="227" customFormat="false" ht="15.75" hidden="false" customHeight="true" outlineLevel="0" collapsed="false">
      <c r="N227" s="175"/>
      <c r="O227" s="173" t="str">
        <f aca="false">IF($D227="","",IF(OR($D227="Todo",$D227="To Do",$D227="In Progress",$D227="In Review"),"Open",IF($D227="Cancel","Cancel",IF($D227="Pending","Pending",IF($D227="Done","Done",$D227)))))</f>
        <v/>
      </c>
      <c r="R227" s="175"/>
      <c r="S227" s="175"/>
    </row>
    <row r="228" customFormat="false" ht="15.75" hidden="false" customHeight="true" outlineLevel="0" collapsed="false">
      <c r="N228" s="175"/>
      <c r="O228" s="173" t="str">
        <f aca="false">IF($D228="","",IF(OR($D228="Todo",$D228="To Do",$D228="In Progress",$D228="In Review"),"Open",IF($D228="Cancel","Cancel",IF($D228="Pending","Pending",IF($D228="Done","Done",$D228)))))</f>
        <v/>
      </c>
      <c r="R228" s="175"/>
      <c r="S228" s="175"/>
    </row>
    <row r="229" customFormat="false" ht="15.75" hidden="false" customHeight="true" outlineLevel="0" collapsed="false">
      <c r="N229" s="175"/>
      <c r="O229" s="173" t="str">
        <f aca="false">IF($D229="","",IF(OR($D229="Todo",$D229="To Do",$D229="In Progress",$D229="In Review"),"Open",IF($D229="Cancel","Cancel",IF($D229="Pending","Pending",IF($D229="Done","Done",$D229)))))</f>
        <v/>
      </c>
      <c r="R229" s="175"/>
      <c r="S229" s="175"/>
    </row>
    <row r="230" customFormat="false" ht="15.75" hidden="false" customHeight="true" outlineLevel="0" collapsed="false">
      <c r="N230" s="175"/>
      <c r="O230" s="173" t="str">
        <f aca="false">IF($D230="","",IF(OR($D230="Todo",$D230="To Do",$D230="In Progress",$D230="In Review"),"Open",IF($D230="Cancel","Cancel",IF($D230="Pending","Pending",IF($D230="Done","Done",$D230)))))</f>
        <v/>
      </c>
      <c r="R230" s="175"/>
      <c r="S230" s="175"/>
    </row>
    <row r="231" customFormat="false" ht="15.75" hidden="false" customHeight="true" outlineLevel="0" collapsed="false">
      <c r="N231" s="175"/>
      <c r="O231" s="173" t="str">
        <f aca="false">IF($D231="","",IF(OR($D231="Todo",$D231="To Do",$D231="In Progress",$D231="In Review"),"Open",IF($D231="Cancel","Cancel",IF($D231="Pending","Pending",IF($D231="Done","Done",$D231)))))</f>
        <v/>
      </c>
      <c r="R231" s="175"/>
      <c r="S231" s="175"/>
    </row>
    <row r="232" customFormat="false" ht="15.75" hidden="false" customHeight="true" outlineLevel="0" collapsed="false">
      <c r="N232" s="175"/>
      <c r="O232" s="173" t="str">
        <f aca="false">IF($D232="","",IF(OR($D232="Todo",$D232="To Do",$D232="In Progress",$D232="In Review"),"Open",IF($D232="Cancel","Cancel",IF($D232="Pending","Pending",IF($D232="Done","Done",$D232)))))</f>
        <v/>
      </c>
      <c r="R232" s="175"/>
      <c r="S232" s="175"/>
    </row>
    <row r="233" customFormat="false" ht="15.75" hidden="false" customHeight="true" outlineLevel="0" collapsed="false">
      <c r="N233" s="175"/>
      <c r="O233" s="173" t="str">
        <f aca="false">IF($D233="","",IF(OR($D233="Todo",$D233="To Do",$D233="In Progress",$D233="In Review"),"Open",IF($D233="Cancel","Cancel",IF($D233="Pending","Pending",IF($D233="Done","Done",$D233)))))</f>
        <v/>
      </c>
      <c r="R233" s="175"/>
      <c r="S233" s="175"/>
    </row>
    <row r="234" customFormat="false" ht="15.75" hidden="false" customHeight="true" outlineLevel="0" collapsed="false">
      <c r="N234" s="175"/>
      <c r="O234" s="173" t="str">
        <f aca="false">IF($D234="","",IF(OR($D234="Todo",$D234="To Do",$D234="In Progress",$D234="In Review"),"Open",IF($D234="Cancel","Cancel",IF($D234="Pending","Pending",IF($D234="Done","Done",$D234)))))</f>
        <v/>
      </c>
      <c r="R234" s="175"/>
      <c r="S234" s="175"/>
    </row>
    <row r="235" customFormat="false" ht="15.75" hidden="false" customHeight="true" outlineLevel="0" collapsed="false">
      <c r="N235" s="175"/>
      <c r="O235" s="173" t="str">
        <f aca="false">IF($D235="","",IF(OR($D235="Todo",$D235="To Do",$D235="In Progress",$D235="In Review"),"Open",IF($D235="Cancel","Cancel",IF($D235="Pending","Pending",IF($D235="Done","Done",$D235)))))</f>
        <v/>
      </c>
      <c r="R235" s="175"/>
      <c r="S235" s="175"/>
    </row>
    <row r="236" customFormat="false" ht="15.75" hidden="false" customHeight="true" outlineLevel="0" collapsed="false">
      <c r="N236" s="175"/>
      <c r="O236" s="173" t="str">
        <f aca="false">IF($D236="","",IF(OR($D236="Todo",$D236="To Do",$D236="In Progress",$D236="In Review"),"Open",IF($D236="Cancel","Cancel",IF($D236="Pending","Pending",IF($D236="Done","Done",$D236)))))</f>
        <v/>
      </c>
      <c r="R236" s="175"/>
      <c r="S236" s="175"/>
    </row>
    <row r="237" customFormat="false" ht="15.75" hidden="false" customHeight="true" outlineLevel="0" collapsed="false">
      <c r="N237" s="175"/>
      <c r="O237" s="173" t="str">
        <f aca="false">IF($D237="","",IF(OR($D237="Todo",$D237="To Do",$D237="In Progress",$D237="In Review"),"Open",IF($D237="Cancel","Cancel",IF($D237="Pending","Pending",IF($D237="Done","Done",$D237)))))</f>
        <v/>
      </c>
      <c r="R237" s="175"/>
      <c r="S237" s="175"/>
    </row>
    <row r="238" customFormat="false" ht="15.75" hidden="false" customHeight="true" outlineLevel="0" collapsed="false">
      <c r="N238" s="175"/>
      <c r="O238" s="173" t="str">
        <f aca="false">IF($D238="","",IF(OR($D238="Todo",$D238="To Do",$D238="In Progress",$D238="In Review"),"Open",IF($D238="Cancel","Cancel",IF($D238="Pending","Pending",IF($D238="Done","Done",$D238)))))</f>
        <v/>
      </c>
      <c r="R238" s="175"/>
      <c r="S238" s="175"/>
    </row>
    <row r="239" customFormat="false" ht="15.75" hidden="false" customHeight="true" outlineLevel="0" collapsed="false">
      <c r="N239" s="175"/>
      <c r="O239" s="173" t="str">
        <f aca="false">IF($D239="","",IF(OR($D239="Todo",$D239="To Do",$D239="In Progress",$D239="In Review"),"Open",IF($D239="Cancel","Cancel",IF($D239="Pending","Pending",IF($D239="Done","Done",$D239)))))</f>
        <v/>
      </c>
      <c r="R239" s="175"/>
      <c r="S239" s="175"/>
    </row>
    <row r="240" customFormat="false" ht="15.75" hidden="false" customHeight="true" outlineLevel="0" collapsed="false">
      <c r="N240" s="175"/>
      <c r="O240" s="173" t="str">
        <f aca="false">IF($D240="","",IF(OR($D240="Todo",$D240="To Do",$D240="In Progress",$D240="In Review"),"Open",IF($D240="Cancel","Cancel",IF($D240="Pending","Pending",IF($D240="Done","Done",$D240)))))</f>
        <v/>
      </c>
      <c r="R240" s="175"/>
      <c r="S240" s="175"/>
    </row>
    <row r="241" customFormat="false" ht="15.75" hidden="false" customHeight="true" outlineLevel="0" collapsed="false">
      <c r="N241" s="175"/>
      <c r="O241" s="173" t="str">
        <f aca="false">IF($D241="","",IF(OR($D241="Todo",$D241="To Do",$D241="In Progress",$D241="In Review"),"Open",IF($D241="Cancel","Cancel",IF($D241="Pending","Pending",IF($D241="Done","Done",$D241)))))</f>
        <v/>
      </c>
      <c r="R241" s="175"/>
      <c r="S241" s="175"/>
    </row>
    <row r="242" customFormat="false" ht="15.75" hidden="false" customHeight="true" outlineLevel="0" collapsed="false">
      <c r="N242" s="175"/>
      <c r="O242" s="173" t="str">
        <f aca="false">IF($D242="","",IF(OR($D242="Todo",$D242="To Do",$D242="In Progress",$D242="In Review"),"Open",IF($D242="Cancel","Cancel",IF($D242="Pending","Pending",IF($D242="Done","Done",$D242)))))</f>
        <v/>
      </c>
      <c r="R242" s="175"/>
      <c r="S242" s="175"/>
    </row>
    <row r="243" customFormat="false" ht="15.75" hidden="false" customHeight="true" outlineLevel="0" collapsed="false">
      <c r="N243" s="175"/>
      <c r="O243" s="173" t="str">
        <f aca="false">IF($D243="","",IF(OR($D243="Todo",$D243="To Do",$D243="In Progress",$D243="In Review"),"Open",IF($D243="Cancel","Cancel",IF($D243="Pending","Pending",IF($D243="Done","Done",$D243)))))</f>
        <v/>
      </c>
      <c r="R243" s="175"/>
      <c r="S243" s="175"/>
    </row>
    <row r="244" customFormat="false" ht="15.75" hidden="false" customHeight="true" outlineLevel="0" collapsed="false">
      <c r="N244" s="175"/>
      <c r="O244" s="173" t="str">
        <f aca="false">IF($D244="","",IF(OR($D244="Todo",$D244="To Do",$D244="In Progress",$D244="In Review"),"Open",IF($D244="Cancel","Cancel",IF($D244="Pending","Pending",IF($D244="Done","Done",$D244)))))</f>
        <v/>
      </c>
      <c r="R244" s="175"/>
      <c r="S244" s="175"/>
    </row>
    <row r="245" customFormat="false" ht="15.75" hidden="false" customHeight="true" outlineLevel="0" collapsed="false">
      <c r="N245" s="175"/>
      <c r="O245" s="173" t="str">
        <f aca="false">IF($D245="","",IF(OR($D245="Todo",$D245="To Do",$D245="In Progress",$D245="In Review"),"Open",IF($D245="Cancel","Cancel",IF($D245="Pending","Pending",IF($D245="Done","Done",$D245)))))</f>
        <v/>
      </c>
      <c r="R245" s="175"/>
      <c r="S245" s="175"/>
    </row>
    <row r="246" customFormat="false" ht="15.75" hidden="false" customHeight="true" outlineLevel="0" collapsed="false">
      <c r="N246" s="175"/>
      <c r="O246" s="173" t="str">
        <f aca="false">IF($D246="","",IF(OR($D246="Todo",$D246="To Do",$D246="In Progress",$D246="In Review"),"Open",IF($D246="Cancel","Cancel",IF($D246="Pending","Pending",IF($D246="Done","Done",$D246)))))</f>
        <v/>
      </c>
      <c r="R246" s="175"/>
      <c r="S246" s="175"/>
    </row>
    <row r="247" customFormat="false" ht="15.75" hidden="false" customHeight="true" outlineLevel="0" collapsed="false">
      <c r="N247" s="175"/>
      <c r="O247" s="173" t="str">
        <f aca="false">IF($D247="","",IF(OR($D247="Todo",$D247="To Do",$D247="In Progress",$D247="In Review"),"Open",IF($D247="Cancel","Cancel",IF($D247="Pending","Pending",IF($D247="Done","Done",$D247)))))</f>
        <v/>
      </c>
      <c r="R247" s="175"/>
      <c r="S247" s="175"/>
    </row>
    <row r="248" customFormat="false" ht="15.75" hidden="false" customHeight="true" outlineLevel="0" collapsed="false">
      <c r="N248" s="175"/>
      <c r="O248" s="173" t="str">
        <f aca="false">IF($D248="","",IF(OR($D248="Todo",$D248="To Do",$D248="In Progress",$D248="In Review"),"Open",IF($D248="Cancel","Cancel",IF($D248="Pending","Pending",IF($D248="Done","Done",$D248)))))</f>
        <v/>
      </c>
      <c r="R248" s="175"/>
      <c r="S248" s="175"/>
    </row>
    <row r="249" customFormat="false" ht="15.75" hidden="false" customHeight="true" outlineLevel="0" collapsed="false">
      <c r="N249" s="175"/>
      <c r="O249" s="173" t="str">
        <f aca="false">IF($D249="","",IF(OR($D249="Todo",$D249="To Do",$D249="In Progress",$D249="In Review"),"Open",IF($D249="Cancel","Cancel",IF($D249="Pending","Pending",IF($D249="Done","Done",$D249)))))</f>
        <v/>
      </c>
      <c r="R249" s="175"/>
      <c r="S249" s="175"/>
    </row>
    <row r="250" customFormat="false" ht="15.75" hidden="false" customHeight="true" outlineLevel="0" collapsed="false">
      <c r="N250" s="175"/>
      <c r="O250" s="173" t="str">
        <f aca="false">IF($D250="","",IF(OR($D250="Todo",$D250="To Do",$D250="In Progress",$D250="In Review"),"Open",IF($D250="Cancel","Cancel",IF($D250="Pending","Pending",IF($D250="Done","Done",$D250)))))</f>
        <v/>
      </c>
      <c r="R250" s="175"/>
      <c r="S250" s="175"/>
    </row>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0">
    <dataValidation allowBlank="true" errorStyle="stop" operator="between" showDropDown="false" showErrorMessage="false" showInputMessage="false" sqref="U2:V250" type="list">
      <formula1>"1,2,3,4,5"</formula1>
      <formula2>0</formula2>
    </dataValidation>
    <dataValidation allowBlank="true" errorStyle="stop" operator="between" showDropDown="false" showErrorMessage="false" showInputMessage="false" sqref="R2:R250" type="list">
      <formula1>"Data,Interface,Logic,Requirement,Server,Other"</formula1>
      <formula2>0</formula2>
    </dataValidation>
    <dataValidation allowBlank="true" errorStyle="stop" operator="between" showDropDown="false" showErrorMessage="false" showInputMessage="false" sqref="Q2:Q250" type="list">
      <formula1>$Y$2:$Y$11</formula1>
      <formula2>0</formula2>
    </dataValidation>
    <dataValidation allowBlank="true" errorStyle="stop" operator="between" showDropDown="false" showErrorMessage="false" showInputMessage="false" sqref="B2:B250" type="list">
      <formula1>"Bug,Story,Task,Sub-task"</formula1>
      <formula2>0</formula2>
    </dataValidation>
    <dataValidation allowBlank="true" errorStyle="stop" operator="between" showDropDown="false" showErrorMessage="false" showInputMessage="false" sqref="P2:P250" type="list">
      <formula1>"Fixed,Won't fix"</formula1>
      <formula2>0</formula2>
    </dataValidation>
    <dataValidation allowBlank="true" errorStyle="stop" operator="between" showDropDown="false" showErrorMessage="false" showInputMessage="false" sqref="D2:D250" type="list">
      <formula1>"To Do,In Progress,In Review,Pending,Cancel,Done"</formula1>
      <formula2>0</formula2>
    </dataValidation>
    <dataValidation allowBlank="true" errorStyle="stop" operator="between" showDropDown="false" showErrorMessage="false" showInputMessage="false" sqref="S2:S250" type="list">
      <formula1>"Functionality,Performance,Security,Serviceability,Usability"</formula1>
      <formula2>0</formula2>
    </dataValidation>
    <dataValidation allowBlank="true" errorStyle="stop" operator="between" showDropDown="false" showErrorMessage="false" showInputMessage="false" sqref="E2:E250" type="list">
      <formula1>"Highest,High,Medium,Low,Lowest"</formula1>
      <formula2>0</formula2>
    </dataValidation>
    <dataValidation allowBlank="true" errorStyle="stop" operator="between" showDropDown="false" showErrorMessage="false" showInputMessage="false" sqref="N2:N250" type="list">
      <formula1>"Web,Mobile"</formula1>
      <formula2>0</formula2>
    </dataValidation>
    <dataValidation allowBlank="true" errorStyle="stop" operator="between" showDropDown="false" showErrorMessage="false" showInputMessage="false" sqref="L2:L250" type="list">
      <formula1>"20,10,5,2"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1000"/>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42"/>
    <col collapsed="false" customWidth="true" hidden="false" outlineLevel="0" max="4" min="4" style="1" width="15"/>
    <col collapsed="false" customWidth="true" hidden="false" outlineLevel="0" max="5" min="5" style="1" width="8"/>
    <col collapsed="false" customWidth="true" hidden="false" outlineLevel="0" max="6" min="6" style="1" width="9"/>
    <col collapsed="false" customWidth="true" hidden="false" outlineLevel="0" max="8" min="7" style="1" width="7"/>
    <col collapsed="false" customWidth="true" hidden="false" outlineLevel="0" max="9" min="9" style="1" width="9"/>
    <col collapsed="false" customWidth="true" hidden="false" outlineLevel="0" max="10" min="10" style="1" width="20"/>
  </cols>
  <sheetData>
    <row r="2" customFormat="false" ht="18" hidden="false" customHeight="true" outlineLevel="0" collapsed="false">
      <c r="B2" s="176" t="s">
        <v>481</v>
      </c>
    </row>
    <row r="3" customFormat="false" ht="15" hidden="false" customHeight="true" outlineLevel="0" collapsed="false">
      <c r="B3" s="177" t="s">
        <v>482</v>
      </c>
      <c r="C3" s="177"/>
      <c r="D3" s="177"/>
      <c r="E3" s="177"/>
      <c r="F3" s="177"/>
      <c r="G3" s="177"/>
      <c r="H3" s="177"/>
      <c r="I3" s="177"/>
      <c r="J3" s="177"/>
    </row>
    <row r="5" customFormat="false" ht="15" hidden="false" customHeight="true" outlineLevel="0" collapsed="false">
      <c r="B5" s="59" t="s">
        <v>483</v>
      </c>
      <c r="C5" s="59" t="s">
        <v>484</v>
      </c>
      <c r="D5" s="59" t="s">
        <v>485</v>
      </c>
      <c r="E5" s="59" t="s">
        <v>113</v>
      </c>
      <c r="F5" s="59" t="s">
        <v>110</v>
      </c>
      <c r="G5" s="59" t="s">
        <v>22</v>
      </c>
      <c r="H5" s="59" t="s">
        <v>24</v>
      </c>
      <c r="I5" s="59" t="s">
        <v>486</v>
      </c>
      <c r="J5" s="59" t="s">
        <v>20</v>
      </c>
    </row>
    <row r="6" customFormat="false" ht="15" hidden="false" customHeight="true" outlineLevel="0" collapsed="false">
      <c r="B6" s="178" t="s">
        <v>487</v>
      </c>
      <c r="C6" s="54" t="s">
        <v>488</v>
      </c>
      <c r="D6" s="123" t="s">
        <v>489</v>
      </c>
      <c r="E6" s="52" t="n">
        <f aca="false">COUNTIF('Hoạt động'!$B$8:$B$502,"*"&amp;$B6&amp;"*")+COUNTIF('Cá nhân'!$B$8:$B$502,"*"&amp;$B6&amp;"*")+COUNTIF('Thông báo'!$B$8:$B$502,"*"&amp;$B6&amp;"*")+COUNTIF('Đăng tin'!$B$8:$B$502,"*"&amp;$B6&amp;"*")+COUNTIF('Trang chủ'!$B$8:$B$502,"*"&amp;$B6&amp;"*")+COUNTIF('Bảng tin &amp; Chi tiết tin'!$B$8:$B$502,"*"&amp;$B6&amp;"*")+COUNTIF('Theo dõi đơn'!$B$8:$B$502,"*"&amp;$B6&amp;"*")+COUNTIF('Huỷ đơn'!$B$8:$B$502,"*"&amp;$B6&amp;"*")+COUNTIF('Tặng quà'!$B$8:$B$502,"*"&amp;$B6&amp;"*")</f>
        <v>1</v>
      </c>
      <c r="F6" s="52" t="n">
        <f aca="false">SUMPRODUCT(ISNUMBER(SEARCH($B6,'Hoạt động'!$B$8:$B$502))*('Hoạt động'!$AO$8:$AO$502&lt;&gt;""))+SUMPRODUCT(ISNUMBER(SEARCH($B6,'Cá nhân'!$B$8:$B$502))*('Cá nhân'!$AO$8:$AO$502&lt;&gt;""))+SUMPRODUCT(ISNUMBER(SEARCH($B6,'Thông báo'!$B$8:$B$502))*('Thông báo'!$AO$8:$AO$502&lt;&gt;""))+SUMPRODUCT(ISNUMBER(SEARCH($B6,'Đăng tin'!$B$8:$B$502))*('Đăng tin'!$AO$8:$AO$502&lt;&gt;""))+SUMPRODUCT(ISNUMBER(SEARCH($B6,'Trang chủ'!$B$8:$B$502))*('Trang chủ'!$AO$8:$AO$502&lt;&gt;""))+SUMPRODUCT(ISNUMBER(SEARCH($B6,'Bảng tin &amp; Chi tiết tin'!$B$8:$B$502))*('Bảng tin &amp; Chi tiết tin'!$AO$8:$AO$502&lt;&gt;""))+SUMPRODUCT(ISNUMBER(SEARCH($B6,'Theo dõi đơn'!$B$8:$B$502))*('Theo dõi đơn'!$AO$8:$AO$502&lt;&gt;""))+SUMPRODUCT(ISNUMBER(SEARCH($B6,'Huỷ đơn'!$B$8:$B$502))*('Huỷ đơn'!$AO$8:$AO$502&lt;&gt;""))+SUMPRODUCT(ISNUMBER(SEARCH($B6,'Tặng quà'!$B$8:$B$502))*('Tặng quà'!$AO$8:$AO$502&lt;&gt;""))</f>
        <v>1</v>
      </c>
      <c r="G6" s="52" t="n">
        <f aca="false">COUNTIFS('Hoạt động'!$B$8:$B$502,"*"&amp;$B6&amp;"*",'Hoạt động'!$AO$8:$AO$502,"Pass")+COUNTIFS('Cá nhân'!$B$8:$B$502,"*"&amp;$B6&amp;"*",'Cá nhân'!$AO$8:$AO$502,"Pass")+COUNTIFS('Thông báo'!$B$8:$B$502,"*"&amp;$B6&amp;"*",'Thông báo'!$AO$8:$AO$502,"Pass")+COUNTIFS('Đăng tin'!$B$8:$B$502,"*"&amp;$B6&amp;"*",'Đăng tin'!$AO$8:$AO$502,"Pass")+COUNTIFS('Trang chủ'!$B$8:$B$502,"*"&amp;$B6&amp;"*",'Trang chủ'!$AO$8:$AO$502,"Pass")+COUNTIFS('Bảng tin &amp; Chi tiết tin'!$B$8:$B$502,"*"&amp;$B6&amp;"*",'Bảng tin &amp; Chi tiết tin'!$AO$8:$AO$502,"Pass")+COUNTIFS('Theo dõi đơn'!$B$8:$B$502,"*"&amp;$B6&amp;"*",'Theo dõi đơn'!$AO$8:$AO$502,"Pass")+COUNTIFS('Huỷ đơn'!$B$8:$B$502,"*"&amp;$B6&amp;"*",'Huỷ đơn'!$AO$8:$AO$502,"Pass")+COUNTIFS('Tặng quà'!$B$8:$B$502,"*"&amp;$B6&amp;"*",'Tặng quà'!$AO$8:$AO$502,"Pass")</f>
        <v>0</v>
      </c>
      <c r="H6" s="52" t="n">
        <f aca="false">COUNTIFS('Hoạt động'!$B$8:$B$502,"*"&amp;$B6&amp;"*",'Hoạt động'!$AO$8:$AO$502,"Fail")+COUNTIFS('Cá nhân'!$B$8:$B$502,"*"&amp;$B6&amp;"*",'Cá nhân'!$AO$8:$AO$502,"Fail")+COUNTIFS('Thông báo'!$B$8:$B$502,"*"&amp;$B6&amp;"*",'Thông báo'!$AO$8:$AO$502,"Fail")+COUNTIFS('Đăng tin'!$B$8:$B$502,"*"&amp;$B6&amp;"*",'Đăng tin'!$AO$8:$AO$502,"Fail")+COUNTIFS('Trang chủ'!$B$8:$B$502,"*"&amp;$B6&amp;"*",'Trang chủ'!$AO$8:$AO$502,"Fail")+COUNTIFS('Bảng tin &amp; Chi tiết tin'!$B$8:$B$502,"*"&amp;$B6&amp;"*",'Bảng tin &amp; Chi tiết tin'!$AO$8:$AO$502,"Fail")+COUNTIFS('Theo dõi đơn'!$B$8:$B$502,"*"&amp;$B6&amp;"*",'Theo dõi đơn'!$AO$8:$AO$502,"Fail")+COUNTIFS('Huỷ đơn'!$B$8:$B$502,"*"&amp;$B6&amp;"*",'Huỷ đơn'!$AO$8:$AO$502,"Fail")+COUNTIFS('Tặng quà'!$B$8:$B$502,"*"&amp;$B6&amp;"*",'Tặng quà'!$AO$8:$AO$502,"Fail")</f>
        <v>1</v>
      </c>
      <c r="I6" s="53" t="n">
        <f aca="false">IFERROR(F6/E6,0)</f>
        <v>1</v>
      </c>
      <c r="J6" s="123" t="str">
        <f aca="false">IF(E6=0,"Chưa có TC (gap)",IF(H6&gt;0,"Có lỗi (Fail)",IF(F6&gt;=E6,"Đã test xong","Đang test")))</f>
        <v>Có lỗi (Fail)</v>
      </c>
    </row>
    <row r="7" customFormat="false" ht="15" hidden="false" customHeight="true" outlineLevel="0" collapsed="false">
      <c r="B7" s="178" t="s">
        <v>490</v>
      </c>
      <c r="C7" s="54" t="s">
        <v>491</v>
      </c>
      <c r="D7" s="123" t="s">
        <v>492</v>
      </c>
      <c r="E7" s="52" t="n">
        <f aca="false">COUNTIF('Hoạt động'!$B$8:$B$502,"*"&amp;$B7&amp;"*")+COUNTIF('Cá nhân'!$B$8:$B$502,"*"&amp;$B7&amp;"*")+COUNTIF('Thông báo'!$B$8:$B$502,"*"&amp;$B7&amp;"*")+COUNTIF('Đăng tin'!$B$8:$B$502,"*"&amp;$B7&amp;"*")+COUNTIF('Trang chủ'!$B$8:$B$502,"*"&amp;$B7&amp;"*")+COUNTIF('Bảng tin &amp; Chi tiết tin'!$B$8:$B$502,"*"&amp;$B7&amp;"*")+COUNTIF('Theo dõi đơn'!$B$8:$B$502,"*"&amp;$B7&amp;"*")+COUNTIF('Huỷ đơn'!$B$8:$B$502,"*"&amp;$B7&amp;"*")+COUNTIF('Tặng quà'!$B$8:$B$502,"*"&amp;$B7&amp;"*")</f>
        <v>1</v>
      </c>
      <c r="F7" s="52" t="n">
        <f aca="false">SUMPRODUCT(ISNUMBER(SEARCH($B7,'Hoạt động'!$B$8:$B$502))*('Hoạt động'!$AO$8:$AO$502&lt;&gt;""))+SUMPRODUCT(ISNUMBER(SEARCH($B7,'Cá nhân'!$B$8:$B$502))*('Cá nhân'!$AO$8:$AO$502&lt;&gt;""))+SUMPRODUCT(ISNUMBER(SEARCH($B7,'Thông báo'!$B$8:$B$502))*('Thông báo'!$AO$8:$AO$502&lt;&gt;""))+SUMPRODUCT(ISNUMBER(SEARCH($B7,'Đăng tin'!$B$8:$B$502))*('Đăng tin'!$AO$8:$AO$502&lt;&gt;""))+SUMPRODUCT(ISNUMBER(SEARCH($B7,'Trang chủ'!$B$8:$B$502))*('Trang chủ'!$AO$8:$AO$502&lt;&gt;""))+SUMPRODUCT(ISNUMBER(SEARCH($B7,'Bảng tin &amp; Chi tiết tin'!$B$8:$B$502))*('Bảng tin &amp; Chi tiết tin'!$AO$8:$AO$502&lt;&gt;""))+SUMPRODUCT(ISNUMBER(SEARCH($B7,'Theo dõi đơn'!$B$8:$B$502))*('Theo dõi đơn'!$AO$8:$AO$502&lt;&gt;""))+SUMPRODUCT(ISNUMBER(SEARCH($B7,'Huỷ đơn'!$B$8:$B$502))*('Huỷ đơn'!$AO$8:$AO$502&lt;&gt;""))+SUMPRODUCT(ISNUMBER(SEARCH($B7,'Tặng quà'!$B$8:$B$502))*('Tặng quà'!$AO$8:$AO$502&lt;&gt;""))</f>
        <v>1</v>
      </c>
      <c r="G7" s="52" t="n">
        <f aca="false">COUNTIFS('Hoạt động'!$B$8:$B$502,"*"&amp;$B7&amp;"*",'Hoạt động'!$AO$8:$AO$502,"Pass")+COUNTIFS('Cá nhân'!$B$8:$B$502,"*"&amp;$B7&amp;"*",'Cá nhân'!$AO$8:$AO$502,"Pass")+COUNTIFS('Thông báo'!$B$8:$B$502,"*"&amp;$B7&amp;"*",'Thông báo'!$AO$8:$AO$502,"Pass")+COUNTIFS('Đăng tin'!$B$8:$B$502,"*"&amp;$B7&amp;"*",'Đăng tin'!$AO$8:$AO$502,"Pass")+COUNTIFS('Trang chủ'!$B$8:$B$502,"*"&amp;$B7&amp;"*",'Trang chủ'!$AO$8:$AO$502,"Pass")+COUNTIFS('Bảng tin &amp; Chi tiết tin'!$B$8:$B$502,"*"&amp;$B7&amp;"*",'Bảng tin &amp; Chi tiết tin'!$AO$8:$AO$502,"Pass")+COUNTIFS('Theo dõi đơn'!$B$8:$B$502,"*"&amp;$B7&amp;"*",'Theo dõi đơn'!$AO$8:$AO$502,"Pass")+COUNTIFS('Huỷ đơn'!$B$8:$B$502,"*"&amp;$B7&amp;"*",'Huỷ đơn'!$AO$8:$AO$502,"Pass")+COUNTIFS('Tặng quà'!$B$8:$B$502,"*"&amp;$B7&amp;"*",'Tặng quà'!$AO$8:$AO$502,"Pass")</f>
        <v>0</v>
      </c>
      <c r="H7" s="52" t="n">
        <f aca="false">COUNTIFS('Hoạt động'!$B$8:$B$502,"*"&amp;$B7&amp;"*",'Hoạt động'!$AO$8:$AO$502,"Fail")+COUNTIFS('Cá nhân'!$B$8:$B$502,"*"&amp;$B7&amp;"*",'Cá nhân'!$AO$8:$AO$502,"Fail")+COUNTIFS('Thông báo'!$B$8:$B$502,"*"&amp;$B7&amp;"*",'Thông báo'!$AO$8:$AO$502,"Fail")+COUNTIFS('Đăng tin'!$B$8:$B$502,"*"&amp;$B7&amp;"*",'Đăng tin'!$AO$8:$AO$502,"Fail")+COUNTIFS('Trang chủ'!$B$8:$B$502,"*"&amp;$B7&amp;"*",'Trang chủ'!$AO$8:$AO$502,"Fail")+COUNTIFS('Bảng tin &amp; Chi tiết tin'!$B$8:$B$502,"*"&amp;$B7&amp;"*",'Bảng tin &amp; Chi tiết tin'!$AO$8:$AO$502,"Fail")+COUNTIFS('Theo dõi đơn'!$B$8:$B$502,"*"&amp;$B7&amp;"*",'Theo dõi đơn'!$AO$8:$AO$502,"Fail")+COUNTIFS('Huỷ đơn'!$B$8:$B$502,"*"&amp;$B7&amp;"*",'Huỷ đơn'!$AO$8:$AO$502,"Fail")+COUNTIFS('Tặng quà'!$B$8:$B$502,"*"&amp;$B7&amp;"*",'Tặng quà'!$AO$8:$AO$502,"Fail")</f>
        <v>1</v>
      </c>
      <c r="I7" s="53" t="n">
        <f aca="false">IFERROR(F7/E7,0)</f>
        <v>1</v>
      </c>
      <c r="J7" s="123" t="str">
        <f aca="false">IF(E7=0,"Chưa có TC (gap)",IF(H7&gt;0,"Có lỗi (Fail)",IF(F7&gt;=E7,"Đã test xong","Đang test")))</f>
        <v>Có lỗi (Fail)</v>
      </c>
    </row>
    <row r="8" customFormat="false" ht="15" hidden="false" customHeight="true" outlineLevel="0" collapsed="false">
      <c r="B8" s="178" t="s">
        <v>493</v>
      </c>
      <c r="C8" s="54" t="s">
        <v>494</v>
      </c>
      <c r="D8" s="123" t="s">
        <v>495</v>
      </c>
      <c r="E8" s="52" t="n">
        <f aca="false">COUNTIF('Hoạt động'!$B$8:$B$502,"*"&amp;$B8&amp;"*")+COUNTIF('Cá nhân'!$B$8:$B$502,"*"&amp;$B8&amp;"*")+COUNTIF('Thông báo'!$B$8:$B$502,"*"&amp;$B8&amp;"*")+COUNTIF('Đăng tin'!$B$8:$B$502,"*"&amp;$B8&amp;"*")+COUNTIF('Trang chủ'!$B$8:$B$502,"*"&amp;$B8&amp;"*")+COUNTIF('Bảng tin &amp; Chi tiết tin'!$B$8:$B$502,"*"&amp;$B8&amp;"*")+COUNTIF('Theo dõi đơn'!$B$8:$B$502,"*"&amp;$B8&amp;"*")+COUNTIF('Huỷ đơn'!$B$8:$B$502,"*"&amp;$B8&amp;"*")+COUNTIF('Tặng quà'!$B$8:$B$502,"*"&amp;$B8&amp;"*")</f>
        <v>7</v>
      </c>
      <c r="F8" s="52" t="n">
        <f aca="false">SUMPRODUCT(ISNUMBER(SEARCH($B8,'Hoạt động'!$B$8:$B$502))*('Hoạt động'!$AO$8:$AO$502&lt;&gt;""))+SUMPRODUCT(ISNUMBER(SEARCH($B8,'Cá nhân'!$B$8:$B$502))*('Cá nhân'!$AO$8:$AO$502&lt;&gt;""))+SUMPRODUCT(ISNUMBER(SEARCH($B8,'Thông báo'!$B$8:$B$502))*('Thông báo'!$AO$8:$AO$502&lt;&gt;""))+SUMPRODUCT(ISNUMBER(SEARCH($B8,'Đăng tin'!$B$8:$B$502))*('Đăng tin'!$AO$8:$AO$502&lt;&gt;""))+SUMPRODUCT(ISNUMBER(SEARCH($B8,'Trang chủ'!$B$8:$B$502))*('Trang chủ'!$AO$8:$AO$502&lt;&gt;""))+SUMPRODUCT(ISNUMBER(SEARCH($B8,'Bảng tin &amp; Chi tiết tin'!$B$8:$B$502))*('Bảng tin &amp; Chi tiết tin'!$AO$8:$AO$502&lt;&gt;""))+SUMPRODUCT(ISNUMBER(SEARCH($B8,'Theo dõi đơn'!$B$8:$B$502))*('Theo dõi đơn'!$AO$8:$AO$502&lt;&gt;""))+SUMPRODUCT(ISNUMBER(SEARCH($B8,'Huỷ đơn'!$B$8:$B$502))*('Huỷ đơn'!$AO$8:$AO$502&lt;&gt;""))+SUMPRODUCT(ISNUMBER(SEARCH($B8,'Tặng quà'!$B$8:$B$502))*('Tặng quà'!$AO$8:$AO$502&lt;&gt;""))</f>
        <v>7</v>
      </c>
      <c r="G8" s="52" t="n">
        <f aca="false">COUNTIFS('Hoạt động'!$B$8:$B$502,"*"&amp;$B8&amp;"*",'Hoạt động'!$AO$8:$AO$502,"Pass")+COUNTIFS('Cá nhân'!$B$8:$B$502,"*"&amp;$B8&amp;"*",'Cá nhân'!$AO$8:$AO$502,"Pass")+COUNTIFS('Thông báo'!$B$8:$B$502,"*"&amp;$B8&amp;"*",'Thông báo'!$AO$8:$AO$502,"Pass")+COUNTIFS('Đăng tin'!$B$8:$B$502,"*"&amp;$B8&amp;"*",'Đăng tin'!$AO$8:$AO$502,"Pass")+COUNTIFS('Trang chủ'!$B$8:$B$502,"*"&amp;$B8&amp;"*",'Trang chủ'!$AO$8:$AO$502,"Pass")+COUNTIFS('Bảng tin &amp; Chi tiết tin'!$B$8:$B$502,"*"&amp;$B8&amp;"*",'Bảng tin &amp; Chi tiết tin'!$AO$8:$AO$502,"Pass")+COUNTIFS('Theo dõi đơn'!$B$8:$B$502,"*"&amp;$B8&amp;"*",'Theo dõi đơn'!$AO$8:$AO$502,"Pass")+COUNTIFS('Huỷ đơn'!$B$8:$B$502,"*"&amp;$B8&amp;"*",'Huỷ đơn'!$AO$8:$AO$502,"Pass")+COUNTIFS('Tặng quà'!$B$8:$B$502,"*"&amp;$B8&amp;"*",'Tặng quà'!$AO$8:$AO$502,"Pass")</f>
        <v>5</v>
      </c>
      <c r="H8" s="52" t="n">
        <f aca="false">COUNTIFS('Hoạt động'!$B$8:$B$502,"*"&amp;$B8&amp;"*",'Hoạt động'!$AO$8:$AO$502,"Fail")+COUNTIFS('Cá nhân'!$B$8:$B$502,"*"&amp;$B8&amp;"*",'Cá nhân'!$AO$8:$AO$502,"Fail")+COUNTIFS('Thông báo'!$B$8:$B$502,"*"&amp;$B8&amp;"*",'Thông báo'!$AO$8:$AO$502,"Fail")+COUNTIFS('Đăng tin'!$B$8:$B$502,"*"&amp;$B8&amp;"*",'Đăng tin'!$AO$8:$AO$502,"Fail")+COUNTIFS('Trang chủ'!$B$8:$B$502,"*"&amp;$B8&amp;"*",'Trang chủ'!$AO$8:$AO$502,"Fail")+COUNTIFS('Bảng tin &amp; Chi tiết tin'!$B$8:$B$502,"*"&amp;$B8&amp;"*",'Bảng tin &amp; Chi tiết tin'!$AO$8:$AO$502,"Fail")+COUNTIFS('Theo dõi đơn'!$B$8:$B$502,"*"&amp;$B8&amp;"*",'Theo dõi đơn'!$AO$8:$AO$502,"Fail")+COUNTIFS('Huỷ đơn'!$B$8:$B$502,"*"&amp;$B8&amp;"*",'Huỷ đơn'!$AO$8:$AO$502,"Fail")+COUNTIFS('Tặng quà'!$B$8:$B$502,"*"&amp;$B8&amp;"*",'Tặng quà'!$AO$8:$AO$502,"Fail")</f>
        <v>1</v>
      </c>
      <c r="I8" s="53" t="n">
        <f aca="false">IFERROR(F8/E8,0)</f>
        <v>1</v>
      </c>
      <c r="J8" s="123" t="str">
        <f aca="false">IF(E8=0,"Chưa có TC (gap)",IF(H8&gt;0,"Có lỗi (Fail)",IF(F8&gt;=E8,"Đã test xong","Đang test")))</f>
        <v>Có lỗi (Fail)</v>
      </c>
    </row>
    <row r="9" customFormat="false" ht="15" hidden="false" customHeight="true" outlineLevel="0" collapsed="false">
      <c r="B9" s="178" t="s">
        <v>496</v>
      </c>
      <c r="C9" s="54" t="s">
        <v>497</v>
      </c>
      <c r="D9" s="123" t="s">
        <v>498</v>
      </c>
      <c r="E9" s="52" t="n">
        <f aca="false">COUNTIF('Hoạt động'!$B$8:$B$502,"*"&amp;$B9&amp;"*")+COUNTIF('Cá nhân'!$B$8:$B$502,"*"&amp;$B9&amp;"*")+COUNTIF('Thông báo'!$B$8:$B$502,"*"&amp;$B9&amp;"*")+COUNTIF('Đăng tin'!$B$8:$B$502,"*"&amp;$B9&amp;"*")+COUNTIF('Trang chủ'!$B$8:$B$502,"*"&amp;$B9&amp;"*")+COUNTIF('Bảng tin &amp; Chi tiết tin'!$B$8:$B$502,"*"&amp;$B9&amp;"*")+COUNTIF('Theo dõi đơn'!$B$8:$B$502,"*"&amp;$B9&amp;"*")+COUNTIF('Huỷ đơn'!$B$8:$B$502,"*"&amp;$B9&amp;"*")+COUNTIF('Tặng quà'!$B$8:$B$502,"*"&amp;$B9&amp;"*")</f>
        <v>1</v>
      </c>
      <c r="F9" s="52" t="n">
        <f aca="false">SUMPRODUCT(ISNUMBER(SEARCH($B9,'Hoạt động'!$B$8:$B$502))*('Hoạt động'!$AO$8:$AO$502&lt;&gt;""))+SUMPRODUCT(ISNUMBER(SEARCH($B9,'Cá nhân'!$B$8:$B$502))*('Cá nhân'!$AO$8:$AO$502&lt;&gt;""))+SUMPRODUCT(ISNUMBER(SEARCH($B9,'Thông báo'!$B$8:$B$502))*('Thông báo'!$AO$8:$AO$502&lt;&gt;""))+SUMPRODUCT(ISNUMBER(SEARCH($B9,'Đăng tin'!$B$8:$B$502))*('Đăng tin'!$AO$8:$AO$502&lt;&gt;""))+SUMPRODUCT(ISNUMBER(SEARCH($B9,'Trang chủ'!$B$8:$B$502))*('Trang chủ'!$AO$8:$AO$502&lt;&gt;""))+SUMPRODUCT(ISNUMBER(SEARCH($B9,'Bảng tin &amp; Chi tiết tin'!$B$8:$B$502))*('Bảng tin &amp; Chi tiết tin'!$AO$8:$AO$502&lt;&gt;""))+SUMPRODUCT(ISNUMBER(SEARCH($B9,'Theo dõi đơn'!$B$8:$B$502))*('Theo dõi đơn'!$AO$8:$AO$502&lt;&gt;""))+SUMPRODUCT(ISNUMBER(SEARCH($B9,'Huỷ đơn'!$B$8:$B$502))*('Huỷ đơn'!$AO$8:$AO$502&lt;&gt;""))+SUMPRODUCT(ISNUMBER(SEARCH($B9,'Tặng quà'!$B$8:$B$502))*('Tặng quà'!$AO$8:$AO$502&lt;&gt;""))</f>
        <v>1</v>
      </c>
      <c r="G9" s="52" t="n">
        <f aca="false">COUNTIFS('Hoạt động'!$B$8:$B$502,"*"&amp;$B9&amp;"*",'Hoạt động'!$AO$8:$AO$502,"Pass")+COUNTIFS('Cá nhân'!$B$8:$B$502,"*"&amp;$B9&amp;"*",'Cá nhân'!$AO$8:$AO$502,"Pass")+COUNTIFS('Thông báo'!$B$8:$B$502,"*"&amp;$B9&amp;"*",'Thông báo'!$AO$8:$AO$502,"Pass")+COUNTIFS('Đăng tin'!$B$8:$B$502,"*"&amp;$B9&amp;"*",'Đăng tin'!$AO$8:$AO$502,"Pass")+COUNTIFS('Trang chủ'!$B$8:$B$502,"*"&amp;$B9&amp;"*",'Trang chủ'!$AO$8:$AO$502,"Pass")+COUNTIFS('Bảng tin &amp; Chi tiết tin'!$B$8:$B$502,"*"&amp;$B9&amp;"*",'Bảng tin &amp; Chi tiết tin'!$AO$8:$AO$502,"Pass")+COUNTIFS('Theo dõi đơn'!$B$8:$B$502,"*"&amp;$B9&amp;"*",'Theo dõi đơn'!$AO$8:$AO$502,"Pass")+COUNTIFS('Huỷ đơn'!$B$8:$B$502,"*"&amp;$B9&amp;"*",'Huỷ đơn'!$AO$8:$AO$502,"Pass")+COUNTIFS('Tặng quà'!$B$8:$B$502,"*"&amp;$B9&amp;"*",'Tặng quà'!$AO$8:$AO$502,"Pass")</f>
        <v>1</v>
      </c>
      <c r="H9" s="52" t="n">
        <f aca="false">COUNTIFS('Hoạt động'!$B$8:$B$502,"*"&amp;$B9&amp;"*",'Hoạt động'!$AO$8:$AO$502,"Fail")+COUNTIFS('Cá nhân'!$B$8:$B$502,"*"&amp;$B9&amp;"*",'Cá nhân'!$AO$8:$AO$502,"Fail")+COUNTIFS('Thông báo'!$B$8:$B$502,"*"&amp;$B9&amp;"*",'Thông báo'!$AO$8:$AO$502,"Fail")+COUNTIFS('Đăng tin'!$B$8:$B$502,"*"&amp;$B9&amp;"*",'Đăng tin'!$AO$8:$AO$502,"Fail")+COUNTIFS('Trang chủ'!$B$8:$B$502,"*"&amp;$B9&amp;"*",'Trang chủ'!$AO$8:$AO$502,"Fail")+COUNTIFS('Bảng tin &amp; Chi tiết tin'!$B$8:$B$502,"*"&amp;$B9&amp;"*",'Bảng tin &amp; Chi tiết tin'!$AO$8:$AO$502,"Fail")+COUNTIFS('Theo dõi đơn'!$B$8:$B$502,"*"&amp;$B9&amp;"*",'Theo dõi đơn'!$AO$8:$AO$502,"Fail")+COUNTIFS('Huỷ đơn'!$B$8:$B$502,"*"&amp;$B9&amp;"*",'Huỷ đơn'!$AO$8:$AO$502,"Fail")+COUNTIFS('Tặng quà'!$B$8:$B$502,"*"&amp;$B9&amp;"*",'Tặng quà'!$AO$8:$AO$502,"Fail")</f>
        <v>0</v>
      </c>
      <c r="I9" s="53" t="n">
        <f aca="false">IFERROR(F9/E9,0)</f>
        <v>1</v>
      </c>
      <c r="J9" s="123" t="str">
        <f aca="false">IF(E9=0,"Chưa có TC (gap)",IF(H9&gt;0,"Có lỗi (Fail)",IF(F9&gt;=E9,"Đã test xong","Đang test")))</f>
        <v>Đã test xong</v>
      </c>
    </row>
    <row r="10" customFormat="false" ht="15" hidden="false" customHeight="true" outlineLevel="0" collapsed="false">
      <c r="B10" s="178" t="s">
        <v>499</v>
      </c>
      <c r="C10" s="54" t="s">
        <v>500</v>
      </c>
      <c r="D10" s="123" t="s">
        <v>501</v>
      </c>
      <c r="E10" s="52" t="n">
        <f aca="false">COUNTIF('Hoạt động'!$B$8:$B$502,"*"&amp;$B10&amp;"*")+COUNTIF('Cá nhân'!$B$8:$B$502,"*"&amp;$B10&amp;"*")+COUNTIF('Thông báo'!$B$8:$B$502,"*"&amp;$B10&amp;"*")+COUNTIF('Đăng tin'!$B$8:$B$502,"*"&amp;$B10&amp;"*")+COUNTIF('Trang chủ'!$B$8:$B$502,"*"&amp;$B10&amp;"*")+COUNTIF('Bảng tin &amp; Chi tiết tin'!$B$8:$B$502,"*"&amp;$B10&amp;"*")+COUNTIF('Theo dõi đơn'!$B$8:$B$502,"*"&amp;$B10&amp;"*")+COUNTIF('Huỷ đơn'!$B$8:$B$502,"*"&amp;$B10&amp;"*")+COUNTIF('Tặng quà'!$B$8:$B$502,"*"&amp;$B10&amp;"*")</f>
        <v>3</v>
      </c>
      <c r="F10" s="52" t="n">
        <f aca="false">SUMPRODUCT(ISNUMBER(SEARCH($B10,'Hoạt động'!$B$8:$B$502))*('Hoạt động'!$AO$8:$AO$502&lt;&gt;""))+SUMPRODUCT(ISNUMBER(SEARCH($B10,'Cá nhân'!$B$8:$B$502))*('Cá nhân'!$AO$8:$AO$502&lt;&gt;""))+SUMPRODUCT(ISNUMBER(SEARCH($B10,'Thông báo'!$B$8:$B$502))*('Thông báo'!$AO$8:$AO$502&lt;&gt;""))+SUMPRODUCT(ISNUMBER(SEARCH($B10,'Đăng tin'!$B$8:$B$502))*('Đăng tin'!$AO$8:$AO$502&lt;&gt;""))+SUMPRODUCT(ISNUMBER(SEARCH($B10,'Trang chủ'!$B$8:$B$502))*('Trang chủ'!$AO$8:$AO$502&lt;&gt;""))+SUMPRODUCT(ISNUMBER(SEARCH($B10,'Bảng tin &amp; Chi tiết tin'!$B$8:$B$502))*('Bảng tin &amp; Chi tiết tin'!$AO$8:$AO$502&lt;&gt;""))+SUMPRODUCT(ISNUMBER(SEARCH($B10,'Theo dõi đơn'!$B$8:$B$502))*('Theo dõi đơn'!$AO$8:$AO$502&lt;&gt;""))+SUMPRODUCT(ISNUMBER(SEARCH($B10,'Huỷ đơn'!$B$8:$B$502))*('Huỷ đơn'!$AO$8:$AO$502&lt;&gt;""))+SUMPRODUCT(ISNUMBER(SEARCH($B10,'Tặng quà'!$B$8:$B$502))*('Tặng quà'!$AO$8:$AO$502&lt;&gt;""))</f>
        <v>2</v>
      </c>
      <c r="G10" s="52" t="n">
        <f aca="false">COUNTIFS('Hoạt động'!$B$8:$B$502,"*"&amp;$B10&amp;"*",'Hoạt động'!$AO$8:$AO$502,"Pass")+COUNTIFS('Cá nhân'!$B$8:$B$502,"*"&amp;$B10&amp;"*",'Cá nhân'!$AO$8:$AO$502,"Pass")+COUNTIFS('Thông báo'!$B$8:$B$502,"*"&amp;$B10&amp;"*",'Thông báo'!$AO$8:$AO$502,"Pass")+COUNTIFS('Đăng tin'!$B$8:$B$502,"*"&amp;$B10&amp;"*",'Đăng tin'!$AO$8:$AO$502,"Pass")+COUNTIFS('Trang chủ'!$B$8:$B$502,"*"&amp;$B10&amp;"*",'Trang chủ'!$AO$8:$AO$502,"Pass")+COUNTIFS('Bảng tin &amp; Chi tiết tin'!$B$8:$B$502,"*"&amp;$B10&amp;"*",'Bảng tin &amp; Chi tiết tin'!$AO$8:$AO$502,"Pass")+COUNTIFS('Theo dõi đơn'!$B$8:$B$502,"*"&amp;$B10&amp;"*",'Theo dõi đơn'!$AO$8:$AO$502,"Pass")+COUNTIFS('Huỷ đơn'!$B$8:$B$502,"*"&amp;$B10&amp;"*",'Huỷ đơn'!$AO$8:$AO$502,"Pass")+COUNTIFS('Tặng quà'!$B$8:$B$502,"*"&amp;$B10&amp;"*",'Tặng quà'!$AO$8:$AO$502,"Pass")</f>
        <v>0</v>
      </c>
      <c r="H10" s="52" t="n">
        <f aca="false">COUNTIFS('Hoạt động'!$B$8:$B$502,"*"&amp;$B10&amp;"*",'Hoạt động'!$AO$8:$AO$502,"Fail")+COUNTIFS('Cá nhân'!$B$8:$B$502,"*"&amp;$B10&amp;"*",'Cá nhân'!$AO$8:$AO$502,"Fail")+COUNTIFS('Thông báo'!$B$8:$B$502,"*"&amp;$B10&amp;"*",'Thông báo'!$AO$8:$AO$502,"Fail")+COUNTIFS('Đăng tin'!$B$8:$B$502,"*"&amp;$B10&amp;"*",'Đăng tin'!$AO$8:$AO$502,"Fail")+COUNTIFS('Trang chủ'!$B$8:$B$502,"*"&amp;$B10&amp;"*",'Trang chủ'!$AO$8:$AO$502,"Fail")+COUNTIFS('Bảng tin &amp; Chi tiết tin'!$B$8:$B$502,"*"&amp;$B10&amp;"*",'Bảng tin &amp; Chi tiết tin'!$AO$8:$AO$502,"Fail")+COUNTIFS('Theo dõi đơn'!$B$8:$B$502,"*"&amp;$B10&amp;"*",'Theo dõi đơn'!$AO$8:$AO$502,"Fail")+COUNTIFS('Huỷ đơn'!$B$8:$B$502,"*"&amp;$B10&amp;"*",'Huỷ đơn'!$AO$8:$AO$502,"Fail")+COUNTIFS('Tặng quà'!$B$8:$B$502,"*"&amp;$B10&amp;"*",'Tặng quà'!$AO$8:$AO$502,"Fail")</f>
        <v>0</v>
      </c>
      <c r="I10" s="53" t="n">
        <f aca="false">IFERROR(F10/E10,0)</f>
        <v>0.666666666666667</v>
      </c>
      <c r="J10" s="123" t="str">
        <f aca="false">IF(E10=0,"Chưa có TC (gap)",IF(H10&gt;0,"Có lỗi (Fail)",IF(F10&gt;=E10,"Đã test xong","Đang test")))</f>
        <v>Đang test</v>
      </c>
    </row>
    <row r="11" customFormat="false" ht="15" hidden="false" customHeight="true" outlineLevel="0" collapsed="false">
      <c r="B11" s="178" t="s">
        <v>502</v>
      </c>
      <c r="C11" s="54" t="s">
        <v>503</v>
      </c>
      <c r="D11" s="123" t="s">
        <v>504</v>
      </c>
      <c r="E11" s="123" t="n">
        <f aca="false">COUNTIF('Hoạt động'!$B$8:$B$502,"*"&amp;$B11&amp;"*")+COUNTIF('Cá nhân'!$B$8:$B$502,"*"&amp;$B11&amp;"*")+COUNTIF('Thông báo'!$B$8:$B$502,"*"&amp;$B11&amp;"*")+COUNTIF('Đăng tin'!$B$8:$B$502,"*"&amp;$B11&amp;"*")+COUNTIF('Trang chủ'!$B$8:$B$502,"*"&amp;$B11&amp;"*")+COUNTIF('Bảng tin &amp; Chi tiết tin'!$B$8:$B$502,"*"&amp;$B11&amp;"*")+COUNTIF('Theo dõi đơn'!$B$8:$B$502,"*"&amp;$B11&amp;"*")+COUNTIF('Huỷ đơn'!$B$8:$B$502,"*"&amp;$B11&amp;"*")+COUNTIF('Tặng quà'!$B$8:$B$502,"*"&amp;$B11&amp;"*")</f>
        <v>19</v>
      </c>
      <c r="F11" s="123" t="n">
        <f aca="false">SUMPRODUCT(ISNUMBER(SEARCH($B11,'Hoạt động'!$B$8:$B$502))*('Hoạt động'!$AO$8:$AO$502&lt;&gt;""))+SUMPRODUCT(ISNUMBER(SEARCH($B11,'Cá nhân'!$B$8:$B$502))*('Cá nhân'!$AO$8:$AO$502&lt;&gt;""))+SUMPRODUCT(ISNUMBER(SEARCH($B11,'Thông báo'!$B$8:$B$502))*('Thông báo'!$AO$8:$AO$502&lt;&gt;""))+SUMPRODUCT(ISNUMBER(SEARCH($B11,'Đăng tin'!$B$8:$B$502))*('Đăng tin'!$AO$8:$AO$502&lt;&gt;""))+SUMPRODUCT(ISNUMBER(SEARCH($B11,'Trang chủ'!$B$8:$B$502))*('Trang chủ'!$AO$8:$AO$502&lt;&gt;""))+SUMPRODUCT(ISNUMBER(SEARCH($B11,'Bảng tin &amp; Chi tiết tin'!$B$8:$B$502))*('Bảng tin &amp; Chi tiết tin'!$AO$8:$AO$502&lt;&gt;""))+SUMPRODUCT(ISNUMBER(SEARCH($B11,'Theo dõi đơn'!$B$8:$B$502))*('Theo dõi đơn'!$AO$8:$AO$502&lt;&gt;""))+SUMPRODUCT(ISNUMBER(SEARCH($B11,'Huỷ đơn'!$B$8:$B$502))*('Huỷ đơn'!$AO$8:$AO$502&lt;&gt;""))+SUMPRODUCT(ISNUMBER(SEARCH($B11,'Tặng quà'!$B$8:$B$502))*('Tặng quà'!$AO$8:$AO$502&lt;&gt;""))</f>
        <v>19</v>
      </c>
      <c r="G11" s="123" t="n">
        <f aca="false">COUNTIFS('Hoạt động'!$B$8:$B$502,"*"&amp;$B11&amp;"*",'Hoạt động'!$AO$8:$AO$502,"Pass")+COUNTIFS('Cá nhân'!$B$8:$B$502,"*"&amp;$B11&amp;"*",'Cá nhân'!$AO$8:$AO$502,"Pass")+COUNTIFS('Thông báo'!$B$8:$B$502,"*"&amp;$B11&amp;"*",'Thông báo'!$AO$8:$AO$502,"Pass")+COUNTIFS('Đăng tin'!$B$8:$B$502,"*"&amp;$B11&amp;"*",'Đăng tin'!$AO$8:$AO$502,"Pass")+COUNTIFS('Trang chủ'!$B$8:$B$502,"*"&amp;$B11&amp;"*",'Trang chủ'!$AO$8:$AO$502,"Pass")+COUNTIFS('Bảng tin &amp; Chi tiết tin'!$B$8:$B$502,"*"&amp;$B11&amp;"*",'Bảng tin &amp; Chi tiết tin'!$AO$8:$AO$502,"Pass")+COUNTIFS('Theo dõi đơn'!$B$8:$B$502,"*"&amp;$B11&amp;"*",'Theo dõi đơn'!$AO$8:$AO$502,"Pass")+COUNTIFS('Huỷ đơn'!$B$8:$B$502,"*"&amp;$B11&amp;"*",'Huỷ đơn'!$AO$8:$AO$502,"Pass")+COUNTIFS('Tặng quà'!$B$8:$B$502,"*"&amp;$B11&amp;"*",'Tặng quà'!$AO$8:$AO$502,"Pass")</f>
        <v>12</v>
      </c>
      <c r="H11" s="123" t="n">
        <f aca="false">COUNTIFS('Hoạt động'!$B$8:$B$502,"*"&amp;$B11&amp;"*",'Hoạt động'!$AO$8:$AO$502,"Fail")+COUNTIFS('Cá nhân'!$B$8:$B$502,"*"&amp;$B11&amp;"*",'Cá nhân'!$AO$8:$AO$502,"Fail")+COUNTIFS('Thông báo'!$B$8:$B$502,"*"&amp;$B11&amp;"*",'Thông báo'!$AO$8:$AO$502,"Fail")+COUNTIFS('Đăng tin'!$B$8:$B$502,"*"&amp;$B11&amp;"*",'Đăng tin'!$AO$8:$AO$502,"Fail")+COUNTIFS('Trang chủ'!$B$8:$B$502,"*"&amp;$B11&amp;"*",'Trang chủ'!$AO$8:$AO$502,"Fail")+COUNTIFS('Bảng tin &amp; Chi tiết tin'!$B$8:$B$502,"*"&amp;$B11&amp;"*",'Bảng tin &amp; Chi tiết tin'!$AO$8:$AO$502,"Fail")+COUNTIFS('Theo dõi đơn'!$B$8:$B$502,"*"&amp;$B11&amp;"*",'Theo dõi đơn'!$AO$8:$AO$502,"Fail")+COUNTIFS('Huỷ đơn'!$B$8:$B$502,"*"&amp;$B11&amp;"*",'Huỷ đơn'!$AO$8:$AO$502,"Fail")+COUNTIFS('Tặng quà'!$B$8:$B$502,"*"&amp;$B11&amp;"*",'Tặng quà'!$AO$8:$AO$502,"Fail")</f>
        <v>0</v>
      </c>
      <c r="I11" s="123" t="n">
        <f aca="false">IFERROR(F11/E11,0)</f>
        <v>1</v>
      </c>
      <c r="J11" s="123" t="str">
        <f aca="false">IF(E11=0,"Chưa có TC (gap)",IF(H11&gt;0,"Có lỗi (Fail)",IF(F11&gt;=E11,"Đã test xong","Đang test")))</f>
        <v>Đã test xong</v>
      </c>
    </row>
    <row r="12" customFormat="false" ht="15" hidden="false" customHeight="true" outlineLevel="0" collapsed="false">
      <c r="B12" s="178" t="s">
        <v>505</v>
      </c>
      <c r="C12" s="54" t="s">
        <v>506</v>
      </c>
      <c r="D12" s="123" t="s">
        <v>507</v>
      </c>
      <c r="E12" s="123" t="n">
        <f aca="false">COUNTIF('Hoạt động'!$B$8:$B$502,"*"&amp;$B12&amp;"*")+COUNTIF('Cá nhân'!$B$8:$B$502,"*"&amp;$B12&amp;"*")+COUNTIF('Thông báo'!$B$8:$B$502,"*"&amp;$B12&amp;"*")+COUNTIF('Đăng tin'!$B$8:$B$502,"*"&amp;$B12&amp;"*")+COUNTIF('Trang chủ'!$B$8:$B$502,"*"&amp;$B12&amp;"*")+COUNTIF('Bảng tin &amp; Chi tiết tin'!$B$8:$B$502,"*"&amp;$B12&amp;"*")+COUNTIF('Theo dõi đơn'!$B$8:$B$502,"*"&amp;$B12&amp;"*")+COUNTIF('Huỷ đơn'!$B$8:$B$502,"*"&amp;$B12&amp;"*")+COUNTIF('Tặng quà'!$B$8:$B$502,"*"&amp;$B12&amp;"*")</f>
        <v>22</v>
      </c>
      <c r="F12" s="123" t="n">
        <f aca="false">SUMPRODUCT(ISNUMBER(SEARCH($B12,'Hoạt động'!$B$8:$B$502))*('Hoạt động'!$AO$8:$AO$502&lt;&gt;""))+SUMPRODUCT(ISNUMBER(SEARCH($B12,'Cá nhân'!$B$8:$B$502))*('Cá nhân'!$AO$8:$AO$502&lt;&gt;""))+SUMPRODUCT(ISNUMBER(SEARCH($B12,'Thông báo'!$B$8:$B$502))*('Thông báo'!$AO$8:$AO$502&lt;&gt;""))+SUMPRODUCT(ISNUMBER(SEARCH($B12,'Đăng tin'!$B$8:$B$502))*('Đăng tin'!$AO$8:$AO$502&lt;&gt;""))+SUMPRODUCT(ISNUMBER(SEARCH($B12,'Trang chủ'!$B$8:$B$502))*('Trang chủ'!$AO$8:$AO$502&lt;&gt;""))+SUMPRODUCT(ISNUMBER(SEARCH($B12,'Bảng tin &amp; Chi tiết tin'!$B$8:$B$502))*('Bảng tin &amp; Chi tiết tin'!$AO$8:$AO$502&lt;&gt;""))+SUMPRODUCT(ISNUMBER(SEARCH($B12,'Theo dõi đơn'!$B$8:$B$502))*('Theo dõi đơn'!$AO$8:$AO$502&lt;&gt;""))+SUMPRODUCT(ISNUMBER(SEARCH($B12,'Huỷ đơn'!$B$8:$B$502))*('Huỷ đơn'!$AO$8:$AO$502&lt;&gt;""))+SUMPRODUCT(ISNUMBER(SEARCH($B12,'Tặng quà'!$B$8:$B$502))*('Tặng quà'!$AO$8:$AO$502&lt;&gt;""))</f>
        <v>9</v>
      </c>
      <c r="G12" s="123" t="n">
        <f aca="false">COUNTIFS('Hoạt động'!$B$8:$B$502,"*"&amp;$B12&amp;"*",'Hoạt động'!$AO$8:$AO$502,"Pass")+COUNTIFS('Cá nhân'!$B$8:$B$502,"*"&amp;$B12&amp;"*",'Cá nhân'!$AO$8:$AO$502,"Pass")+COUNTIFS('Thông báo'!$B$8:$B$502,"*"&amp;$B12&amp;"*",'Thông báo'!$AO$8:$AO$502,"Pass")+COUNTIFS('Đăng tin'!$B$8:$B$502,"*"&amp;$B12&amp;"*",'Đăng tin'!$AO$8:$AO$502,"Pass")+COUNTIFS('Trang chủ'!$B$8:$B$502,"*"&amp;$B12&amp;"*",'Trang chủ'!$AO$8:$AO$502,"Pass")+COUNTIFS('Bảng tin &amp; Chi tiết tin'!$B$8:$B$502,"*"&amp;$B12&amp;"*",'Bảng tin &amp; Chi tiết tin'!$AO$8:$AO$502,"Pass")+COUNTIFS('Theo dõi đơn'!$B$8:$B$502,"*"&amp;$B12&amp;"*",'Theo dõi đơn'!$AO$8:$AO$502,"Pass")+COUNTIFS('Huỷ đơn'!$B$8:$B$502,"*"&amp;$B12&amp;"*",'Huỷ đơn'!$AO$8:$AO$502,"Pass")+COUNTIFS('Tặng quà'!$B$8:$B$502,"*"&amp;$B12&amp;"*",'Tặng quà'!$AO$8:$AO$502,"Pass")</f>
        <v>6</v>
      </c>
      <c r="H12" s="123" t="n">
        <f aca="false">COUNTIFS('Hoạt động'!$B$8:$B$502,"*"&amp;$B12&amp;"*",'Hoạt động'!$AO$8:$AO$502,"Fail")+COUNTIFS('Cá nhân'!$B$8:$B$502,"*"&amp;$B12&amp;"*",'Cá nhân'!$AO$8:$AO$502,"Fail")+COUNTIFS('Thông báo'!$B$8:$B$502,"*"&amp;$B12&amp;"*",'Thông báo'!$AO$8:$AO$502,"Fail")+COUNTIFS('Đăng tin'!$B$8:$B$502,"*"&amp;$B12&amp;"*",'Đăng tin'!$AO$8:$AO$502,"Fail")+COUNTIFS('Trang chủ'!$B$8:$B$502,"*"&amp;$B12&amp;"*",'Trang chủ'!$AO$8:$AO$502,"Fail")+COUNTIFS('Bảng tin &amp; Chi tiết tin'!$B$8:$B$502,"*"&amp;$B12&amp;"*",'Bảng tin &amp; Chi tiết tin'!$AO$8:$AO$502,"Fail")+COUNTIFS('Theo dõi đơn'!$B$8:$B$502,"*"&amp;$B12&amp;"*",'Theo dõi đơn'!$AO$8:$AO$502,"Fail")+COUNTIFS('Huỷ đơn'!$B$8:$B$502,"*"&amp;$B12&amp;"*",'Huỷ đơn'!$AO$8:$AO$502,"Fail")+COUNTIFS('Tặng quà'!$B$8:$B$502,"*"&amp;$B12&amp;"*",'Tặng quà'!$AO$8:$AO$502,"Fail")</f>
        <v>0</v>
      </c>
      <c r="I12" s="123" t="n">
        <f aca="false">IFERROR(F12/E12,0)</f>
        <v>0.409090909090909</v>
      </c>
      <c r="J12" s="123" t="str">
        <f aca="false">IF(E12=0,"Chưa có TC (gap)",IF(H12&gt;0,"Có lỗi (Fail)",IF(F12&gt;=E12,"Đã test xong","Đang test")))</f>
        <v>Đang test</v>
      </c>
    </row>
    <row r="13" customFormat="false" ht="15" hidden="false" customHeight="true" outlineLevel="0" collapsed="false">
      <c r="B13" s="178" t="s">
        <v>508</v>
      </c>
      <c r="C13" s="54" t="s">
        <v>509</v>
      </c>
      <c r="D13" s="123" t="s">
        <v>510</v>
      </c>
      <c r="E13" s="123" t="n">
        <f aca="false">COUNTIF('Hoạt động'!$B$8:$B$502,"*"&amp;$B13&amp;"*")+COUNTIF('Cá nhân'!$B$8:$B$502,"*"&amp;$B13&amp;"*")+COUNTIF('Thông báo'!$B$8:$B$502,"*"&amp;$B13&amp;"*")+COUNTIF('Đăng tin'!$B$8:$B$502,"*"&amp;$B13&amp;"*")+COUNTIF('Trang chủ'!$B$8:$B$502,"*"&amp;$B13&amp;"*")+COUNTIF('Bảng tin &amp; Chi tiết tin'!$B$8:$B$502,"*"&amp;$B13&amp;"*")+COUNTIF('Theo dõi đơn'!$B$8:$B$502,"*"&amp;$B13&amp;"*")+COUNTIF('Huỷ đơn'!$B$8:$B$502,"*"&amp;$B13&amp;"*")+COUNTIF('Tặng quà'!$B$8:$B$502,"*"&amp;$B13&amp;"*")</f>
        <v>29</v>
      </c>
      <c r="F13" s="123" t="n">
        <f aca="false">SUMPRODUCT(ISNUMBER(SEARCH($B13,'Hoạt động'!$B$8:$B$502))*('Hoạt động'!$AO$8:$AO$502&lt;&gt;""))+SUMPRODUCT(ISNUMBER(SEARCH($B13,'Cá nhân'!$B$8:$B$502))*('Cá nhân'!$AO$8:$AO$502&lt;&gt;""))+SUMPRODUCT(ISNUMBER(SEARCH($B13,'Thông báo'!$B$8:$B$502))*('Thông báo'!$AO$8:$AO$502&lt;&gt;""))+SUMPRODUCT(ISNUMBER(SEARCH($B13,'Đăng tin'!$B$8:$B$502))*('Đăng tin'!$AO$8:$AO$502&lt;&gt;""))+SUMPRODUCT(ISNUMBER(SEARCH($B13,'Trang chủ'!$B$8:$B$502))*('Trang chủ'!$AO$8:$AO$502&lt;&gt;""))+SUMPRODUCT(ISNUMBER(SEARCH($B13,'Bảng tin &amp; Chi tiết tin'!$B$8:$B$502))*('Bảng tin &amp; Chi tiết tin'!$AO$8:$AO$502&lt;&gt;""))+SUMPRODUCT(ISNUMBER(SEARCH($B13,'Theo dõi đơn'!$B$8:$B$502))*('Theo dõi đơn'!$AO$8:$AO$502&lt;&gt;""))+SUMPRODUCT(ISNUMBER(SEARCH($B13,'Huỷ đơn'!$B$8:$B$502))*('Huỷ đơn'!$AO$8:$AO$502&lt;&gt;""))+SUMPRODUCT(ISNUMBER(SEARCH($B13,'Tặng quà'!$B$8:$B$502))*('Tặng quà'!$AO$8:$AO$502&lt;&gt;""))</f>
        <v>2</v>
      </c>
      <c r="G13" s="123" t="n">
        <f aca="false">COUNTIFS('Hoạt động'!$B$8:$B$502,"*"&amp;$B13&amp;"*",'Hoạt động'!$AO$8:$AO$502,"Pass")+COUNTIFS('Cá nhân'!$B$8:$B$502,"*"&amp;$B13&amp;"*",'Cá nhân'!$AO$8:$AO$502,"Pass")+COUNTIFS('Thông báo'!$B$8:$B$502,"*"&amp;$B13&amp;"*",'Thông báo'!$AO$8:$AO$502,"Pass")+COUNTIFS('Đăng tin'!$B$8:$B$502,"*"&amp;$B13&amp;"*",'Đăng tin'!$AO$8:$AO$502,"Pass")+COUNTIFS('Trang chủ'!$B$8:$B$502,"*"&amp;$B13&amp;"*",'Trang chủ'!$AO$8:$AO$502,"Pass")+COUNTIFS('Bảng tin &amp; Chi tiết tin'!$B$8:$B$502,"*"&amp;$B13&amp;"*",'Bảng tin &amp; Chi tiết tin'!$AO$8:$AO$502,"Pass")+COUNTIFS('Theo dõi đơn'!$B$8:$B$502,"*"&amp;$B13&amp;"*",'Theo dõi đơn'!$AO$8:$AO$502,"Pass")+COUNTIFS('Huỷ đơn'!$B$8:$B$502,"*"&amp;$B13&amp;"*",'Huỷ đơn'!$AO$8:$AO$502,"Pass")+COUNTIFS('Tặng quà'!$B$8:$B$502,"*"&amp;$B13&amp;"*",'Tặng quà'!$AO$8:$AO$502,"Pass")</f>
        <v>0</v>
      </c>
      <c r="H13" s="123" t="n">
        <f aca="false">COUNTIFS('Hoạt động'!$B$8:$B$502,"*"&amp;$B13&amp;"*",'Hoạt động'!$AO$8:$AO$502,"Fail")+COUNTIFS('Cá nhân'!$B$8:$B$502,"*"&amp;$B13&amp;"*",'Cá nhân'!$AO$8:$AO$502,"Fail")+COUNTIFS('Thông báo'!$B$8:$B$502,"*"&amp;$B13&amp;"*",'Thông báo'!$AO$8:$AO$502,"Fail")+COUNTIFS('Đăng tin'!$B$8:$B$502,"*"&amp;$B13&amp;"*",'Đăng tin'!$AO$8:$AO$502,"Fail")+COUNTIFS('Trang chủ'!$B$8:$B$502,"*"&amp;$B13&amp;"*",'Trang chủ'!$AO$8:$AO$502,"Fail")+COUNTIFS('Bảng tin &amp; Chi tiết tin'!$B$8:$B$502,"*"&amp;$B13&amp;"*",'Bảng tin &amp; Chi tiết tin'!$AO$8:$AO$502,"Fail")+COUNTIFS('Theo dõi đơn'!$B$8:$B$502,"*"&amp;$B13&amp;"*",'Theo dõi đơn'!$AO$8:$AO$502,"Fail")+COUNTIFS('Huỷ đơn'!$B$8:$B$502,"*"&amp;$B13&amp;"*",'Huỷ đơn'!$AO$8:$AO$502,"Fail")+COUNTIFS('Tặng quà'!$B$8:$B$502,"*"&amp;$B13&amp;"*",'Tặng quà'!$AO$8:$AO$502,"Fail")</f>
        <v>0</v>
      </c>
      <c r="I13" s="123" t="n">
        <f aca="false">IFERROR(F13/E13,0)</f>
        <v>0.0689655172413793</v>
      </c>
      <c r="J13" s="123" t="str">
        <f aca="false">IF(E13=0,"Chưa có TC (gap)",IF(H13&gt;0,"Có lỗi (Fail)",IF(F13&gt;=E13,"Đã test xong","Đang test")))</f>
        <v>Đang test</v>
      </c>
    </row>
    <row r="14" customFormat="false" ht="15" hidden="false" customHeight="true" outlineLevel="0" collapsed="false">
      <c r="B14" s="178" t="s">
        <v>511</v>
      </c>
      <c r="C14" s="54" t="s">
        <v>512</v>
      </c>
      <c r="D14" s="123" t="s">
        <v>513</v>
      </c>
      <c r="E14" s="123" t="n">
        <f aca="false">COUNTIF('Hoạt động'!$B$8:$B$502,"*"&amp;$B14&amp;"*")+COUNTIF('Cá nhân'!$B$8:$B$502,"*"&amp;$B14&amp;"*")+COUNTIF('Thông báo'!$B$8:$B$502,"*"&amp;$B14&amp;"*")+COUNTIF('Đăng tin'!$B$8:$B$502,"*"&amp;$B14&amp;"*")+COUNTIF('Trang chủ'!$B$8:$B$502,"*"&amp;$B14&amp;"*")+COUNTIF('Bảng tin &amp; Chi tiết tin'!$B$8:$B$502,"*"&amp;$B14&amp;"*")+COUNTIF('Theo dõi đơn'!$B$8:$B$502,"*"&amp;$B14&amp;"*")+COUNTIF('Huỷ đơn'!$B$8:$B$502,"*"&amp;$B14&amp;"*")+COUNTIF('Tặng quà'!$B$8:$B$502,"*"&amp;$B14&amp;"*")</f>
        <v>34</v>
      </c>
      <c r="F14" s="123" t="n">
        <f aca="false">SUMPRODUCT(ISNUMBER(SEARCH($B14,'Hoạt động'!$B$8:$B$502))*('Hoạt động'!$AO$8:$AO$502&lt;&gt;""))+SUMPRODUCT(ISNUMBER(SEARCH($B14,'Cá nhân'!$B$8:$B$502))*('Cá nhân'!$AO$8:$AO$502&lt;&gt;""))+SUMPRODUCT(ISNUMBER(SEARCH($B14,'Thông báo'!$B$8:$B$502))*('Thông báo'!$AO$8:$AO$502&lt;&gt;""))+SUMPRODUCT(ISNUMBER(SEARCH($B14,'Đăng tin'!$B$8:$B$502))*('Đăng tin'!$AO$8:$AO$502&lt;&gt;""))+SUMPRODUCT(ISNUMBER(SEARCH($B14,'Trang chủ'!$B$8:$B$502))*('Trang chủ'!$AO$8:$AO$502&lt;&gt;""))+SUMPRODUCT(ISNUMBER(SEARCH($B14,'Bảng tin &amp; Chi tiết tin'!$B$8:$B$502))*('Bảng tin &amp; Chi tiết tin'!$AO$8:$AO$502&lt;&gt;""))+SUMPRODUCT(ISNUMBER(SEARCH($B14,'Theo dõi đơn'!$B$8:$B$502))*('Theo dõi đơn'!$AO$8:$AO$502&lt;&gt;""))+SUMPRODUCT(ISNUMBER(SEARCH($B14,'Huỷ đơn'!$B$8:$B$502))*('Huỷ đơn'!$AO$8:$AO$502&lt;&gt;""))+SUMPRODUCT(ISNUMBER(SEARCH($B14,'Tặng quà'!$B$8:$B$502))*('Tặng quà'!$AO$8:$AO$502&lt;&gt;""))</f>
        <v>34</v>
      </c>
      <c r="G14" s="123" t="n">
        <f aca="false">COUNTIFS('Hoạt động'!$B$8:$B$502,"*"&amp;$B14&amp;"*",'Hoạt động'!$AO$8:$AO$502,"Pass")+COUNTIFS('Cá nhân'!$B$8:$B$502,"*"&amp;$B14&amp;"*",'Cá nhân'!$AO$8:$AO$502,"Pass")+COUNTIFS('Thông báo'!$B$8:$B$502,"*"&amp;$B14&amp;"*",'Thông báo'!$AO$8:$AO$502,"Pass")+COUNTIFS('Đăng tin'!$B$8:$B$502,"*"&amp;$B14&amp;"*",'Đăng tin'!$AO$8:$AO$502,"Pass")+COUNTIFS('Trang chủ'!$B$8:$B$502,"*"&amp;$B14&amp;"*",'Trang chủ'!$AO$8:$AO$502,"Pass")+COUNTIFS('Bảng tin &amp; Chi tiết tin'!$B$8:$B$502,"*"&amp;$B14&amp;"*",'Bảng tin &amp; Chi tiết tin'!$AO$8:$AO$502,"Pass")+COUNTIFS('Theo dõi đơn'!$B$8:$B$502,"*"&amp;$B14&amp;"*",'Theo dõi đơn'!$AO$8:$AO$502,"Pass")+COUNTIFS('Huỷ đơn'!$B$8:$B$502,"*"&amp;$B14&amp;"*",'Huỷ đơn'!$AO$8:$AO$502,"Pass")+COUNTIFS('Tặng quà'!$B$8:$B$502,"*"&amp;$B14&amp;"*",'Tặng quà'!$AO$8:$AO$502,"Pass")</f>
        <v>10</v>
      </c>
      <c r="H14" s="123" t="n">
        <f aca="false">COUNTIFS('Hoạt động'!$B$8:$B$502,"*"&amp;$B14&amp;"*",'Hoạt động'!$AO$8:$AO$502,"Fail")+COUNTIFS('Cá nhân'!$B$8:$B$502,"*"&amp;$B14&amp;"*",'Cá nhân'!$AO$8:$AO$502,"Fail")+COUNTIFS('Thông báo'!$B$8:$B$502,"*"&amp;$B14&amp;"*",'Thông báo'!$AO$8:$AO$502,"Fail")+COUNTIFS('Đăng tin'!$B$8:$B$502,"*"&amp;$B14&amp;"*",'Đăng tin'!$AO$8:$AO$502,"Fail")+COUNTIFS('Trang chủ'!$B$8:$B$502,"*"&amp;$B14&amp;"*",'Trang chủ'!$AO$8:$AO$502,"Fail")+COUNTIFS('Bảng tin &amp; Chi tiết tin'!$B$8:$B$502,"*"&amp;$B14&amp;"*",'Bảng tin &amp; Chi tiết tin'!$AO$8:$AO$502,"Fail")+COUNTIFS('Theo dõi đơn'!$B$8:$B$502,"*"&amp;$B14&amp;"*",'Theo dõi đơn'!$AO$8:$AO$502,"Fail")+COUNTIFS('Huỷ đơn'!$B$8:$B$502,"*"&amp;$B14&amp;"*",'Huỷ đơn'!$AO$8:$AO$502,"Fail")+COUNTIFS('Tặng quà'!$B$8:$B$502,"*"&amp;$B14&amp;"*",'Tặng quà'!$AO$8:$AO$502,"Fail")</f>
        <v>0</v>
      </c>
      <c r="I14" s="123" t="n">
        <f aca="false">IFERROR(F14/E14,0)</f>
        <v>1</v>
      </c>
      <c r="J14" s="123" t="str">
        <f aca="false">IF(E14=0,"Chưa có TC (gap)",IF(H14&gt;0,"Có lỗi (Fail)",IF(F14&gt;=E14,"Đã test xong","Đang test")))</f>
        <v>Đã test xong</v>
      </c>
    </row>
    <row r="15" customFormat="false" ht="15" hidden="false" customHeight="true" outlineLevel="0" collapsed="false">
      <c r="B15" s="178" t="s">
        <v>514</v>
      </c>
      <c r="C15" s="54" t="s">
        <v>515</v>
      </c>
      <c r="D15" s="123" t="s">
        <v>516</v>
      </c>
      <c r="E15" s="123" t="n">
        <f aca="false">COUNTIF('Hoạt động'!$B$8:$B$502,"*"&amp;$B15&amp;"*")+COUNTIF('Cá nhân'!$B$8:$B$502,"*"&amp;$B15&amp;"*")+COUNTIF('Thông báo'!$B$8:$B$502,"*"&amp;$B15&amp;"*")+COUNTIF('Đăng tin'!$B$8:$B$502,"*"&amp;$B15&amp;"*")+COUNTIF('Trang chủ'!$B$8:$B$502,"*"&amp;$B15&amp;"*")+COUNTIF('Bảng tin &amp; Chi tiết tin'!$B$8:$B$502,"*"&amp;$B15&amp;"*")+COUNTIF('Theo dõi đơn'!$B$8:$B$502,"*"&amp;$B15&amp;"*")+COUNTIF('Huỷ đơn'!$B$8:$B$502,"*"&amp;$B15&amp;"*")+COUNTIF('Tặng quà'!$B$8:$B$502,"*"&amp;$B15&amp;"*")</f>
        <v>2</v>
      </c>
      <c r="F15" s="123" t="n">
        <f aca="false">SUMPRODUCT(ISNUMBER(SEARCH($B15,'Hoạt động'!$B$8:$B$502))*('Hoạt động'!$AO$8:$AO$502&lt;&gt;""))+SUMPRODUCT(ISNUMBER(SEARCH($B15,'Cá nhân'!$B$8:$B$502))*('Cá nhân'!$AO$8:$AO$502&lt;&gt;""))+SUMPRODUCT(ISNUMBER(SEARCH($B15,'Thông báo'!$B$8:$B$502))*('Thông báo'!$AO$8:$AO$502&lt;&gt;""))+SUMPRODUCT(ISNUMBER(SEARCH($B15,'Đăng tin'!$B$8:$B$502))*('Đăng tin'!$AO$8:$AO$502&lt;&gt;""))+SUMPRODUCT(ISNUMBER(SEARCH($B15,'Trang chủ'!$B$8:$B$502))*('Trang chủ'!$AO$8:$AO$502&lt;&gt;""))+SUMPRODUCT(ISNUMBER(SEARCH($B15,'Bảng tin &amp; Chi tiết tin'!$B$8:$B$502))*('Bảng tin &amp; Chi tiết tin'!$AO$8:$AO$502&lt;&gt;""))+SUMPRODUCT(ISNUMBER(SEARCH($B15,'Theo dõi đơn'!$B$8:$B$502))*('Theo dõi đơn'!$AO$8:$AO$502&lt;&gt;""))+SUMPRODUCT(ISNUMBER(SEARCH($B15,'Huỷ đơn'!$B$8:$B$502))*('Huỷ đơn'!$AO$8:$AO$502&lt;&gt;""))+SUMPRODUCT(ISNUMBER(SEARCH($B15,'Tặng quà'!$B$8:$B$502))*('Tặng quà'!$AO$8:$AO$502&lt;&gt;""))</f>
        <v>2</v>
      </c>
      <c r="G15" s="123" t="n">
        <f aca="false">COUNTIFS('Hoạt động'!$B$8:$B$502,"*"&amp;$B15&amp;"*",'Hoạt động'!$AO$8:$AO$502,"Pass")+COUNTIFS('Cá nhân'!$B$8:$B$502,"*"&amp;$B15&amp;"*",'Cá nhân'!$AO$8:$AO$502,"Pass")+COUNTIFS('Thông báo'!$B$8:$B$502,"*"&amp;$B15&amp;"*",'Thông báo'!$AO$8:$AO$502,"Pass")+COUNTIFS('Đăng tin'!$B$8:$B$502,"*"&amp;$B15&amp;"*",'Đăng tin'!$AO$8:$AO$502,"Pass")+COUNTIFS('Trang chủ'!$B$8:$B$502,"*"&amp;$B15&amp;"*",'Trang chủ'!$AO$8:$AO$502,"Pass")+COUNTIFS('Bảng tin &amp; Chi tiết tin'!$B$8:$B$502,"*"&amp;$B15&amp;"*",'Bảng tin &amp; Chi tiết tin'!$AO$8:$AO$502,"Pass")+COUNTIFS('Theo dõi đơn'!$B$8:$B$502,"*"&amp;$B15&amp;"*",'Theo dõi đơn'!$AO$8:$AO$502,"Pass")+COUNTIFS('Huỷ đơn'!$B$8:$B$502,"*"&amp;$B15&amp;"*",'Huỷ đơn'!$AO$8:$AO$502,"Pass")+COUNTIFS('Tặng quà'!$B$8:$B$502,"*"&amp;$B15&amp;"*",'Tặng quà'!$AO$8:$AO$502,"Pass")</f>
        <v>0</v>
      </c>
      <c r="H15" s="123" t="n">
        <f aca="false">COUNTIFS('Hoạt động'!$B$8:$B$502,"*"&amp;$B15&amp;"*",'Hoạt động'!$AO$8:$AO$502,"Fail")+COUNTIFS('Cá nhân'!$B$8:$B$502,"*"&amp;$B15&amp;"*",'Cá nhân'!$AO$8:$AO$502,"Fail")+COUNTIFS('Thông báo'!$B$8:$B$502,"*"&amp;$B15&amp;"*",'Thông báo'!$AO$8:$AO$502,"Fail")+COUNTIFS('Đăng tin'!$B$8:$B$502,"*"&amp;$B15&amp;"*",'Đăng tin'!$AO$8:$AO$502,"Fail")+COUNTIFS('Trang chủ'!$B$8:$B$502,"*"&amp;$B15&amp;"*",'Trang chủ'!$AO$8:$AO$502,"Fail")+COUNTIFS('Bảng tin &amp; Chi tiết tin'!$B$8:$B$502,"*"&amp;$B15&amp;"*",'Bảng tin &amp; Chi tiết tin'!$AO$8:$AO$502,"Fail")+COUNTIFS('Theo dõi đơn'!$B$8:$B$502,"*"&amp;$B15&amp;"*",'Theo dõi đơn'!$AO$8:$AO$502,"Fail")+COUNTIFS('Huỷ đơn'!$B$8:$B$502,"*"&amp;$B15&amp;"*",'Huỷ đơn'!$AO$8:$AO$502,"Fail")+COUNTIFS('Tặng quà'!$B$8:$B$502,"*"&amp;$B15&amp;"*",'Tặng quà'!$AO$8:$AO$502,"Fail")</f>
        <v>0</v>
      </c>
      <c r="I15" s="123" t="n">
        <f aca="false">IFERROR(F15/E15,0)</f>
        <v>1</v>
      </c>
      <c r="J15" s="123" t="str">
        <f aca="false">IF(E15=0,"Chưa có TC (gap)",IF(H15&gt;0,"Có lỗi (Fail)",IF(F15&gt;=E15,"Đã test xong","Đang test")))</f>
        <v>Đã test xong</v>
      </c>
    </row>
    <row r="16" customFormat="false" ht="15" hidden="false" customHeight="true" outlineLevel="0" collapsed="false">
      <c r="B16" s="178" t="s">
        <v>517</v>
      </c>
      <c r="C16" s="54" t="s">
        <v>518</v>
      </c>
      <c r="D16" s="123" t="s">
        <v>519</v>
      </c>
      <c r="E16" s="52" t="n">
        <f aca="false">COUNTIF('Hoạt động'!$B$8:$B$502,"*"&amp;$B16&amp;"*")+COUNTIF('Cá nhân'!$B$8:$B$502,"*"&amp;$B16&amp;"*")+COUNTIF('Thông báo'!$B$8:$B$502,"*"&amp;$B16&amp;"*")+COUNTIF('Đăng tin'!$B$8:$B$502,"*"&amp;$B16&amp;"*")+COUNTIF('Trang chủ'!$B$8:$B$502,"*"&amp;$B16&amp;"*")+COUNTIF('Bảng tin &amp; Chi tiết tin'!$B$8:$B$502,"*"&amp;$B16&amp;"*")+COUNTIF('Theo dõi đơn'!$B$8:$B$502,"*"&amp;$B16&amp;"*")+COUNTIF('Huỷ đơn'!$B$8:$B$502,"*"&amp;$B16&amp;"*")+COUNTIF('Tặng quà'!$B$8:$B$502,"*"&amp;$B16&amp;"*")</f>
        <v>31</v>
      </c>
      <c r="F16" s="52" t="n">
        <f aca="false">SUMPRODUCT(ISNUMBER(SEARCH($B16,'Hoạt động'!$B$8:$B$502))*('Hoạt động'!$AO$8:$AO$502&lt;&gt;""))+SUMPRODUCT(ISNUMBER(SEARCH($B16,'Cá nhân'!$B$8:$B$502))*('Cá nhân'!$AO$8:$AO$502&lt;&gt;""))+SUMPRODUCT(ISNUMBER(SEARCH($B16,'Thông báo'!$B$8:$B$502))*('Thông báo'!$AO$8:$AO$502&lt;&gt;""))+SUMPRODUCT(ISNUMBER(SEARCH($B16,'Đăng tin'!$B$8:$B$502))*('Đăng tin'!$AO$8:$AO$502&lt;&gt;""))+SUMPRODUCT(ISNUMBER(SEARCH($B16,'Trang chủ'!$B$8:$B$502))*('Trang chủ'!$AO$8:$AO$502&lt;&gt;""))+SUMPRODUCT(ISNUMBER(SEARCH($B16,'Bảng tin &amp; Chi tiết tin'!$B$8:$B$502))*('Bảng tin &amp; Chi tiết tin'!$AO$8:$AO$502&lt;&gt;""))+SUMPRODUCT(ISNUMBER(SEARCH($B16,'Theo dõi đơn'!$B$8:$B$502))*('Theo dõi đơn'!$AO$8:$AO$502&lt;&gt;""))+SUMPRODUCT(ISNUMBER(SEARCH($B16,'Huỷ đơn'!$B$8:$B$502))*('Huỷ đơn'!$AO$8:$AO$502&lt;&gt;""))+SUMPRODUCT(ISNUMBER(SEARCH($B16,'Tặng quà'!$B$8:$B$502))*('Tặng quà'!$AO$8:$AO$502&lt;&gt;""))</f>
        <v>0</v>
      </c>
      <c r="G16" s="52" t="n">
        <f aca="false">COUNTIFS('Hoạt động'!$B$8:$B$502,"*"&amp;$B16&amp;"*",'Hoạt động'!$AO$8:$AO$502,"Pass")+COUNTIFS('Cá nhân'!$B$8:$B$502,"*"&amp;$B16&amp;"*",'Cá nhân'!$AO$8:$AO$502,"Pass")+COUNTIFS('Thông báo'!$B$8:$B$502,"*"&amp;$B16&amp;"*",'Thông báo'!$AO$8:$AO$502,"Pass")+COUNTIFS('Đăng tin'!$B$8:$B$502,"*"&amp;$B16&amp;"*",'Đăng tin'!$AO$8:$AO$502,"Pass")+COUNTIFS('Trang chủ'!$B$8:$B$502,"*"&amp;$B16&amp;"*",'Trang chủ'!$AO$8:$AO$502,"Pass")+COUNTIFS('Bảng tin &amp; Chi tiết tin'!$B$8:$B$502,"*"&amp;$B16&amp;"*",'Bảng tin &amp; Chi tiết tin'!$AO$8:$AO$502,"Pass")+COUNTIFS('Theo dõi đơn'!$B$8:$B$502,"*"&amp;$B16&amp;"*",'Theo dõi đơn'!$AO$8:$AO$502,"Pass")+COUNTIFS('Huỷ đơn'!$B$8:$B$502,"*"&amp;$B16&amp;"*",'Huỷ đơn'!$AO$8:$AO$502,"Pass")+COUNTIFS('Tặng quà'!$B$8:$B$502,"*"&amp;$B16&amp;"*",'Tặng quà'!$AO$8:$AO$502,"Pass")</f>
        <v>0</v>
      </c>
      <c r="H16" s="52" t="n">
        <f aca="false">COUNTIFS('Hoạt động'!$B$8:$B$502,"*"&amp;$B16&amp;"*",'Hoạt động'!$AO$8:$AO$502,"Fail")+COUNTIFS('Cá nhân'!$B$8:$B$502,"*"&amp;$B16&amp;"*",'Cá nhân'!$AO$8:$AO$502,"Fail")+COUNTIFS('Thông báo'!$B$8:$B$502,"*"&amp;$B16&amp;"*",'Thông báo'!$AO$8:$AO$502,"Fail")+COUNTIFS('Đăng tin'!$B$8:$B$502,"*"&amp;$B16&amp;"*",'Đăng tin'!$AO$8:$AO$502,"Fail")+COUNTIFS('Trang chủ'!$B$8:$B$502,"*"&amp;$B16&amp;"*",'Trang chủ'!$AO$8:$AO$502,"Fail")+COUNTIFS('Bảng tin &amp; Chi tiết tin'!$B$8:$B$502,"*"&amp;$B16&amp;"*",'Bảng tin &amp; Chi tiết tin'!$AO$8:$AO$502,"Fail")+COUNTIFS('Theo dõi đơn'!$B$8:$B$502,"*"&amp;$B16&amp;"*",'Theo dõi đơn'!$AO$8:$AO$502,"Fail")+COUNTIFS('Huỷ đơn'!$B$8:$B$502,"*"&amp;$B16&amp;"*",'Huỷ đơn'!$AO$8:$AO$502,"Fail")+COUNTIFS('Tặng quà'!$B$8:$B$502,"*"&amp;$B16&amp;"*",'Tặng quà'!$AO$8:$AO$502,"Fail")</f>
        <v>0</v>
      </c>
      <c r="I16" s="53" t="n">
        <f aca="false">IFERROR(F16/E16,0)</f>
        <v>0</v>
      </c>
      <c r="J16" s="123" t="str">
        <f aca="false">IF(E16=0,"Chưa có TC (gap)",IF(H16&gt;0,"Có lỗi (Fail)",IF(F16&gt;=E16,"Đã test xong","Đang test")))</f>
        <v>Đang test</v>
      </c>
    </row>
    <row r="17" customFormat="false" ht="15" hidden="false" customHeight="true" outlineLevel="0" collapsed="false">
      <c r="B17" s="178" t="s">
        <v>520</v>
      </c>
      <c r="C17" s="54" t="s">
        <v>521</v>
      </c>
      <c r="D17" s="123" t="s">
        <v>522</v>
      </c>
      <c r="E17" s="52" t="n">
        <f aca="false">COUNTIF('Hoạt động'!$B$8:$B$502,"*"&amp;$B17&amp;"*")+COUNTIF('Cá nhân'!$B$8:$B$502,"*"&amp;$B17&amp;"*")+COUNTIF('Thông báo'!$B$8:$B$502,"*"&amp;$B17&amp;"*")+COUNTIF('Đăng tin'!$B$8:$B$502,"*"&amp;$B17&amp;"*")+COUNTIF('Trang chủ'!$B$8:$B$502,"*"&amp;$B17&amp;"*")+COUNTIF('Bảng tin &amp; Chi tiết tin'!$B$8:$B$502,"*"&amp;$B17&amp;"*")+COUNTIF('Theo dõi đơn'!$B$8:$B$502,"*"&amp;$B17&amp;"*")+COUNTIF('Huỷ đơn'!$B$8:$B$502,"*"&amp;$B17&amp;"*")+COUNTIF('Tặng quà'!$B$8:$B$502,"*"&amp;$B17&amp;"*")</f>
        <v>23</v>
      </c>
      <c r="F17" s="52" t="n">
        <f aca="false">SUMPRODUCT(ISNUMBER(SEARCH($B17,'Hoạt động'!$B$8:$B$502))*('Hoạt động'!$AO$8:$AO$502&lt;&gt;""))+SUMPRODUCT(ISNUMBER(SEARCH($B17,'Cá nhân'!$B$8:$B$502))*('Cá nhân'!$AO$8:$AO$502&lt;&gt;""))+SUMPRODUCT(ISNUMBER(SEARCH($B17,'Thông báo'!$B$8:$B$502))*('Thông báo'!$AO$8:$AO$502&lt;&gt;""))+SUMPRODUCT(ISNUMBER(SEARCH($B17,'Đăng tin'!$B$8:$B$502))*('Đăng tin'!$AO$8:$AO$502&lt;&gt;""))+SUMPRODUCT(ISNUMBER(SEARCH($B17,'Trang chủ'!$B$8:$B$502))*('Trang chủ'!$AO$8:$AO$502&lt;&gt;""))+SUMPRODUCT(ISNUMBER(SEARCH($B17,'Bảng tin &amp; Chi tiết tin'!$B$8:$B$502))*('Bảng tin &amp; Chi tiết tin'!$AO$8:$AO$502&lt;&gt;""))+SUMPRODUCT(ISNUMBER(SEARCH($B17,'Theo dõi đơn'!$B$8:$B$502))*('Theo dõi đơn'!$AO$8:$AO$502&lt;&gt;""))+SUMPRODUCT(ISNUMBER(SEARCH($B17,'Huỷ đơn'!$B$8:$B$502))*('Huỷ đơn'!$AO$8:$AO$502&lt;&gt;""))+SUMPRODUCT(ISNUMBER(SEARCH($B17,'Tặng quà'!$B$8:$B$502))*('Tặng quà'!$AO$8:$AO$502&lt;&gt;""))</f>
        <v>0</v>
      </c>
      <c r="G17" s="52" t="n">
        <f aca="false">COUNTIFS('Hoạt động'!$B$8:$B$502,"*"&amp;$B17&amp;"*",'Hoạt động'!$AO$8:$AO$502,"Pass")+COUNTIFS('Cá nhân'!$B$8:$B$502,"*"&amp;$B17&amp;"*",'Cá nhân'!$AO$8:$AO$502,"Pass")+COUNTIFS('Thông báo'!$B$8:$B$502,"*"&amp;$B17&amp;"*",'Thông báo'!$AO$8:$AO$502,"Pass")+COUNTIFS('Đăng tin'!$B$8:$B$502,"*"&amp;$B17&amp;"*",'Đăng tin'!$AO$8:$AO$502,"Pass")+COUNTIFS('Trang chủ'!$B$8:$B$502,"*"&amp;$B17&amp;"*",'Trang chủ'!$AO$8:$AO$502,"Pass")+COUNTIFS('Bảng tin &amp; Chi tiết tin'!$B$8:$B$502,"*"&amp;$B17&amp;"*",'Bảng tin &amp; Chi tiết tin'!$AO$8:$AO$502,"Pass")+COUNTIFS('Theo dõi đơn'!$B$8:$B$502,"*"&amp;$B17&amp;"*",'Theo dõi đơn'!$AO$8:$AO$502,"Pass")+COUNTIFS('Huỷ đơn'!$B$8:$B$502,"*"&amp;$B17&amp;"*",'Huỷ đơn'!$AO$8:$AO$502,"Pass")+COUNTIFS('Tặng quà'!$B$8:$B$502,"*"&amp;$B17&amp;"*",'Tặng quà'!$AO$8:$AO$502,"Pass")</f>
        <v>0</v>
      </c>
      <c r="H17" s="52" t="n">
        <f aca="false">COUNTIFS('Hoạt động'!$B$8:$B$502,"*"&amp;$B17&amp;"*",'Hoạt động'!$AO$8:$AO$502,"Fail")+COUNTIFS('Cá nhân'!$B$8:$B$502,"*"&amp;$B17&amp;"*",'Cá nhân'!$AO$8:$AO$502,"Fail")+COUNTIFS('Thông báo'!$B$8:$B$502,"*"&amp;$B17&amp;"*",'Thông báo'!$AO$8:$AO$502,"Fail")+COUNTIFS('Đăng tin'!$B$8:$B$502,"*"&amp;$B17&amp;"*",'Đăng tin'!$AO$8:$AO$502,"Fail")+COUNTIFS('Trang chủ'!$B$8:$B$502,"*"&amp;$B17&amp;"*",'Trang chủ'!$AO$8:$AO$502,"Fail")+COUNTIFS('Bảng tin &amp; Chi tiết tin'!$B$8:$B$502,"*"&amp;$B17&amp;"*",'Bảng tin &amp; Chi tiết tin'!$AO$8:$AO$502,"Fail")+COUNTIFS('Theo dõi đơn'!$B$8:$B$502,"*"&amp;$B17&amp;"*",'Theo dõi đơn'!$AO$8:$AO$502,"Fail")+COUNTIFS('Huỷ đơn'!$B$8:$B$502,"*"&amp;$B17&amp;"*",'Huỷ đơn'!$AO$8:$AO$502,"Fail")+COUNTIFS('Tặng quà'!$B$8:$B$502,"*"&amp;$B17&amp;"*",'Tặng quà'!$AO$8:$AO$502,"Fail")</f>
        <v>0</v>
      </c>
      <c r="I17" s="53" t="n">
        <f aca="false">IFERROR(F17/E17,0)</f>
        <v>0</v>
      </c>
      <c r="J17" s="123" t="str">
        <f aca="false">IF(E17=0,"Chưa có TC (gap)",IF(H17&gt;0,"Có lỗi (Fail)",IF(F17&gt;=E17,"Đã test xong","Đang test")))</f>
        <v>Đang test</v>
      </c>
    </row>
    <row r="18" customFormat="false" ht="15" hidden="false" customHeight="true" outlineLevel="0" collapsed="false">
      <c r="B18" s="178" t="s">
        <v>523</v>
      </c>
      <c r="C18" s="54" t="s">
        <v>524</v>
      </c>
      <c r="D18" s="123" t="s">
        <v>525</v>
      </c>
      <c r="E18" s="52" t="n">
        <f aca="false">COUNTIF('Hoạt động'!$B$8:$B$502,"*"&amp;$B18&amp;"*")+COUNTIF('Cá nhân'!$B$8:$B$502,"*"&amp;$B18&amp;"*")+COUNTIF('Thông báo'!$B$8:$B$502,"*"&amp;$B18&amp;"*")+COUNTIF('Đăng tin'!$B$8:$B$502,"*"&amp;$B18&amp;"*")+COUNTIF('Trang chủ'!$B$8:$B$502,"*"&amp;$B18&amp;"*")+COUNTIF('Bảng tin &amp; Chi tiết tin'!$B$8:$B$502,"*"&amp;$B18&amp;"*")+COUNTIF('Theo dõi đơn'!$B$8:$B$502,"*"&amp;$B18&amp;"*")+COUNTIF('Huỷ đơn'!$B$8:$B$502,"*"&amp;$B18&amp;"*")+COUNTIF('Tặng quà'!$B$8:$B$502,"*"&amp;$B18&amp;"*")</f>
        <v>3</v>
      </c>
      <c r="F18" s="52" t="n">
        <f aca="false">SUMPRODUCT(ISNUMBER(SEARCH($B18,'Hoạt động'!$B$8:$B$502))*('Hoạt động'!$AO$8:$AO$502&lt;&gt;""))+SUMPRODUCT(ISNUMBER(SEARCH($B18,'Cá nhân'!$B$8:$B$502))*('Cá nhân'!$AO$8:$AO$502&lt;&gt;""))+SUMPRODUCT(ISNUMBER(SEARCH($B18,'Thông báo'!$B$8:$B$502))*('Thông báo'!$AO$8:$AO$502&lt;&gt;""))+SUMPRODUCT(ISNUMBER(SEARCH($B18,'Đăng tin'!$B$8:$B$502))*('Đăng tin'!$AO$8:$AO$502&lt;&gt;""))+SUMPRODUCT(ISNUMBER(SEARCH($B18,'Trang chủ'!$B$8:$B$502))*('Trang chủ'!$AO$8:$AO$502&lt;&gt;""))+SUMPRODUCT(ISNUMBER(SEARCH($B18,'Bảng tin &amp; Chi tiết tin'!$B$8:$B$502))*('Bảng tin &amp; Chi tiết tin'!$AO$8:$AO$502&lt;&gt;""))+SUMPRODUCT(ISNUMBER(SEARCH($B18,'Theo dõi đơn'!$B$8:$B$502))*('Theo dõi đơn'!$AO$8:$AO$502&lt;&gt;""))+SUMPRODUCT(ISNUMBER(SEARCH($B18,'Huỷ đơn'!$B$8:$B$502))*('Huỷ đơn'!$AO$8:$AO$502&lt;&gt;""))+SUMPRODUCT(ISNUMBER(SEARCH($B18,'Tặng quà'!$B$8:$B$502))*('Tặng quà'!$AO$8:$AO$502&lt;&gt;""))</f>
        <v>0</v>
      </c>
      <c r="G18" s="52" t="n">
        <f aca="false">COUNTIFS('Hoạt động'!$B$8:$B$502,"*"&amp;$B18&amp;"*",'Hoạt động'!$AO$8:$AO$502,"Pass")+COUNTIFS('Cá nhân'!$B$8:$B$502,"*"&amp;$B18&amp;"*",'Cá nhân'!$AO$8:$AO$502,"Pass")+COUNTIFS('Thông báo'!$B$8:$B$502,"*"&amp;$B18&amp;"*",'Thông báo'!$AO$8:$AO$502,"Pass")+COUNTIFS('Đăng tin'!$B$8:$B$502,"*"&amp;$B18&amp;"*",'Đăng tin'!$AO$8:$AO$502,"Pass")+COUNTIFS('Trang chủ'!$B$8:$B$502,"*"&amp;$B18&amp;"*",'Trang chủ'!$AO$8:$AO$502,"Pass")+COUNTIFS('Bảng tin &amp; Chi tiết tin'!$B$8:$B$502,"*"&amp;$B18&amp;"*",'Bảng tin &amp; Chi tiết tin'!$AO$8:$AO$502,"Pass")+COUNTIFS('Theo dõi đơn'!$B$8:$B$502,"*"&amp;$B18&amp;"*",'Theo dõi đơn'!$AO$8:$AO$502,"Pass")+COUNTIFS('Huỷ đơn'!$B$8:$B$502,"*"&amp;$B18&amp;"*",'Huỷ đơn'!$AO$8:$AO$502,"Pass")+COUNTIFS('Tặng quà'!$B$8:$B$502,"*"&amp;$B18&amp;"*",'Tặng quà'!$AO$8:$AO$502,"Pass")</f>
        <v>0</v>
      </c>
      <c r="H18" s="52" t="n">
        <f aca="false">COUNTIFS('Hoạt động'!$B$8:$B$502,"*"&amp;$B18&amp;"*",'Hoạt động'!$AO$8:$AO$502,"Fail")+COUNTIFS('Cá nhân'!$B$8:$B$502,"*"&amp;$B18&amp;"*",'Cá nhân'!$AO$8:$AO$502,"Fail")+COUNTIFS('Thông báo'!$B$8:$B$502,"*"&amp;$B18&amp;"*",'Thông báo'!$AO$8:$AO$502,"Fail")+COUNTIFS('Đăng tin'!$B$8:$B$502,"*"&amp;$B18&amp;"*",'Đăng tin'!$AO$8:$AO$502,"Fail")+COUNTIFS('Trang chủ'!$B$8:$B$502,"*"&amp;$B18&amp;"*",'Trang chủ'!$AO$8:$AO$502,"Fail")+COUNTIFS('Bảng tin &amp; Chi tiết tin'!$B$8:$B$502,"*"&amp;$B18&amp;"*",'Bảng tin &amp; Chi tiết tin'!$AO$8:$AO$502,"Fail")+COUNTIFS('Theo dõi đơn'!$B$8:$B$502,"*"&amp;$B18&amp;"*",'Theo dõi đơn'!$AO$8:$AO$502,"Fail")+COUNTIFS('Huỷ đơn'!$B$8:$B$502,"*"&amp;$B18&amp;"*",'Huỷ đơn'!$AO$8:$AO$502,"Fail")+COUNTIFS('Tặng quà'!$B$8:$B$502,"*"&amp;$B18&amp;"*",'Tặng quà'!$AO$8:$AO$502,"Fail")</f>
        <v>0</v>
      </c>
      <c r="I18" s="53" t="n">
        <f aca="false">IFERROR(F18/E18,0)</f>
        <v>0</v>
      </c>
      <c r="J18" s="123" t="str">
        <f aca="false">IF(E18=0,"Chưa có TC (gap)",IF(H18&gt;0,"Có lỗi (Fail)",IF(F18&gt;=E18,"Đã test xong","Đang test")))</f>
        <v>Đang test</v>
      </c>
    </row>
    <row r="19" customFormat="false" ht="15" hidden="false" customHeight="true" outlineLevel="0" collapsed="false">
      <c r="B19" s="178" t="s">
        <v>526</v>
      </c>
      <c r="C19" s="54" t="s">
        <v>527</v>
      </c>
      <c r="D19" s="123" t="s">
        <v>528</v>
      </c>
      <c r="E19" s="52" t="n">
        <f aca="false">COUNTIF('Hoạt động'!$B$8:$B$502,"*"&amp;$B19&amp;"*")+COUNTIF('Cá nhân'!$B$8:$B$502,"*"&amp;$B19&amp;"*")+COUNTIF('Thông báo'!$B$8:$B$502,"*"&amp;$B19&amp;"*")+COUNTIF('Đăng tin'!$B$8:$B$502,"*"&amp;$B19&amp;"*")+COUNTIF('Trang chủ'!$B$8:$B$502,"*"&amp;$B19&amp;"*")+COUNTIF('Bảng tin &amp; Chi tiết tin'!$B$8:$B$502,"*"&amp;$B19&amp;"*")+COUNTIF('Theo dõi đơn'!$B$8:$B$502,"*"&amp;$B19&amp;"*")+COUNTIF('Huỷ đơn'!$B$8:$B$502,"*"&amp;$B19&amp;"*")+COUNTIF('Tặng quà'!$B$8:$B$502,"*"&amp;$B19&amp;"*")</f>
        <v>3</v>
      </c>
      <c r="F19" s="52" t="n">
        <f aca="false">SUMPRODUCT(ISNUMBER(SEARCH($B19,'Hoạt động'!$B$8:$B$502))*('Hoạt động'!$AO$8:$AO$502&lt;&gt;""))+SUMPRODUCT(ISNUMBER(SEARCH($B19,'Cá nhân'!$B$8:$B$502))*('Cá nhân'!$AO$8:$AO$502&lt;&gt;""))+SUMPRODUCT(ISNUMBER(SEARCH($B19,'Thông báo'!$B$8:$B$502))*('Thông báo'!$AO$8:$AO$502&lt;&gt;""))+SUMPRODUCT(ISNUMBER(SEARCH($B19,'Đăng tin'!$B$8:$B$502))*('Đăng tin'!$AO$8:$AO$502&lt;&gt;""))+SUMPRODUCT(ISNUMBER(SEARCH($B19,'Trang chủ'!$B$8:$B$502))*('Trang chủ'!$AO$8:$AO$502&lt;&gt;""))+SUMPRODUCT(ISNUMBER(SEARCH($B19,'Bảng tin &amp; Chi tiết tin'!$B$8:$B$502))*('Bảng tin &amp; Chi tiết tin'!$AO$8:$AO$502&lt;&gt;""))+SUMPRODUCT(ISNUMBER(SEARCH($B19,'Theo dõi đơn'!$B$8:$B$502))*('Theo dõi đơn'!$AO$8:$AO$502&lt;&gt;""))+SUMPRODUCT(ISNUMBER(SEARCH($B19,'Huỷ đơn'!$B$8:$B$502))*('Huỷ đơn'!$AO$8:$AO$502&lt;&gt;""))+SUMPRODUCT(ISNUMBER(SEARCH($B19,'Tặng quà'!$B$8:$B$502))*('Tặng quà'!$AO$8:$AO$502&lt;&gt;""))</f>
        <v>0</v>
      </c>
      <c r="G19" s="52" t="n">
        <f aca="false">COUNTIFS('Hoạt động'!$B$8:$B$502,"*"&amp;$B19&amp;"*",'Hoạt động'!$AO$8:$AO$502,"Pass")+COUNTIFS('Cá nhân'!$B$8:$B$502,"*"&amp;$B19&amp;"*",'Cá nhân'!$AO$8:$AO$502,"Pass")+COUNTIFS('Thông báo'!$B$8:$B$502,"*"&amp;$B19&amp;"*",'Thông báo'!$AO$8:$AO$502,"Pass")+COUNTIFS('Đăng tin'!$B$8:$B$502,"*"&amp;$B19&amp;"*",'Đăng tin'!$AO$8:$AO$502,"Pass")+COUNTIFS('Trang chủ'!$B$8:$B$502,"*"&amp;$B19&amp;"*",'Trang chủ'!$AO$8:$AO$502,"Pass")+COUNTIFS('Bảng tin &amp; Chi tiết tin'!$B$8:$B$502,"*"&amp;$B19&amp;"*",'Bảng tin &amp; Chi tiết tin'!$AO$8:$AO$502,"Pass")+COUNTIFS('Theo dõi đơn'!$B$8:$B$502,"*"&amp;$B19&amp;"*",'Theo dõi đơn'!$AO$8:$AO$502,"Pass")+COUNTIFS('Huỷ đơn'!$B$8:$B$502,"*"&amp;$B19&amp;"*",'Huỷ đơn'!$AO$8:$AO$502,"Pass")+COUNTIFS('Tặng quà'!$B$8:$B$502,"*"&amp;$B19&amp;"*",'Tặng quà'!$AO$8:$AO$502,"Pass")</f>
        <v>0</v>
      </c>
      <c r="H19" s="52" t="n">
        <f aca="false">COUNTIFS('Hoạt động'!$B$8:$B$502,"*"&amp;$B19&amp;"*",'Hoạt động'!$AO$8:$AO$502,"Fail")+COUNTIFS('Cá nhân'!$B$8:$B$502,"*"&amp;$B19&amp;"*",'Cá nhân'!$AO$8:$AO$502,"Fail")+COUNTIFS('Thông báo'!$B$8:$B$502,"*"&amp;$B19&amp;"*",'Thông báo'!$AO$8:$AO$502,"Fail")+COUNTIFS('Đăng tin'!$B$8:$B$502,"*"&amp;$B19&amp;"*",'Đăng tin'!$AO$8:$AO$502,"Fail")+COUNTIFS('Trang chủ'!$B$8:$B$502,"*"&amp;$B19&amp;"*",'Trang chủ'!$AO$8:$AO$502,"Fail")+COUNTIFS('Bảng tin &amp; Chi tiết tin'!$B$8:$B$502,"*"&amp;$B19&amp;"*",'Bảng tin &amp; Chi tiết tin'!$AO$8:$AO$502,"Fail")+COUNTIFS('Theo dõi đơn'!$B$8:$B$502,"*"&amp;$B19&amp;"*",'Theo dõi đơn'!$AO$8:$AO$502,"Fail")+COUNTIFS('Huỷ đơn'!$B$8:$B$502,"*"&amp;$B19&amp;"*",'Huỷ đơn'!$AO$8:$AO$502,"Fail")+COUNTIFS('Tặng quà'!$B$8:$B$502,"*"&amp;$B19&amp;"*",'Tặng quà'!$AO$8:$AO$502,"Fail")</f>
        <v>0</v>
      </c>
      <c r="I19" s="53" t="n">
        <f aca="false">IFERROR(F19/E19,0)</f>
        <v>0</v>
      </c>
      <c r="J19" s="123" t="str">
        <f aca="false">IF(E19=0,"Chưa có TC (gap)",IF(H19&gt;0,"Có lỗi (Fail)",IF(F19&gt;=E19,"Đã test xong","Đang test")))</f>
        <v>Đang test</v>
      </c>
    </row>
    <row r="20" customFormat="false" ht="15" hidden="false" customHeight="true" outlineLevel="0" collapsed="false">
      <c r="B20" s="178" t="s">
        <v>529</v>
      </c>
      <c r="C20" s="54" t="s">
        <v>530</v>
      </c>
      <c r="D20" s="123" t="s">
        <v>531</v>
      </c>
      <c r="E20" s="52" t="n">
        <f aca="false">COUNTIF('Hoạt động'!$B$8:$B$502,"*"&amp;$B20&amp;"*")+COUNTIF('Cá nhân'!$B$8:$B$502,"*"&amp;$B20&amp;"*")+COUNTIF('Thông báo'!$B$8:$B$502,"*"&amp;$B20&amp;"*")+COUNTIF('Đăng tin'!$B$8:$B$502,"*"&amp;$B20&amp;"*")+COUNTIF('Trang chủ'!$B$8:$B$502,"*"&amp;$B20&amp;"*")+COUNTIF('Bảng tin &amp; Chi tiết tin'!$B$8:$B$502,"*"&amp;$B20&amp;"*")+COUNTIF('Theo dõi đơn'!$B$8:$B$502,"*"&amp;$B20&amp;"*")+COUNTIF('Huỷ đơn'!$B$8:$B$502,"*"&amp;$B20&amp;"*")+COUNTIF('Tặng quà'!$B$8:$B$502,"*"&amp;$B20&amp;"*")</f>
        <v>9</v>
      </c>
      <c r="F20" s="52" t="n">
        <f aca="false">SUMPRODUCT(ISNUMBER(SEARCH($B20,'Hoạt động'!$B$8:$B$502))*('Hoạt động'!$AO$8:$AO$502&lt;&gt;""))+SUMPRODUCT(ISNUMBER(SEARCH($B20,'Cá nhân'!$B$8:$B$502))*('Cá nhân'!$AO$8:$AO$502&lt;&gt;""))+SUMPRODUCT(ISNUMBER(SEARCH($B20,'Thông báo'!$B$8:$B$502))*('Thông báo'!$AO$8:$AO$502&lt;&gt;""))+SUMPRODUCT(ISNUMBER(SEARCH($B20,'Đăng tin'!$B$8:$B$502))*('Đăng tin'!$AO$8:$AO$502&lt;&gt;""))+SUMPRODUCT(ISNUMBER(SEARCH($B20,'Trang chủ'!$B$8:$B$502))*('Trang chủ'!$AO$8:$AO$502&lt;&gt;""))+SUMPRODUCT(ISNUMBER(SEARCH($B20,'Bảng tin &amp; Chi tiết tin'!$B$8:$B$502))*('Bảng tin &amp; Chi tiết tin'!$AO$8:$AO$502&lt;&gt;""))+SUMPRODUCT(ISNUMBER(SEARCH($B20,'Theo dõi đơn'!$B$8:$B$502))*('Theo dõi đơn'!$AO$8:$AO$502&lt;&gt;""))+SUMPRODUCT(ISNUMBER(SEARCH($B20,'Huỷ đơn'!$B$8:$B$502))*('Huỷ đơn'!$AO$8:$AO$502&lt;&gt;""))+SUMPRODUCT(ISNUMBER(SEARCH($B20,'Tặng quà'!$B$8:$B$502))*('Tặng quà'!$AO$8:$AO$502&lt;&gt;""))</f>
        <v>0</v>
      </c>
      <c r="G20" s="52" t="n">
        <f aca="false">COUNTIFS('Hoạt động'!$B$8:$B$502,"*"&amp;$B20&amp;"*",'Hoạt động'!$AO$8:$AO$502,"Pass")+COUNTIFS('Cá nhân'!$B$8:$B$502,"*"&amp;$B20&amp;"*",'Cá nhân'!$AO$8:$AO$502,"Pass")+COUNTIFS('Thông báo'!$B$8:$B$502,"*"&amp;$B20&amp;"*",'Thông báo'!$AO$8:$AO$502,"Pass")+COUNTIFS('Đăng tin'!$B$8:$B$502,"*"&amp;$B20&amp;"*",'Đăng tin'!$AO$8:$AO$502,"Pass")+COUNTIFS('Trang chủ'!$B$8:$B$502,"*"&amp;$B20&amp;"*",'Trang chủ'!$AO$8:$AO$502,"Pass")+COUNTIFS('Bảng tin &amp; Chi tiết tin'!$B$8:$B$502,"*"&amp;$B20&amp;"*",'Bảng tin &amp; Chi tiết tin'!$AO$8:$AO$502,"Pass")+COUNTIFS('Theo dõi đơn'!$B$8:$B$502,"*"&amp;$B20&amp;"*",'Theo dõi đơn'!$AO$8:$AO$502,"Pass")+COUNTIFS('Huỷ đơn'!$B$8:$B$502,"*"&amp;$B20&amp;"*",'Huỷ đơn'!$AO$8:$AO$502,"Pass")+COUNTIFS('Tặng quà'!$B$8:$B$502,"*"&amp;$B20&amp;"*",'Tặng quà'!$AO$8:$AO$502,"Pass")</f>
        <v>0</v>
      </c>
      <c r="H20" s="52" t="n">
        <f aca="false">COUNTIFS('Hoạt động'!$B$8:$B$502,"*"&amp;$B20&amp;"*",'Hoạt động'!$AO$8:$AO$502,"Fail")+COUNTIFS('Cá nhân'!$B$8:$B$502,"*"&amp;$B20&amp;"*",'Cá nhân'!$AO$8:$AO$502,"Fail")+COUNTIFS('Thông báo'!$B$8:$B$502,"*"&amp;$B20&amp;"*",'Thông báo'!$AO$8:$AO$502,"Fail")+COUNTIFS('Đăng tin'!$B$8:$B$502,"*"&amp;$B20&amp;"*",'Đăng tin'!$AO$8:$AO$502,"Fail")+COUNTIFS('Trang chủ'!$B$8:$B$502,"*"&amp;$B20&amp;"*",'Trang chủ'!$AO$8:$AO$502,"Fail")+COUNTIFS('Bảng tin &amp; Chi tiết tin'!$B$8:$B$502,"*"&amp;$B20&amp;"*",'Bảng tin &amp; Chi tiết tin'!$AO$8:$AO$502,"Fail")+COUNTIFS('Theo dõi đơn'!$B$8:$B$502,"*"&amp;$B20&amp;"*",'Theo dõi đơn'!$AO$8:$AO$502,"Fail")+COUNTIFS('Huỷ đơn'!$B$8:$B$502,"*"&amp;$B20&amp;"*",'Huỷ đơn'!$AO$8:$AO$502,"Fail")+COUNTIFS('Tặng quà'!$B$8:$B$502,"*"&amp;$B20&amp;"*",'Tặng quà'!$AO$8:$AO$502,"Fail")</f>
        <v>0</v>
      </c>
      <c r="I20" s="53" t="n">
        <f aca="false">IFERROR(F20/E20,0)</f>
        <v>0</v>
      </c>
      <c r="J20" s="123" t="str">
        <f aca="false">IF(E20=0,"Chưa có TC (gap)",IF(H20&gt;0,"Có lỗi (Fail)",IF(F20&gt;=E20,"Đã test xong","Đang test")))</f>
        <v>Đang test</v>
      </c>
    </row>
    <row r="21" customFormat="false" ht="15.75" hidden="false" customHeight="true" outlineLevel="0" collapsed="false">
      <c r="B21" s="178" t="s">
        <v>532</v>
      </c>
      <c r="C21" s="54" t="s">
        <v>533</v>
      </c>
      <c r="D21" s="123" t="s">
        <v>534</v>
      </c>
      <c r="E21" s="52" t="n">
        <f aca="false">COUNTIF('Hoạt động'!$B$8:$B$502,"*"&amp;$B21&amp;"*")+COUNTIF('Cá nhân'!$B$8:$B$502,"*"&amp;$B21&amp;"*")+COUNTIF('Thông báo'!$B$8:$B$502,"*"&amp;$B21&amp;"*")+COUNTIF('Đăng tin'!$B$8:$B$502,"*"&amp;$B21&amp;"*")+COUNTIF('Trang chủ'!$B$8:$B$502,"*"&amp;$B21&amp;"*")+COUNTIF('Bảng tin &amp; Chi tiết tin'!$B$8:$B$502,"*"&amp;$B21&amp;"*")+COUNTIF('Theo dõi đơn'!$B$8:$B$502,"*"&amp;$B21&amp;"*")+COUNTIF('Huỷ đơn'!$B$8:$B$502,"*"&amp;$B21&amp;"*")+COUNTIF('Tặng quà'!$B$8:$B$502,"*"&amp;$B21&amp;"*")</f>
        <v>2</v>
      </c>
      <c r="F21" s="52" t="n">
        <f aca="false">SUMPRODUCT(ISNUMBER(SEARCH($B21,'Hoạt động'!$B$8:$B$502))*('Hoạt động'!$AO$8:$AO$502&lt;&gt;""))+SUMPRODUCT(ISNUMBER(SEARCH($B21,'Cá nhân'!$B$8:$B$502))*('Cá nhân'!$AO$8:$AO$502&lt;&gt;""))+SUMPRODUCT(ISNUMBER(SEARCH($B21,'Thông báo'!$B$8:$B$502))*('Thông báo'!$AO$8:$AO$502&lt;&gt;""))+SUMPRODUCT(ISNUMBER(SEARCH($B21,'Đăng tin'!$B$8:$B$502))*('Đăng tin'!$AO$8:$AO$502&lt;&gt;""))+SUMPRODUCT(ISNUMBER(SEARCH($B21,'Trang chủ'!$B$8:$B$502))*('Trang chủ'!$AO$8:$AO$502&lt;&gt;""))+SUMPRODUCT(ISNUMBER(SEARCH($B21,'Bảng tin &amp; Chi tiết tin'!$B$8:$B$502))*('Bảng tin &amp; Chi tiết tin'!$AO$8:$AO$502&lt;&gt;""))+SUMPRODUCT(ISNUMBER(SEARCH($B21,'Theo dõi đơn'!$B$8:$B$502))*('Theo dõi đơn'!$AO$8:$AO$502&lt;&gt;""))+SUMPRODUCT(ISNUMBER(SEARCH($B21,'Huỷ đơn'!$B$8:$B$502))*('Huỷ đơn'!$AO$8:$AO$502&lt;&gt;""))+SUMPRODUCT(ISNUMBER(SEARCH($B21,'Tặng quà'!$B$8:$B$502))*('Tặng quà'!$AO$8:$AO$502&lt;&gt;""))</f>
        <v>0</v>
      </c>
      <c r="G21" s="52" t="n">
        <f aca="false">COUNTIFS('Hoạt động'!$B$8:$B$502,"*"&amp;$B21&amp;"*",'Hoạt động'!$AO$8:$AO$502,"Pass")+COUNTIFS('Cá nhân'!$B$8:$B$502,"*"&amp;$B21&amp;"*",'Cá nhân'!$AO$8:$AO$502,"Pass")+COUNTIFS('Thông báo'!$B$8:$B$502,"*"&amp;$B21&amp;"*",'Thông báo'!$AO$8:$AO$502,"Pass")+COUNTIFS('Đăng tin'!$B$8:$B$502,"*"&amp;$B21&amp;"*",'Đăng tin'!$AO$8:$AO$502,"Pass")+COUNTIFS('Trang chủ'!$B$8:$B$502,"*"&amp;$B21&amp;"*",'Trang chủ'!$AO$8:$AO$502,"Pass")+COUNTIFS('Bảng tin &amp; Chi tiết tin'!$B$8:$B$502,"*"&amp;$B21&amp;"*",'Bảng tin &amp; Chi tiết tin'!$AO$8:$AO$502,"Pass")+COUNTIFS('Theo dõi đơn'!$B$8:$B$502,"*"&amp;$B21&amp;"*",'Theo dõi đơn'!$AO$8:$AO$502,"Pass")+COUNTIFS('Huỷ đơn'!$B$8:$B$502,"*"&amp;$B21&amp;"*",'Huỷ đơn'!$AO$8:$AO$502,"Pass")+COUNTIFS('Tặng quà'!$B$8:$B$502,"*"&amp;$B21&amp;"*",'Tặng quà'!$AO$8:$AO$502,"Pass")</f>
        <v>0</v>
      </c>
      <c r="H21" s="52" t="n">
        <f aca="false">COUNTIFS('Hoạt động'!$B$8:$B$502,"*"&amp;$B21&amp;"*",'Hoạt động'!$AO$8:$AO$502,"Fail")+COUNTIFS('Cá nhân'!$B$8:$B$502,"*"&amp;$B21&amp;"*",'Cá nhân'!$AO$8:$AO$502,"Fail")+COUNTIFS('Thông báo'!$B$8:$B$502,"*"&amp;$B21&amp;"*",'Thông báo'!$AO$8:$AO$502,"Fail")+COUNTIFS('Đăng tin'!$B$8:$B$502,"*"&amp;$B21&amp;"*",'Đăng tin'!$AO$8:$AO$502,"Fail")+COUNTIFS('Trang chủ'!$B$8:$B$502,"*"&amp;$B21&amp;"*",'Trang chủ'!$AO$8:$AO$502,"Fail")+COUNTIFS('Bảng tin &amp; Chi tiết tin'!$B$8:$B$502,"*"&amp;$B21&amp;"*",'Bảng tin &amp; Chi tiết tin'!$AO$8:$AO$502,"Fail")+COUNTIFS('Theo dõi đơn'!$B$8:$B$502,"*"&amp;$B21&amp;"*",'Theo dõi đơn'!$AO$8:$AO$502,"Fail")+COUNTIFS('Huỷ đơn'!$B$8:$B$502,"*"&amp;$B21&amp;"*",'Huỷ đơn'!$AO$8:$AO$502,"Fail")+COUNTIFS('Tặng quà'!$B$8:$B$502,"*"&amp;$B21&amp;"*",'Tặng quà'!$AO$8:$AO$502,"Fail")</f>
        <v>0</v>
      </c>
      <c r="I21" s="53" t="n">
        <f aca="false">IFERROR(F21/E21,0)</f>
        <v>0</v>
      </c>
      <c r="J21" s="123" t="str">
        <f aca="false">IF(E21=0,"Chưa có TC (gap)",IF(H21&gt;0,"Có lỗi (Fail)",IF(F21&gt;=E21,"Đã test xong","Đang test")))</f>
        <v>Đang test</v>
      </c>
    </row>
    <row r="22" customFormat="false" ht="15.75" hidden="false" customHeight="true" outlineLevel="0" collapsed="false">
      <c r="B22" s="178" t="s">
        <v>535</v>
      </c>
      <c r="C22" s="54" t="s">
        <v>536</v>
      </c>
      <c r="D22" s="123" t="s">
        <v>537</v>
      </c>
      <c r="E22" s="52" t="n">
        <f aca="false">COUNTIF('Hoạt động'!$B$8:$B$502,"*"&amp;$B22&amp;"*")+COUNTIF('Cá nhân'!$B$8:$B$502,"*"&amp;$B22&amp;"*")+COUNTIF('Thông báo'!$B$8:$B$502,"*"&amp;$B22&amp;"*")+COUNTIF('Đăng tin'!$B$8:$B$502,"*"&amp;$B22&amp;"*")+COUNTIF('Trang chủ'!$B$8:$B$502,"*"&amp;$B22&amp;"*")+COUNTIF('Bảng tin &amp; Chi tiết tin'!$B$8:$B$502,"*"&amp;$B22&amp;"*")+COUNTIF('Theo dõi đơn'!$B$8:$B$502,"*"&amp;$B22&amp;"*")+COUNTIF('Huỷ đơn'!$B$8:$B$502,"*"&amp;$B22&amp;"*")+COUNTIF('Tặng quà'!$B$8:$B$502,"*"&amp;$B22&amp;"*")</f>
        <v>13</v>
      </c>
      <c r="F22" s="52" t="n">
        <f aca="false">SUMPRODUCT(ISNUMBER(SEARCH($B22,'Hoạt động'!$B$8:$B$502))*('Hoạt động'!$AO$8:$AO$502&lt;&gt;""))+SUMPRODUCT(ISNUMBER(SEARCH($B22,'Cá nhân'!$B$8:$B$502))*('Cá nhân'!$AO$8:$AO$502&lt;&gt;""))+SUMPRODUCT(ISNUMBER(SEARCH($B22,'Thông báo'!$B$8:$B$502))*('Thông báo'!$AO$8:$AO$502&lt;&gt;""))+SUMPRODUCT(ISNUMBER(SEARCH($B22,'Đăng tin'!$B$8:$B$502))*('Đăng tin'!$AO$8:$AO$502&lt;&gt;""))+SUMPRODUCT(ISNUMBER(SEARCH($B22,'Trang chủ'!$B$8:$B$502))*('Trang chủ'!$AO$8:$AO$502&lt;&gt;""))+SUMPRODUCT(ISNUMBER(SEARCH($B22,'Bảng tin &amp; Chi tiết tin'!$B$8:$B$502))*('Bảng tin &amp; Chi tiết tin'!$AO$8:$AO$502&lt;&gt;""))+SUMPRODUCT(ISNUMBER(SEARCH($B22,'Theo dõi đơn'!$B$8:$B$502))*('Theo dõi đơn'!$AO$8:$AO$502&lt;&gt;""))+SUMPRODUCT(ISNUMBER(SEARCH($B22,'Huỷ đơn'!$B$8:$B$502))*('Huỷ đơn'!$AO$8:$AO$502&lt;&gt;""))+SUMPRODUCT(ISNUMBER(SEARCH($B22,'Tặng quà'!$B$8:$B$502))*('Tặng quà'!$AO$8:$AO$502&lt;&gt;""))</f>
        <v>0</v>
      </c>
      <c r="G22" s="52" t="n">
        <f aca="false">COUNTIFS('Hoạt động'!$B$8:$B$502,"*"&amp;$B22&amp;"*",'Hoạt động'!$AO$8:$AO$502,"Pass")+COUNTIFS('Cá nhân'!$B$8:$B$502,"*"&amp;$B22&amp;"*",'Cá nhân'!$AO$8:$AO$502,"Pass")+COUNTIFS('Thông báo'!$B$8:$B$502,"*"&amp;$B22&amp;"*",'Thông báo'!$AO$8:$AO$502,"Pass")+COUNTIFS('Đăng tin'!$B$8:$B$502,"*"&amp;$B22&amp;"*",'Đăng tin'!$AO$8:$AO$502,"Pass")+COUNTIFS('Trang chủ'!$B$8:$B$502,"*"&amp;$B22&amp;"*",'Trang chủ'!$AO$8:$AO$502,"Pass")+COUNTIFS('Bảng tin &amp; Chi tiết tin'!$B$8:$B$502,"*"&amp;$B22&amp;"*",'Bảng tin &amp; Chi tiết tin'!$AO$8:$AO$502,"Pass")+COUNTIFS('Theo dõi đơn'!$B$8:$B$502,"*"&amp;$B22&amp;"*",'Theo dõi đơn'!$AO$8:$AO$502,"Pass")+COUNTIFS('Huỷ đơn'!$B$8:$B$502,"*"&amp;$B22&amp;"*",'Huỷ đơn'!$AO$8:$AO$502,"Pass")+COUNTIFS('Tặng quà'!$B$8:$B$502,"*"&amp;$B22&amp;"*",'Tặng quà'!$AO$8:$AO$502,"Pass")</f>
        <v>0</v>
      </c>
      <c r="H22" s="52" t="n">
        <f aca="false">COUNTIFS('Hoạt động'!$B$8:$B$502,"*"&amp;$B22&amp;"*",'Hoạt động'!$AO$8:$AO$502,"Fail")+COUNTIFS('Cá nhân'!$B$8:$B$502,"*"&amp;$B22&amp;"*",'Cá nhân'!$AO$8:$AO$502,"Fail")+COUNTIFS('Thông báo'!$B$8:$B$502,"*"&amp;$B22&amp;"*",'Thông báo'!$AO$8:$AO$502,"Fail")+COUNTIFS('Đăng tin'!$B$8:$B$502,"*"&amp;$B22&amp;"*",'Đăng tin'!$AO$8:$AO$502,"Fail")+COUNTIFS('Trang chủ'!$B$8:$B$502,"*"&amp;$B22&amp;"*",'Trang chủ'!$AO$8:$AO$502,"Fail")+COUNTIFS('Bảng tin &amp; Chi tiết tin'!$B$8:$B$502,"*"&amp;$B22&amp;"*",'Bảng tin &amp; Chi tiết tin'!$AO$8:$AO$502,"Fail")+COUNTIFS('Theo dõi đơn'!$B$8:$B$502,"*"&amp;$B22&amp;"*",'Theo dõi đơn'!$AO$8:$AO$502,"Fail")+COUNTIFS('Huỷ đơn'!$B$8:$B$502,"*"&amp;$B22&amp;"*",'Huỷ đơn'!$AO$8:$AO$502,"Fail")+COUNTIFS('Tặng quà'!$B$8:$B$502,"*"&amp;$B22&amp;"*",'Tặng quà'!$AO$8:$AO$502,"Fail")</f>
        <v>0</v>
      </c>
      <c r="I22" s="53" t="n">
        <f aca="false">IFERROR(F22/E22,0)</f>
        <v>0</v>
      </c>
      <c r="J22" s="123" t="str">
        <f aca="false">IF(E22=0,"Chưa có TC (gap)",IF(H22&gt;0,"Có lỗi (Fail)",IF(F22&gt;=E22,"Đã test xong","Đang test")))</f>
        <v>Đang test</v>
      </c>
    </row>
    <row r="23" customFormat="false" ht="15.75" hidden="false" customHeight="true" outlineLevel="0" collapsed="false">
      <c r="B23" s="178" t="s">
        <v>538</v>
      </c>
      <c r="C23" s="54" t="s">
        <v>539</v>
      </c>
      <c r="D23" s="123" t="s">
        <v>540</v>
      </c>
      <c r="E23" s="52" t="n">
        <f aca="false">COUNTIF('Hoạt động'!$B$8:$B$502,"*"&amp;$B23&amp;"*")+COUNTIF('Cá nhân'!$B$8:$B$502,"*"&amp;$B23&amp;"*")+COUNTIF('Thông báo'!$B$8:$B$502,"*"&amp;$B23&amp;"*")+COUNTIF('Đăng tin'!$B$8:$B$502,"*"&amp;$B23&amp;"*")+COUNTIF('Trang chủ'!$B$8:$B$502,"*"&amp;$B23&amp;"*")+COUNTIF('Bảng tin &amp; Chi tiết tin'!$B$8:$B$502,"*"&amp;$B23&amp;"*")+COUNTIF('Theo dõi đơn'!$B$8:$B$502,"*"&amp;$B23&amp;"*")+COUNTIF('Huỷ đơn'!$B$8:$B$502,"*"&amp;$B23&amp;"*")+COUNTIF('Tặng quà'!$B$8:$B$502,"*"&amp;$B23&amp;"*")</f>
        <v>3</v>
      </c>
      <c r="F23" s="52" t="n">
        <f aca="false">SUMPRODUCT(ISNUMBER(SEARCH($B23,'Hoạt động'!$B$8:$B$502))*('Hoạt động'!$AO$8:$AO$502&lt;&gt;""))+SUMPRODUCT(ISNUMBER(SEARCH($B23,'Cá nhân'!$B$8:$B$502))*('Cá nhân'!$AO$8:$AO$502&lt;&gt;""))+SUMPRODUCT(ISNUMBER(SEARCH($B23,'Thông báo'!$B$8:$B$502))*('Thông báo'!$AO$8:$AO$502&lt;&gt;""))+SUMPRODUCT(ISNUMBER(SEARCH($B23,'Đăng tin'!$B$8:$B$502))*('Đăng tin'!$AO$8:$AO$502&lt;&gt;""))+SUMPRODUCT(ISNUMBER(SEARCH($B23,'Trang chủ'!$B$8:$B$502))*('Trang chủ'!$AO$8:$AO$502&lt;&gt;""))+SUMPRODUCT(ISNUMBER(SEARCH($B23,'Bảng tin &amp; Chi tiết tin'!$B$8:$B$502))*('Bảng tin &amp; Chi tiết tin'!$AO$8:$AO$502&lt;&gt;""))+SUMPRODUCT(ISNUMBER(SEARCH($B23,'Theo dõi đơn'!$B$8:$B$502))*('Theo dõi đơn'!$AO$8:$AO$502&lt;&gt;""))+SUMPRODUCT(ISNUMBER(SEARCH($B23,'Huỷ đơn'!$B$8:$B$502))*('Huỷ đơn'!$AO$8:$AO$502&lt;&gt;""))+SUMPRODUCT(ISNUMBER(SEARCH($B23,'Tặng quà'!$B$8:$B$502))*('Tặng quà'!$AO$8:$AO$502&lt;&gt;""))</f>
        <v>0</v>
      </c>
      <c r="G23" s="52" t="n">
        <f aca="false">COUNTIFS('Hoạt động'!$B$8:$B$502,"*"&amp;$B23&amp;"*",'Hoạt động'!$AO$8:$AO$502,"Pass")+COUNTIFS('Cá nhân'!$B$8:$B$502,"*"&amp;$B23&amp;"*",'Cá nhân'!$AO$8:$AO$502,"Pass")+COUNTIFS('Thông báo'!$B$8:$B$502,"*"&amp;$B23&amp;"*",'Thông báo'!$AO$8:$AO$502,"Pass")+COUNTIFS('Đăng tin'!$B$8:$B$502,"*"&amp;$B23&amp;"*",'Đăng tin'!$AO$8:$AO$502,"Pass")+COUNTIFS('Trang chủ'!$B$8:$B$502,"*"&amp;$B23&amp;"*",'Trang chủ'!$AO$8:$AO$502,"Pass")+COUNTIFS('Bảng tin &amp; Chi tiết tin'!$B$8:$B$502,"*"&amp;$B23&amp;"*",'Bảng tin &amp; Chi tiết tin'!$AO$8:$AO$502,"Pass")+COUNTIFS('Theo dõi đơn'!$B$8:$B$502,"*"&amp;$B23&amp;"*",'Theo dõi đơn'!$AO$8:$AO$502,"Pass")+COUNTIFS('Huỷ đơn'!$B$8:$B$502,"*"&amp;$B23&amp;"*",'Huỷ đơn'!$AO$8:$AO$502,"Pass")+COUNTIFS('Tặng quà'!$B$8:$B$502,"*"&amp;$B23&amp;"*",'Tặng quà'!$AO$8:$AO$502,"Pass")</f>
        <v>0</v>
      </c>
      <c r="H23" s="52" t="n">
        <f aca="false">COUNTIFS('Hoạt động'!$B$8:$B$502,"*"&amp;$B23&amp;"*",'Hoạt động'!$AO$8:$AO$502,"Fail")+COUNTIFS('Cá nhân'!$B$8:$B$502,"*"&amp;$B23&amp;"*",'Cá nhân'!$AO$8:$AO$502,"Fail")+COUNTIFS('Thông báo'!$B$8:$B$502,"*"&amp;$B23&amp;"*",'Thông báo'!$AO$8:$AO$502,"Fail")+COUNTIFS('Đăng tin'!$B$8:$B$502,"*"&amp;$B23&amp;"*",'Đăng tin'!$AO$8:$AO$502,"Fail")+COUNTIFS('Trang chủ'!$B$8:$B$502,"*"&amp;$B23&amp;"*",'Trang chủ'!$AO$8:$AO$502,"Fail")+COUNTIFS('Bảng tin &amp; Chi tiết tin'!$B$8:$B$502,"*"&amp;$B23&amp;"*",'Bảng tin &amp; Chi tiết tin'!$AO$8:$AO$502,"Fail")+COUNTIFS('Theo dõi đơn'!$B$8:$B$502,"*"&amp;$B23&amp;"*",'Theo dõi đơn'!$AO$8:$AO$502,"Fail")+COUNTIFS('Huỷ đơn'!$B$8:$B$502,"*"&amp;$B23&amp;"*",'Huỷ đơn'!$AO$8:$AO$502,"Fail")+COUNTIFS('Tặng quà'!$B$8:$B$502,"*"&amp;$B23&amp;"*",'Tặng quà'!$AO$8:$AO$502,"Fail")</f>
        <v>0</v>
      </c>
      <c r="I23" s="53" t="n">
        <f aca="false">IFERROR(F23/E23,0)</f>
        <v>0</v>
      </c>
      <c r="J23" s="123" t="str">
        <f aca="false">IF(E23=0,"Chưa có TC (gap)",IF(H23&gt;0,"Có lỗi (Fail)",IF(F23&gt;=E23,"Đã test xong","Đang test")))</f>
        <v>Đang test</v>
      </c>
    </row>
    <row r="24" customFormat="false" ht="15.75" hidden="false" customHeight="true" outlineLevel="0" collapsed="false">
      <c r="B24" s="178" t="s">
        <v>541</v>
      </c>
      <c r="C24" s="54" t="s">
        <v>542</v>
      </c>
      <c r="D24" s="123" t="s">
        <v>543</v>
      </c>
      <c r="E24" s="52" t="n">
        <f aca="false">COUNTIF('Hoạt động'!$B$8:$B$502,"*"&amp;$B24&amp;"*")+COUNTIF('Cá nhân'!$B$8:$B$502,"*"&amp;$B24&amp;"*")+COUNTIF('Thông báo'!$B$8:$B$502,"*"&amp;$B24&amp;"*")+COUNTIF('Đăng tin'!$B$8:$B$502,"*"&amp;$B24&amp;"*")+COUNTIF('Trang chủ'!$B$8:$B$502,"*"&amp;$B24&amp;"*")+COUNTIF('Bảng tin &amp; Chi tiết tin'!$B$8:$B$502,"*"&amp;$B24&amp;"*")+COUNTIF('Theo dõi đơn'!$B$8:$B$502,"*"&amp;$B24&amp;"*")+COUNTIF('Huỷ đơn'!$B$8:$B$502,"*"&amp;$B24&amp;"*")+COUNTIF('Tặng quà'!$B$8:$B$502,"*"&amp;$B24&amp;"*")</f>
        <v>2</v>
      </c>
      <c r="F24" s="52" t="n">
        <f aca="false">SUMPRODUCT(ISNUMBER(SEARCH($B24,'Hoạt động'!$B$8:$B$502))*('Hoạt động'!$AO$8:$AO$502&lt;&gt;""))+SUMPRODUCT(ISNUMBER(SEARCH($B24,'Cá nhân'!$B$8:$B$502))*('Cá nhân'!$AO$8:$AO$502&lt;&gt;""))+SUMPRODUCT(ISNUMBER(SEARCH($B24,'Thông báo'!$B$8:$B$502))*('Thông báo'!$AO$8:$AO$502&lt;&gt;""))+SUMPRODUCT(ISNUMBER(SEARCH($B24,'Đăng tin'!$B$8:$B$502))*('Đăng tin'!$AO$8:$AO$502&lt;&gt;""))+SUMPRODUCT(ISNUMBER(SEARCH($B24,'Trang chủ'!$B$8:$B$502))*('Trang chủ'!$AO$8:$AO$502&lt;&gt;""))+SUMPRODUCT(ISNUMBER(SEARCH($B24,'Bảng tin &amp; Chi tiết tin'!$B$8:$B$502))*('Bảng tin &amp; Chi tiết tin'!$AO$8:$AO$502&lt;&gt;""))+SUMPRODUCT(ISNUMBER(SEARCH($B24,'Theo dõi đơn'!$B$8:$B$502))*('Theo dõi đơn'!$AO$8:$AO$502&lt;&gt;""))+SUMPRODUCT(ISNUMBER(SEARCH($B24,'Huỷ đơn'!$B$8:$B$502))*('Huỷ đơn'!$AO$8:$AO$502&lt;&gt;""))+SUMPRODUCT(ISNUMBER(SEARCH($B24,'Tặng quà'!$B$8:$B$502))*('Tặng quà'!$AO$8:$AO$502&lt;&gt;""))</f>
        <v>0</v>
      </c>
      <c r="G24" s="52" t="n">
        <f aca="false">COUNTIFS('Hoạt động'!$B$8:$B$502,"*"&amp;$B24&amp;"*",'Hoạt động'!$AO$8:$AO$502,"Pass")+COUNTIFS('Cá nhân'!$B$8:$B$502,"*"&amp;$B24&amp;"*",'Cá nhân'!$AO$8:$AO$502,"Pass")+COUNTIFS('Thông báo'!$B$8:$B$502,"*"&amp;$B24&amp;"*",'Thông báo'!$AO$8:$AO$502,"Pass")+COUNTIFS('Đăng tin'!$B$8:$B$502,"*"&amp;$B24&amp;"*",'Đăng tin'!$AO$8:$AO$502,"Pass")+COUNTIFS('Trang chủ'!$B$8:$B$502,"*"&amp;$B24&amp;"*",'Trang chủ'!$AO$8:$AO$502,"Pass")+COUNTIFS('Bảng tin &amp; Chi tiết tin'!$B$8:$B$502,"*"&amp;$B24&amp;"*",'Bảng tin &amp; Chi tiết tin'!$AO$8:$AO$502,"Pass")+COUNTIFS('Theo dõi đơn'!$B$8:$B$502,"*"&amp;$B24&amp;"*",'Theo dõi đơn'!$AO$8:$AO$502,"Pass")+COUNTIFS('Huỷ đơn'!$B$8:$B$502,"*"&amp;$B24&amp;"*",'Huỷ đơn'!$AO$8:$AO$502,"Pass")+COUNTIFS('Tặng quà'!$B$8:$B$502,"*"&amp;$B24&amp;"*",'Tặng quà'!$AO$8:$AO$502,"Pass")</f>
        <v>0</v>
      </c>
      <c r="H24" s="52" t="n">
        <f aca="false">COUNTIFS('Hoạt động'!$B$8:$B$502,"*"&amp;$B24&amp;"*",'Hoạt động'!$AO$8:$AO$502,"Fail")+COUNTIFS('Cá nhân'!$B$8:$B$502,"*"&amp;$B24&amp;"*",'Cá nhân'!$AO$8:$AO$502,"Fail")+COUNTIFS('Thông báo'!$B$8:$B$502,"*"&amp;$B24&amp;"*",'Thông báo'!$AO$8:$AO$502,"Fail")+COUNTIFS('Đăng tin'!$B$8:$B$502,"*"&amp;$B24&amp;"*",'Đăng tin'!$AO$8:$AO$502,"Fail")+COUNTIFS('Trang chủ'!$B$8:$B$502,"*"&amp;$B24&amp;"*",'Trang chủ'!$AO$8:$AO$502,"Fail")+COUNTIFS('Bảng tin &amp; Chi tiết tin'!$B$8:$B$502,"*"&amp;$B24&amp;"*",'Bảng tin &amp; Chi tiết tin'!$AO$8:$AO$502,"Fail")+COUNTIFS('Theo dõi đơn'!$B$8:$B$502,"*"&amp;$B24&amp;"*",'Theo dõi đơn'!$AO$8:$AO$502,"Fail")+COUNTIFS('Huỷ đơn'!$B$8:$B$502,"*"&amp;$B24&amp;"*",'Huỷ đơn'!$AO$8:$AO$502,"Fail")+COUNTIFS('Tặng quà'!$B$8:$B$502,"*"&amp;$B24&amp;"*",'Tặng quà'!$AO$8:$AO$502,"Fail")</f>
        <v>0</v>
      </c>
      <c r="I24" s="53" t="n">
        <f aca="false">IFERROR(F24/E24,0)</f>
        <v>0</v>
      </c>
      <c r="J24" s="123" t="str">
        <f aca="false">IF(E24=0,"Chưa có TC (gap)",IF(H24&gt;0,"Có lỗi (Fail)",IF(F24&gt;=E24,"Đã test xong","Đang test")))</f>
        <v>Đang test</v>
      </c>
    </row>
    <row r="25" customFormat="false" ht="15.75" hidden="false" customHeight="true" outlineLevel="0" collapsed="false">
      <c r="B25" s="178" t="s">
        <v>544</v>
      </c>
      <c r="C25" s="54" t="s">
        <v>545</v>
      </c>
      <c r="D25" s="123" t="s">
        <v>546</v>
      </c>
      <c r="E25" s="52" t="n">
        <f aca="false">COUNTIF('Hoạt động'!$B$8:$B$502,"*"&amp;$B25&amp;"*")+COUNTIF('Cá nhân'!$B$8:$B$502,"*"&amp;$B25&amp;"*")+COUNTIF('Thông báo'!$B$8:$B$502,"*"&amp;$B25&amp;"*")+COUNTIF('Đăng tin'!$B$8:$B$502,"*"&amp;$B25&amp;"*")+COUNTIF('Trang chủ'!$B$8:$B$502,"*"&amp;$B25&amp;"*")+COUNTIF('Bảng tin &amp; Chi tiết tin'!$B$8:$B$502,"*"&amp;$B25&amp;"*")+COUNTIF('Theo dõi đơn'!$B$8:$B$502,"*"&amp;$B25&amp;"*")+COUNTIF('Huỷ đơn'!$B$8:$B$502,"*"&amp;$B25&amp;"*")+COUNTIF('Tặng quà'!$B$8:$B$502,"*"&amp;$B25&amp;"*")</f>
        <v>52</v>
      </c>
      <c r="F25" s="52" t="n">
        <f aca="false">SUMPRODUCT(ISNUMBER(SEARCH($B25,'Hoạt động'!$B$8:$B$502))*('Hoạt động'!$AO$8:$AO$502&lt;&gt;""))+SUMPRODUCT(ISNUMBER(SEARCH($B25,'Cá nhân'!$B$8:$B$502))*('Cá nhân'!$AO$8:$AO$502&lt;&gt;""))+SUMPRODUCT(ISNUMBER(SEARCH($B25,'Thông báo'!$B$8:$B$502))*('Thông báo'!$AO$8:$AO$502&lt;&gt;""))+SUMPRODUCT(ISNUMBER(SEARCH($B25,'Đăng tin'!$B$8:$B$502))*('Đăng tin'!$AO$8:$AO$502&lt;&gt;""))+SUMPRODUCT(ISNUMBER(SEARCH($B25,'Trang chủ'!$B$8:$B$502))*('Trang chủ'!$AO$8:$AO$502&lt;&gt;""))+SUMPRODUCT(ISNUMBER(SEARCH($B25,'Bảng tin &amp; Chi tiết tin'!$B$8:$B$502))*('Bảng tin &amp; Chi tiết tin'!$AO$8:$AO$502&lt;&gt;""))+SUMPRODUCT(ISNUMBER(SEARCH($B25,'Theo dõi đơn'!$B$8:$B$502))*('Theo dõi đơn'!$AO$8:$AO$502&lt;&gt;""))+SUMPRODUCT(ISNUMBER(SEARCH($B25,'Huỷ đơn'!$B$8:$B$502))*('Huỷ đơn'!$AO$8:$AO$502&lt;&gt;""))+SUMPRODUCT(ISNUMBER(SEARCH($B25,'Tặng quà'!$B$8:$B$502))*('Tặng quà'!$AO$8:$AO$502&lt;&gt;""))</f>
        <v>7</v>
      </c>
      <c r="G25" s="52" t="n">
        <f aca="false">COUNTIFS('Hoạt động'!$B$8:$B$502,"*"&amp;$B25&amp;"*",'Hoạt động'!$AO$8:$AO$502,"Pass")+COUNTIFS('Cá nhân'!$B$8:$B$502,"*"&amp;$B25&amp;"*",'Cá nhân'!$AO$8:$AO$502,"Pass")+COUNTIFS('Thông báo'!$B$8:$B$502,"*"&amp;$B25&amp;"*",'Thông báo'!$AO$8:$AO$502,"Pass")+COUNTIFS('Đăng tin'!$B$8:$B$502,"*"&amp;$B25&amp;"*",'Đăng tin'!$AO$8:$AO$502,"Pass")+COUNTIFS('Trang chủ'!$B$8:$B$502,"*"&amp;$B25&amp;"*",'Trang chủ'!$AO$8:$AO$502,"Pass")+COUNTIFS('Bảng tin &amp; Chi tiết tin'!$B$8:$B$502,"*"&amp;$B25&amp;"*",'Bảng tin &amp; Chi tiết tin'!$AO$8:$AO$502,"Pass")+COUNTIFS('Theo dõi đơn'!$B$8:$B$502,"*"&amp;$B25&amp;"*",'Theo dõi đơn'!$AO$8:$AO$502,"Pass")+COUNTIFS('Huỷ đơn'!$B$8:$B$502,"*"&amp;$B25&amp;"*",'Huỷ đơn'!$AO$8:$AO$502,"Pass")+COUNTIFS('Tặng quà'!$B$8:$B$502,"*"&amp;$B25&amp;"*",'Tặng quà'!$AO$8:$AO$502,"Pass")</f>
        <v>3</v>
      </c>
      <c r="H25" s="52" t="n">
        <f aca="false">COUNTIFS('Hoạt động'!$B$8:$B$502,"*"&amp;$B25&amp;"*",'Hoạt động'!$AO$8:$AO$502,"Fail")+COUNTIFS('Cá nhân'!$B$8:$B$502,"*"&amp;$B25&amp;"*",'Cá nhân'!$AO$8:$AO$502,"Fail")+COUNTIFS('Thông báo'!$B$8:$B$502,"*"&amp;$B25&amp;"*",'Thông báo'!$AO$8:$AO$502,"Fail")+COUNTIFS('Đăng tin'!$B$8:$B$502,"*"&amp;$B25&amp;"*",'Đăng tin'!$AO$8:$AO$502,"Fail")+COUNTIFS('Trang chủ'!$B$8:$B$502,"*"&amp;$B25&amp;"*",'Trang chủ'!$AO$8:$AO$502,"Fail")+COUNTIFS('Bảng tin &amp; Chi tiết tin'!$B$8:$B$502,"*"&amp;$B25&amp;"*",'Bảng tin &amp; Chi tiết tin'!$AO$8:$AO$502,"Fail")+COUNTIFS('Theo dõi đơn'!$B$8:$B$502,"*"&amp;$B25&amp;"*",'Theo dõi đơn'!$AO$8:$AO$502,"Fail")+COUNTIFS('Huỷ đơn'!$B$8:$B$502,"*"&amp;$B25&amp;"*",'Huỷ đơn'!$AO$8:$AO$502,"Fail")+COUNTIFS('Tặng quà'!$B$8:$B$502,"*"&amp;$B25&amp;"*",'Tặng quà'!$AO$8:$AO$502,"Fail")</f>
        <v>4</v>
      </c>
      <c r="I25" s="53" t="n">
        <f aca="false">IFERROR(F25/E25,0)</f>
        <v>0.134615384615385</v>
      </c>
      <c r="J25" s="123" t="str">
        <f aca="false">IF(E25=0,"Chưa có TC (gap)",IF(H25&gt;0,"Có lỗi (Fail)",IF(F25&gt;=E25,"Đã test xong","Đang test")))</f>
        <v>Có lỗi (Fail)</v>
      </c>
    </row>
    <row r="26" customFormat="false" ht="15.75" hidden="false" customHeight="true" outlineLevel="0" collapsed="false">
      <c r="B26" s="178" t="s">
        <v>547</v>
      </c>
      <c r="C26" s="54" t="s">
        <v>548</v>
      </c>
      <c r="D26" s="123" t="s">
        <v>549</v>
      </c>
      <c r="E26" s="52" t="n">
        <f aca="false">COUNTIF('Hoạt động'!$B$8:$B$502,"*"&amp;$B26&amp;"*")+COUNTIF('Cá nhân'!$B$8:$B$502,"*"&amp;$B26&amp;"*")+COUNTIF('Thông báo'!$B$8:$B$502,"*"&amp;$B26&amp;"*")+COUNTIF('Đăng tin'!$B$8:$B$502,"*"&amp;$B26&amp;"*")+COUNTIF('Trang chủ'!$B$8:$B$502,"*"&amp;$B26&amp;"*")+COUNTIF('Bảng tin &amp; Chi tiết tin'!$B$8:$B$502,"*"&amp;$B26&amp;"*")+COUNTIF('Theo dõi đơn'!$B$8:$B$502,"*"&amp;$B26&amp;"*")+COUNTIF('Huỷ đơn'!$B$8:$B$502,"*"&amp;$B26&amp;"*")+COUNTIF('Tặng quà'!$B$8:$B$502,"*"&amp;$B26&amp;"*")</f>
        <v>11</v>
      </c>
      <c r="F26" s="52" t="n">
        <f aca="false">SUMPRODUCT(ISNUMBER(SEARCH($B26,'Hoạt động'!$B$8:$B$502))*('Hoạt động'!$AO$8:$AO$502&lt;&gt;""))+SUMPRODUCT(ISNUMBER(SEARCH($B26,'Cá nhân'!$B$8:$B$502))*('Cá nhân'!$AO$8:$AO$502&lt;&gt;""))+SUMPRODUCT(ISNUMBER(SEARCH($B26,'Thông báo'!$B$8:$B$502))*('Thông báo'!$AO$8:$AO$502&lt;&gt;""))+SUMPRODUCT(ISNUMBER(SEARCH($B26,'Đăng tin'!$B$8:$B$502))*('Đăng tin'!$AO$8:$AO$502&lt;&gt;""))+SUMPRODUCT(ISNUMBER(SEARCH($B26,'Trang chủ'!$B$8:$B$502))*('Trang chủ'!$AO$8:$AO$502&lt;&gt;""))+SUMPRODUCT(ISNUMBER(SEARCH($B26,'Bảng tin &amp; Chi tiết tin'!$B$8:$B$502))*('Bảng tin &amp; Chi tiết tin'!$AO$8:$AO$502&lt;&gt;""))+SUMPRODUCT(ISNUMBER(SEARCH($B26,'Theo dõi đơn'!$B$8:$B$502))*('Theo dõi đơn'!$AO$8:$AO$502&lt;&gt;""))+SUMPRODUCT(ISNUMBER(SEARCH($B26,'Huỷ đơn'!$B$8:$B$502))*('Huỷ đơn'!$AO$8:$AO$502&lt;&gt;""))+SUMPRODUCT(ISNUMBER(SEARCH($B26,'Tặng quà'!$B$8:$B$502))*('Tặng quà'!$AO$8:$AO$502&lt;&gt;""))</f>
        <v>1</v>
      </c>
      <c r="G26" s="52" t="n">
        <f aca="false">COUNTIFS('Hoạt động'!$B$8:$B$502,"*"&amp;$B26&amp;"*",'Hoạt động'!$AO$8:$AO$502,"Pass")+COUNTIFS('Cá nhân'!$B$8:$B$502,"*"&amp;$B26&amp;"*",'Cá nhân'!$AO$8:$AO$502,"Pass")+COUNTIFS('Thông báo'!$B$8:$B$502,"*"&amp;$B26&amp;"*",'Thông báo'!$AO$8:$AO$502,"Pass")+COUNTIFS('Đăng tin'!$B$8:$B$502,"*"&amp;$B26&amp;"*",'Đăng tin'!$AO$8:$AO$502,"Pass")+COUNTIFS('Trang chủ'!$B$8:$B$502,"*"&amp;$B26&amp;"*",'Trang chủ'!$AO$8:$AO$502,"Pass")+COUNTIFS('Bảng tin &amp; Chi tiết tin'!$B$8:$B$502,"*"&amp;$B26&amp;"*",'Bảng tin &amp; Chi tiết tin'!$AO$8:$AO$502,"Pass")+COUNTIFS('Theo dõi đơn'!$B$8:$B$502,"*"&amp;$B26&amp;"*",'Theo dõi đơn'!$AO$8:$AO$502,"Pass")+COUNTIFS('Huỷ đơn'!$B$8:$B$502,"*"&amp;$B26&amp;"*",'Huỷ đơn'!$AO$8:$AO$502,"Pass")+COUNTIFS('Tặng quà'!$B$8:$B$502,"*"&amp;$B26&amp;"*",'Tặng quà'!$AO$8:$AO$502,"Pass")</f>
        <v>1</v>
      </c>
      <c r="H26" s="52" t="n">
        <f aca="false">COUNTIFS('Hoạt động'!$B$8:$B$502,"*"&amp;$B26&amp;"*",'Hoạt động'!$AO$8:$AO$502,"Fail")+COUNTIFS('Cá nhân'!$B$8:$B$502,"*"&amp;$B26&amp;"*",'Cá nhân'!$AO$8:$AO$502,"Fail")+COUNTIFS('Thông báo'!$B$8:$B$502,"*"&amp;$B26&amp;"*",'Thông báo'!$AO$8:$AO$502,"Fail")+COUNTIFS('Đăng tin'!$B$8:$B$502,"*"&amp;$B26&amp;"*",'Đăng tin'!$AO$8:$AO$502,"Fail")+COUNTIFS('Trang chủ'!$B$8:$B$502,"*"&amp;$B26&amp;"*",'Trang chủ'!$AO$8:$AO$502,"Fail")+COUNTIFS('Bảng tin &amp; Chi tiết tin'!$B$8:$B$502,"*"&amp;$B26&amp;"*",'Bảng tin &amp; Chi tiết tin'!$AO$8:$AO$502,"Fail")+COUNTIFS('Theo dõi đơn'!$B$8:$B$502,"*"&amp;$B26&amp;"*",'Theo dõi đơn'!$AO$8:$AO$502,"Fail")+COUNTIFS('Huỷ đơn'!$B$8:$B$502,"*"&amp;$B26&amp;"*",'Huỷ đơn'!$AO$8:$AO$502,"Fail")+COUNTIFS('Tặng quà'!$B$8:$B$502,"*"&amp;$B26&amp;"*",'Tặng quà'!$AO$8:$AO$502,"Fail")</f>
        <v>0</v>
      </c>
      <c r="I26" s="53" t="n">
        <f aca="false">IFERROR(F26/E26,0)</f>
        <v>0.0909090909090909</v>
      </c>
      <c r="J26" s="123" t="str">
        <f aca="false">IF(E26=0,"Chưa có TC (gap)",IF(H26&gt;0,"Có lỗi (Fail)",IF(F26&gt;=E26,"Đã test xong","Đang test")))</f>
        <v>Đang test</v>
      </c>
    </row>
    <row r="27" customFormat="false" ht="15.75" hidden="false" customHeight="true" outlineLevel="0" collapsed="false">
      <c r="B27" s="178" t="s">
        <v>550</v>
      </c>
      <c r="C27" s="54" t="s">
        <v>551</v>
      </c>
      <c r="D27" s="123" t="s">
        <v>552</v>
      </c>
      <c r="E27" s="52" t="n">
        <f aca="false">COUNTIF('Hoạt động'!$B$8:$B$502,"*"&amp;$B27&amp;"*")+COUNTIF('Cá nhân'!$B$8:$B$502,"*"&amp;$B27&amp;"*")+COUNTIF('Thông báo'!$B$8:$B$502,"*"&amp;$B27&amp;"*")+COUNTIF('Đăng tin'!$B$8:$B$502,"*"&amp;$B27&amp;"*")+COUNTIF('Trang chủ'!$B$8:$B$502,"*"&amp;$B27&amp;"*")+COUNTIF('Bảng tin &amp; Chi tiết tin'!$B$8:$B$502,"*"&amp;$B27&amp;"*")+COUNTIF('Theo dõi đơn'!$B$8:$B$502,"*"&amp;$B27&amp;"*")+COUNTIF('Huỷ đơn'!$B$8:$B$502,"*"&amp;$B27&amp;"*")+COUNTIF('Tặng quà'!$B$8:$B$502,"*"&amp;$B27&amp;"*")</f>
        <v>10</v>
      </c>
      <c r="F27" s="52" t="n">
        <f aca="false">SUMPRODUCT(ISNUMBER(SEARCH($B27,'Hoạt động'!$B$8:$B$502))*('Hoạt động'!$AO$8:$AO$502&lt;&gt;""))+SUMPRODUCT(ISNUMBER(SEARCH($B27,'Cá nhân'!$B$8:$B$502))*('Cá nhân'!$AO$8:$AO$502&lt;&gt;""))+SUMPRODUCT(ISNUMBER(SEARCH($B27,'Thông báo'!$B$8:$B$502))*('Thông báo'!$AO$8:$AO$502&lt;&gt;""))+SUMPRODUCT(ISNUMBER(SEARCH($B27,'Đăng tin'!$B$8:$B$502))*('Đăng tin'!$AO$8:$AO$502&lt;&gt;""))+SUMPRODUCT(ISNUMBER(SEARCH($B27,'Trang chủ'!$B$8:$B$502))*('Trang chủ'!$AO$8:$AO$502&lt;&gt;""))+SUMPRODUCT(ISNUMBER(SEARCH($B27,'Bảng tin &amp; Chi tiết tin'!$B$8:$B$502))*('Bảng tin &amp; Chi tiết tin'!$AO$8:$AO$502&lt;&gt;""))+SUMPRODUCT(ISNUMBER(SEARCH($B27,'Theo dõi đơn'!$B$8:$B$502))*('Theo dõi đơn'!$AO$8:$AO$502&lt;&gt;""))+SUMPRODUCT(ISNUMBER(SEARCH($B27,'Huỷ đơn'!$B$8:$B$502))*('Huỷ đơn'!$AO$8:$AO$502&lt;&gt;""))+SUMPRODUCT(ISNUMBER(SEARCH($B27,'Tặng quà'!$B$8:$B$502))*('Tặng quà'!$AO$8:$AO$502&lt;&gt;""))</f>
        <v>3</v>
      </c>
      <c r="G27" s="52" t="n">
        <f aca="false">COUNTIFS('Hoạt động'!$B$8:$B$502,"*"&amp;$B27&amp;"*",'Hoạt động'!$AO$8:$AO$502,"Pass")+COUNTIFS('Cá nhân'!$B$8:$B$502,"*"&amp;$B27&amp;"*",'Cá nhân'!$AO$8:$AO$502,"Pass")+COUNTIFS('Thông báo'!$B$8:$B$502,"*"&amp;$B27&amp;"*",'Thông báo'!$AO$8:$AO$502,"Pass")+COUNTIFS('Đăng tin'!$B$8:$B$502,"*"&amp;$B27&amp;"*",'Đăng tin'!$AO$8:$AO$502,"Pass")+COUNTIFS('Trang chủ'!$B$8:$B$502,"*"&amp;$B27&amp;"*",'Trang chủ'!$AO$8:$AO$502,"Pass")+COUNTIFS('Bảng tin &amp; Chi tiết tin'!$B$8:$B$502,"*"&amp;$B27&amp;"*",'Bảng tin &amp; Chi tiết tin'!$AO$8:$AO$502,"Pass")+COUNTIFS('Theo dõi đơn'!$B$8:$B$502,"*"&amp;$B27&amp;"*",'Theo dõi đơn'!$AO$8:$AO$502,"Pass")+COUNTIFS('Huỷ đơn'!$B$8:$B$502,"*"&amp;$B27&amp;"*",'Huỷ đơn'!$AO$8:$AO$502,"Pass")+COUNTIFS('Tặng quà'!$B$8:$B$502,"*"&amp;$B27&amp;"*",'Tặng quà'!$AO$8:$AO$502,"Pass")</f>
        <v>0</v>
      </c>
      <c r="H27" s="52" t="n">
        <f aca="false">COUNTIFS('Hoạt động'!$B$8:$B$502,"*"&amp;$B27&amp;"*",'Hoạt động'!$AO$8:$AO$502,"Fail")+COUNTIFS('Cá nhân'!$B$8:$B$502,"*"&amp;$B27&amp;"*",'Cá nhân'!$AO$8:$AO$502,"Fail")+COUNTIFS('Thông báo'!$B$8:$B$502,"*"&amp;$B27&amp;"*",'Thông báo'!$AO$8:$AO$502,"Fail")+COUNTIFS('Đăng tin'!$B$8:$B$502,"*"&amp;$B27&amp;"*",'Đăng tin'!$AO$8:$AO$502,"Fail")+COUNTIFS('Trang chủ'!$B$8:$B$502,"*"&amp;$B27&amp;"*",'Trang chủ'!$AO$8:$AO$502,"Fail")+COUNTIFS('Bảng tin &amp; Chi tiết tin'!$B$8:$B$502,"*"&amp;$B27&amp;"*",'Bảng tin &amp; Chi tiết tin'!$AO$8:$AO$502,"Fail")+COUNTIFS('Theo dõi đơn'!$B$8:$B$502,"*"&amp;$B27&amp;"*",'Theo dõi đơn'!$AO$8:$AO$502,"Fail")+COUNTIFS('Huỷ đơn'!$B$8:$B$502,"*"&amp;$B27&amp;"*",'Huỷ đơn'!$AO$8:$AO$502,"Fail")+COUNTIFS('Tặng quà'!$B$8:$B$502,"*"&amp;$B27&amp;"*",'Tặng quà'!$AO$8:$AO$502,"Fail")</f>
        <v>0</v>
      </c>
      <c r="I27" s="53" t="n">
        <f aca="false">IFERROR(F27/E27,0)</f>
        <v>0.3</v>
      </c>
      <c r="J27" s="123" t="str">
        <f aca="false">IF(E27=0,"Chưa có TC (gap)",IF(H27&gt;0,"Có lỗi (Fail)",IF(F27&gt;=E27,"Đã test xong","Đang test")))</f>
        <v>Đang test</v>
      </c>
    </row>
    <row r="28" customFormat="false" ht="15.75" hidden="false" customHeight="true" outlineLevel="0" collapsed="false">
      <c r="B28" s="178" t="s">
        <v>553</v>
      </c>
      <c r="C28" s="54" t="s">
        <v>554</v>
      </c>
      <c r="D28" s="123" t="s">
        <v>555</v>
      </c>
      <c r="E28" s="52" t="n">
        <f aca="false">COUNTIF('Hoạt động'!$B$8:$B$502,"*"&amp;$B28&amp;"*")+COUNTIF('Cá nhân'!$B$8:$B$502,"*"&amp;$B28&amp;"*")+COUNTIF('Thông báo'!$B$8:$B$502,"*"&amp;$B28&amp;"*")+COUNTIF('Đăng tin'!$B$8:$B$502,"*"&amp;$B28&amp;"*")+COUNTIF('Trang chủ'!$B$8:$B$502,"*"&amp;$B28&amp;"*")+COUNTIF('Bảng tin &amp; Chi tiết tin'!$B$8:$B$502,"*"&amp;$B28&amp;"*")+COUNTIF('Theo dõi đơn'!$B$8:$B$502,"*"&amp;$B28&amp;"*")+COUNTIF('Huỷ đơn'!$B$8:$B$502,"*"&amp;$B28&amp;"*")+COUNTIF('Tặng quà'!$B$8:$B$502,"*"&amp;$B28&amp;"*")</f>
        <v>6</v>
      </c>
      <c r="F28" s="52" t="n">
        <f aca="false">SUMPRODUCT(ISNUMBER(SEARCH($B28,'Hoạt động'!$B$8:$B$502))*('Hoạt động'!$AO$8:$AO$502&lt;&gt;""))+SUMPRODUCT(ISNUMBER(SEARCH($B28,'Cá nhân'!$B$8:$B$502))*('Cá nhân'!$AO$8:$AO$502&lt;&gt;""))+SUMPRODUCT(ISNUMBER(SEARCH($B28,'Thông báo'!$B$8:$B$502))*('Thông báo'!$AO$8:$AO$502&lt;&gt;""))+SUMPRODUCT(ISNUMBER(SEARCH($B28,'Đăng tin'!$B$8:$B$502))*('Đăng tin'!$AO$8:$AO$502&lt;&gt;""))+SUMPRODUCT(ISNUMBER(SEARCH($B28,'Trang chủ'!$B$8:$B$502))*('Trang chủ'!$AO$8:$AO$502&lt;&gt;""))+SUMPRODUCT(ISNUMBER(SEARCH($B28,'Bảng tin &amp; Chi tiết tin'!$B$8:$B$502))*('Bảng tin &amp; Chi tiết tin'!$AO$8:$AO$502&lt;&gt;""))+SUMPRODUCT(ISNUMBER(SEARCH($B28,'Theo dõi đơn'!$B$8:$B$502))*('Theo dõi đơn'!$AO$8:$AO$502&lt;&gt;""))+SUMPRODUCT(ISNUMBER(SEARCH($B28,'Huỷ đơn'!$B$8:$B$502))*('Huỷ đơn'!$AO$8:$AO$502&lt;&gt;""))+SUMPRODUCT(ISNUMBER(SEARCH($B28,'Tặng quà'!$B$8:$B$502))*('Tặng quà'!$AO$8:$AO$502&lt;&gt;""))</f>
        <v>0</v>
      </c>
      <c r="G28" s="52" t="n">
        <f aca="false">COUNTIFS('Hoạt động'!$B$8:$B$502,"*"&amp;$B28&amp;"*",'Hoạt động'!$AO$8:$AO$502,"Pass")+COUNTIFS('Cá nhân'!$B$8:$B$502,"*"&amp;$B28&amp;"*",'Cá nhân'!$AO$8:$AO$502,"Pass")+COUNTIFS('Thông báo'!$B$8:$B$502,"*"&amp;$B28&amp;"*",'Thông báo'!$AO$8:$AO$502,"Pass")+COUNTIFS('Đăng tin'!$B$8:$B$502,"*"&amp;$B28&amp;"*",'Đăng tin'!$AO$8:$AO$502,"Pass")+COUNTIFS('Trang chủ'!$B$8:$B$502,"*"&amp;$B28&amp;"*",'Trang chủ'!$AO$8:$AO$502,"Pass")+COUNTIFS('Bảng tin &amp; Chi tiết tin'!$B$8:$B$502,"*"&amp;$B28&amp;"*",'Bảng tin &amp; Chi tiết tin'!$AO$8:$AO$502,"Pass")+COUNTIFS('Theo dõi đơn'!$B$8:$B$502,"*"&amp;$B28&amp;"*",'Theo dõi đơn'!$AO$8:$AO$502,"Pass")+COUNTIFS('Huỷ đơn'!$B$8:$B$502,"*"&amp;$B28&amp;"*",'Huỷ đơn'!$AO$8:$AO$502,"Pass")+COUNTIFS('Tặng quà'!$B$8:$B$502,"*"&amp;$B28&amp;"*",'Tặng quà'!$AO$8:$AO$502,"Pass")</f>
        <v>0</v>
      </c>
      <c r="H28" s="52" t="n">
        <f aca="false">COUNTIFS('Hoạt động'!$B$8:$B$502,"*"&amp;$B28&amp;"*",'Hoạt động'!$AO$8:$AO$502,"Fail")+COUNTIFS('Cá nhân'!$B$8:$B$502,"*"&amp;$B28&amp;"*",'Cá nhân'!$AO$8:$AO$502,"Fail")+COUNTIFS('Thông báo'!$B$8:$B$502,"*"&amp;$B28&amp;"*",'Thông báo'!$AO$8:$AO$502,"Fail")+COUNTIFS('Đăng tin'!$B$8:$B$502,"*"&amp;$B28&amp;"*",'Đăng tin'!$AO$8:$AO$502,"Fail")+COUNTIFS('Trang chủ'!$B$8:$B$502,"*"&amp;$B28&amp;"*",'Trang chủ'!$AO$8:$AO$502,"Fail")+COUNTIFS('Bảng tin &amp; Chi tiết tin'!$B$8:$B$502,"*"&amp;$B28&amp;"*",'Bảng tin &amp; Chi tiết tin'!$AO$8:$AO$502,"Fail")+COUNTIFS('Theo dõi đơn'!$B$8:$B$502,"*"&amp;$B28&amp;"*",'Theo dõi đơn'!$AO$8:$AO$502,"Fail")+COUNTIFS('Huỷ đơn'!$B$8:$B$502,"*"&amp;$B28&amp;"*",'Huỷ đơn'!$AO$8:$AO$502,"Fail")+COUNTIFS('Tặng quà'!$B$8:$B$502,"*"&amp;$B28&amp;"*",'Tặng quà'!$AO$8:$AO$502,"Fail")</f>
        <v>0</v>
      </c>
      <c r="I28" s="53" t="n">
        <f aca="false">IFERROR(F28/E28,0)</f>
        <v>0</v>
      </c>
      <c r="J28" s="123" t="str">
        <f aca="false">IF(E28=0,"Chưa có TC (gap)",IF(H28&gt;0,"Có lỗi (Fail)",IF(F28&gt;=E28,"Đã test xong","Đang test")))</f>
        <v>Đang test</v>
      </c>
    </row>
    <row r="29" customFormat="false" ht="15" hidden="false" customHeight="true" outlineLevel="0" collapsed="false">
      <c r="B29" s="178" t="s">
        <v>556</v>
      </c>
      <c r="C29" s="54" t="s">
        <v>557</v>
      </c>
      <c r="D29" s="123" t="s">
        <v>504</v>
      </c>
      <c r="E29" s="52" t="n">
        <f aca="false">COUNTIF('Hoạt động'!$B$8:$B$502,"*"&amp;$B29&amp;"*")+COUNTIF('Cá nhân'!$B$8:$B$502,"*"&amp;$B29&amp;"*")+COUNTIF('Thông báo'!$B$8:$B$502,"*"&amp;$B29&amp;"*")+COUNTIF('Đăng tin'!$B$8:$B$502,"*"&amp;$B29&amp;"*")+COUNTIF('Trang chủ'!$B$8:$B$502,"*"&amp;$B29&amp;"*")+COUNTIF('Bảng tin &amp; Chi tiết tin'!$B$8:$B$502,"*"&amp;$B29&amp;"*")+COUNTIF('Theo dõi đơn'!$B$8:$B$502,"*"&amp;$B29&amp;"*")+COUNTIF('Huỷ đơn'!$B$8:$B$502,"*"&amp;$B29&amp;"*")+COUNTIF('Tặng quà'!$B$8:$B$502,"*"&amp;$B29&amp;"*")</f>
        <v>13</v>
      </c>
      <c r="F29" s="52" t="n">
        <f aca="false">SUMPRODUCT(ISNUMBER(SEARCH($B29,'Hoạt động'!$B$8:$B$502))*('Hoạt động'!$AO$8:$AO$502&lt;&gt;""))+SUMPRODUCT(ISNUMBER(SEARCH($B29,'Cá nhân'!$B$8:$B$502))*('Cá nhân'!$AO$8:$AO$502&lt;&gt;""))+SUMPRODUCT(ISNUMBER(SEARCH($B29,'Thông báo'!$B$8:$B$502))*('Thông báo'!$AO$8:$AO$502&lt;&gt;""))+SUMPRODUCT(ISNUMBER(SEARCH($B29,'Đăng tin'!$B$8:$B$502))*('Đăng tin'!$AO$8:$AO$502&lt;&gt;""))+SUMPRODUCT(ISNUMBER(SEARCH($B29,'Trang chủ'!$B$8:$B$502))*('Trang chủ'!$AO$8:$AO$502&lt;&gt;""))+SUMPRODUCT(ISNUMBER(SEARCH($B29,'Bảng tin &amp; Chi tiết tin'!$B$8:$B$502))*('Bảng tin &amp; Chi tiết tin'!$AO$8:$AO$502&lt;&gt;""))+SUMPRODUCT(ISNUMBER(SEARCH($B29,'Theo dõi đơn'!$B$8:$B$502))*('Theo dõi đơn'!$AO$8:$AO$502&lt;&gt;""))+SUMPRODUCT(ISNUMBER(SEARCH($B29,'Huỷ đơn'!$B$8:$B$502))*('Huỷ đơn'!$AO$8:$AO$502&lt;&gt;""))+SUMPRODUCT(ISNUMBER(SEARCH($B29,'Tặng quà'!$B$8:$B$502))*('Tặng quà'!$AO$8:$AO$502&lt;&gt;""))</f>
        <v>0</v>
      </c>
      <c r="G29" s="52" t="n">
        <f aca="false">COUNTIFS('Hoạt động'!$B$8:$B$502,"*"&amp;$B29&amp;"*",'Hoạt động'!$AO$8:$AO$502,"Pass")+COUNTIFS('Cá nhân'!$B$8:$B$502,"*"&amp;$B29&amp;"*",'Cá nhân'!$AO$8:$AO$502,"Pass")+COUNTIFS('Thông báo'!$B$8:$B$502,"*"&amp;$B29&amp;"*",'Thông báo'!$AO$8:$AO$502,"Pass")+COUNTIFS('Đăng tin'!$B$8:$B$502,"*"&amp;$B29&amp;"*",'Đăng tin'!$AO$8:$AO$502,"Pass")+COUNTIFS('Trang chủ'!$B$8:$B$502,"*"&amp;$B29&amp;"*",'Trang chủ'!$AO$8:$AO$502,"Pass")+COUNTIFS('Bảng tin &amp; Chi tiết tin'!$B$8:$B$502,"*"&amp;$B29&amp;"*",'Bảng tin &amp; Chi tiết tin'!$AO$8:$AO$502,"Pass")+COUNTIFS('Theo dõi đơn'!$B$8:$B$502,"*"&amp;$B29&amp;"*",'Theo dõi đơn'!$AO$8:$AO$502,"Pass")+COUNTIFS('Huỷ đơn'!$B$8:$B$502,"*"&amp;$B29&amp;"*",'Huỷ đơn'!$AO$8:$AO$502,"Pass")+COUNTIFS('Tặng quà'!$B$8:$B$502,"*"&amp;$B29&amp;"*",'Tặng quà'!$AO$8:$AO$502,"Pass")</f>
        <v>0</v>
      </c>
      <c r="H29" s="52" t="n">
        <f aca="false">COUNTIFS('Hoạt động'!$B$8:$B$502,"*"&amp;$B29&amp;"*",'Hoạt động'!$AO$8:$AO$502,"Fail")+COUNTIFS('Cá nhân'!$B$8:$B$502,"*"&amp;$B29&amp;"*",'Cá nhân'!$AO$8:$AO$502,"Fail")+COUNTIFS('Thông báo'!$B$8:$B$502,"*"&amp;$B29&amp;"*",'Thông báo'!$AO$8:$AO$502,"Fail")+COUNTIFS('Đăng tin'!$B$8:$B$502,"*"&amp;$B29&amp;"*",'Đăng tin'!$AO$8:$AO$502,"Fail")+COUNTIFS('Trang chủ'!$B$8:$B$502,"*"&amp;$B29&amp;"*",'Trang chủ'!$AO$8:$AO$502,"Fail")+COUNTIFS('Bảng tin &amp; Chi tiết tin'!$B$8:$B$502,"*"&amp;$B29&amp;"*",'Bảng tin &amp; Chi tiết tin'!$AO$8:$AO$502,"Fail")+COUNTIFS('Theo dõi đơn'!$B$8:$B$502,"*"&amp;$B29&amp;"*",'Theo dõi đơn'!$AO$8:$AO$502,"Fail")+COUNTIFS('Huỷ đơn'!$B$8:$B$502,"*"&amp;$B29&amp;"*",'Huỷ đơn'!$AO$8:$AO$502,"Fail")+COUNTIFS('Tặng quà'!$B$8:$B$502,"*"&amp;$B29&amp;"*",'Tặng quà'!$AO$8:$AO$502,"Fail")</f>
        <v>0</v>
      </c>
      <c r="I29" s="53" t="n">
        <f aca="false">IFERROR(F29/E29,0)</f>
        <v>0</v>
      </c>
      <c r="J29" s="123" t="str">
        <f aca="false">IF(E29=0,"Chưa có TC (gap)",IF(H29&gt;0,"Có lỗi (Fail)",IF(F29&gt;=E29,"Đã test xong","Đang test")))</f>
        <v>Đang test</v>
      </c>
    </row>
    <row r="30" customFormat="false" ht="15" hidden="false" customHeight="true" outlineLevel="0" collapsed="false">
      <c r="B30" s="178" t="s">
        <v>558</v>
      </c>
      <c r="C30" s="54" t="s">
        <v>559</v>
      </c>
      <c r="D30" s="123" t="s">
        <v>560</v>
      </c>
      <c r="E30" s="52" t="n">
        <f aca="false">COUNTIF('Hoạt động'!$B$8:$B$502,"*"&amp;$B30&amp;"*")+COUNTIF('Cá nhân'!$B$8:$B$502,"*"&amp;$B30&amp;"*")+COUNTIF('Thông báo'!$B$8:$B$502,"*"&amp;$B30&amp;"*")+COUNTIF('Đăng tin'!$B$8:$B$502,"*"&amp;$B30&amp;"*")+COUNTIF('Trang chủ'!$B$8:$B$502,"*"&amp;$B30&amp;"*")+COUNTIF('Bảng tin &amp; Chi tiết tin'!$B$8:$B$502,"*"&amp;$B30&amp;"*")+COUNTIF('Theo dõi đơn'!$B$8:$B$502,"*"&amp;$B30&amp;"*")+COUNTIF('Huỷ đơn'!$B$8:$B$502,"*"&amp;$B30&amp;"*")+COUNTIF('Tặng quà'!$B$8:$B$502,"*"&amp;$B30&amp;"*")</f>
        <v>2</v>
      </c>
      <c r="F30" s="52" t="n">
        <f aca="false">SUMPRODUCT(ISNUMBER(SEARCH($B30,'Hoạt động'!$B$8:$B$502))*('Hoạt động'!$AO$8:$AO$502&lt;&gt;""))+SUMPRODUCT(ISNUMBER(SEARCH($B30,'Cá nhân'!$B$8:$B$502))*('Cá nhân'!$AO$8:$AO$502&lt;&gt;""))+SUMPRODUCT(ISNUMBER(SEARCH($B30,'Thông báo'!$B$8:$B$502))*('Thông báo'!$AO$8:$AO$502&lt;&gt;""))+SUMPRODUCT(ISNUMBER(SEARCH($B30,'Đăng tin'!$B$8:$B$502))*('Đăng tin'!$AO$8:$AO$502&lt;&gt;""))+SUMPRODUCT(ISNUMBER(SEARCH($B30,'Trang chủ'!$B$8:$B$502))*('Trang chủ'!$AO$8:$AO$502&lt;&gt;""))+SUMPRODUCT(ISNUMBER(SEARCH($B30,'Bảng tin &amp; Chi tiết tin'!$B$8:$B$502))*('Bảng tin &amp; Chi tiết tin'!$AO$8:$AO$502&lt;&gt;""))+SUMPRODUCT(ISNUMBER(SEARCH($B30,'Theo dõi đơn'!$B$8:$B$502))*('Theo dõi đơn'!$AO$8:$AO$502&lt;&gt;""))+SUMPRODUCT(ISNUMBER(SEARCH($B30,'Huỷ đơn'!$B$8:$B$502))*('Huỷ đơn'!$AO$8:$AO$502&lt;&gt;""))+SUMPRODUCT(ISNUMBER(SEARCH($B30,'Tặng quà'!$B$8:$B$502))*('Tặng quà'!$AO$8:$AO$502&lt;&gt;""))</f>
        <v>0</v>
      </c>
      <c r="G30" s="52" t="n">
        <f aca="false">COUNTIFS('Hoạt động'!$B$8:$B$502,"*"&amp;$B30&amp;"*",'Hoạt động'!$AO$8:$AO$502,"Pass")+COUNTIFS('Cá nhân'!$B$8:$B$502,"*"&amp;$B30&amp;"*",'Cá nhân'!$AO$8:$AO$502,"Pass")+COUNTIFS('Thông báo'!$B$8:$B$502,"*"&amp;$B30&amp;"*",'Thông báo'!$AO$8:$AO$502,"Pass")+COUNTIFS('Đăng tin'!$B$8:$B$502,"*"&amp;$B30&amp;"*",'Đăng tin'!$AO$8:$AO$502,"Pass")+COUNTIFS('Trang chủ'!$B$8:$B$502,"*"&amp;$B30&amp;"*",'Trang chủ'!$AO$8:$AO$502,"Pass")+COUNTIFS('Bảng tin &amp; Chi tiết tin'!$B$8:$B$502,"*"&amp;$B30&amp;"*",'Bảng tin &amp; Chi tiết tin'!$AO$8:$AO$502,"Pass")+COUNTIFS('Theo dõi đơn'!$B$8:$B$502,"*"&amp;$B30&amp;"*",'Theo dõi đơn'!$AO$8:$AO$502,"Pass")+COUNTIFS('Huỷ đơn'!$B$8:$B$502,"*"&amp;$B30&amp;"*",'Huỷ đơn'!$AO$8:$AO$502,"Pass")+COUNTIFS('Tặng quà'!$B$8:$B$502,"*"&amp;$B30&amp;"*",'Tặng quà'!$AO$8:$AO$502,"Pass")</f>
        <v>0</v>
      </c>
      <c r="H30" s="52" t="n">
        <f aca="false">COUNTIFS('Hoạt động'!$B$8:$B$502,"*"&amp;$B30&amp;"*",'Hoạt động'!$AO$8:$AO$502,"Fail")+COUNTIFS('Cá nhân'!$B$8:$B$502,"*"&amp;$B30&amp;"*",'Cá nhân'!$AO$8:$AO$502,"Fail")+COUNTIFS('Thông báo'!$B$8:$B$502,"*"&amp;$B30&amp;"*",'Thông báo'!$AO$8:$AO$502,"Fail")+COUNTIFS('Đăng tin'!$B$8:$B$502,"*"&amp;$B30&amp;"*",'Đăng tin'!$AO$8:$AO$502,"Fail")+COUNTIFS('Trang chủ'!$B$8:$B$502,"*"&amp;$B30&amp;"*",'Trang chủ'!$AO$8:$AO$502,"Fail")+COUNTIFS('Bảng tin &amp; Chi tiết tin'!$B$8:$B$502,"*"&amp;$B30&amp;"*",'Bảng tin &amp; Chi tiết tin'!$AO$8:$AO$502,"Fail")+COUNTIFS('Theo dõi đơn'!$B$8:$B$502,"*"&amp;$B30&amp;"*",'Theo dõi đơn'!$AO$8:$AO$502,"Fail")+COUNTIFS('Huỷ đơn'!$B$8:$B$502,"*"&amp;$B30&amp;"*",'Huỷ đơn'!$AO$8:$AO$502,"Fail")+COUNTIFS('Tặng quà'!$B$8:$B$502,"*"&amp;$B30&amp;"*",'Tặng quà'!$AO$8:$AO$502,"Fail")</f>
        <v>0</v>
      </c>
      <c r="I30" s="53" t="n">
        <f aca="false">IFERROR(F30/E30,0)</f>
        <v>0</v>
      </c>
      <c r="J30" s="123" t="str">
        <f aca="false">IF(E30=0,"Chưa có TC (gap)",IF(H30&gt;0,"Có lỗi (Fail)",IF(F30&gt;=E30,"Đã test xong","Đang test")))</f>
        <v>Đang test</v>
      </c>
    </row>
    <row r="31" customFormat="false" ht="15" hidden="false" customHeight="true" outlineLevel="0" collapsed="false">
      <c r="B31" s="178" t="s">
        <v>561</v>
      </c>
      <c r="C31" s="54" t="s">
        <v>562</v>
      </c>
      <c r="D31" s="123" t="s">
        <v>563</v>
      </c>
      <c r="E31" s="52" t="n">
        <f aca="false">COUNTIF('Hoạt động'!$B$8:$B$502,"*"&amp;$B31&amp;"*")+COUNTIF('Cá nhân'!$B$8:$B$502,"*"&amp;$B31&amp;"*")+COUNTIF('Thông báo'!$B$8:$B$502,"*"&amp;$B31&amp;"*")+COUNTIF('Đăng tin'!$B$8:$B$502,"*"&amp;$B31&amp;"*")+COUNTIF('Trang chủ'!$B$8:$B$502,"*"&amp;$B31&amp;"*")+COUNTIF('Bảng tin &amp; Chi tiết tin'!$B$8:$B$502,"*"&amp;$B31&amp;"*")+COUNTIF('Theo dõi đơn'!$B$8:$B$502,"*"&amp;$B31&amp;"*")+COUNTIF('Huỷ đơn'!$B$8:$B$502,"*"&amp;$B31&amp;"*")+COUNTIF('Tặng quà'!$B$8:$B$502,"*"&amp;$B31&amp;"*")</f>
        <v>6</v>
      </c>
      <c r="F31" s="52" t="n">
        <f aca="false">SUMPRODUCT(ISNUMBER(SEARCH($B31,'Hoạt động'!$B$8:$B$502))*('Hoạt động'!$AO$8:$AO$502&lt;&gt;""))+SUMPRODUCT(ISNUMBER(SEARCH($B31,'Cá nhân'!$B$8:$B$502))*('Cá nhân'!$AO$8:$AO$502&lt;&gt;""))+SUMPRODUCT(ISNUMBER(SEARCH($B31,'Thông báo'!$B$8:$B$502))*('Thông báo'!$AO$8:$AO$502&lt;&gt;""))+SUMPRODUCT(ISNUMBER(SEARCH($B31,'Đăng tin'!$B$8:$B$502))*('Đăng tin'!$AO$8:$AO$502&lt;&gt;""))+SUMPRODUCT(ISNUMBER(SEARCH($B31,'Trang chủ'!$B$8:$B$502))*('Trang chủ'!$AO$8:$AO$502&lt;&gt;""))+SUMPRODUCT(ISNUMBER(SEARCH($B31,'Bảng tin &amp; Chi tiết tin'!$B$8:$B$502))*('Bảng tin &amp; Chi tiết tin'!$AO$8:$AO$502&lt;&gt;""))+SUMPRODUCT(ISNUMBER(SEARCH($B31,'Theo dõi đơn'!$B$8:$B$502))*('Theo dõi đơn'!$AO$8:$AO$502&lt;&gt;""))+SUMPRODUCT(ISNUMBER(SEARCH($B31,'Huỷ đơn'!$B$8:$B$502))*('Huỷ đơn'!$AO$8:$AO$502&lt;&gt;""))+SUMPRODUCT(ISNUMBER(SEARCH($B31,'Tặng quà'!$B$8:$B$502))*('Tặng quà'!$AO$8:$AO$502&lt;&gt;""))</f>
        <v>0</v>
      </c>
      <c r="G31" s="52" t="n">
        <f aca="false">COUNTIFS('Hoạt động'!$B$8:$B$502,"*"&amp;$B31&amp;"*",'Hoạt động'!$AO$8:$AO$502,"Pass")+COUNTIFS('Cá nhân'!$B$8:$B$502,"*"&amp;$B31&amp;"*",'Cá nhân'!$AO$8:$AO$502,"Pass")+COUNTIFS('Thông báo'!$B$8:$B$502,"*"&amp;$B31&amp;"*",'Thông báo'!$AO$8:$AO$502,"Pass")+COUNTIFS('Đăng tin'!$B$8:$B$502,"*"&amp;$B31&amp;"*",'Đăng tin'!$AO$8:$AO$502,"Pass")+COUNTIFS('Trang chủ'!$B$8:$B$502,"*"&amp;$B31&amp;"*",'Trang chủ'!$AO$8:$AO$502,"Pass")+COUNTIFS('Bảng tin &amp; Chi tiết tin'!$B$8:$B$502,"*"&amp;$B31&amp;"*",'Bảng tin &amp; Chi tiết tin'!$AO$8:$AO$502,"Pass")+COUNTIFS('Theo dõi đơn'!$B$8:$B$502,"*"&amp;$B31&amp;"*",'Theo dõi đơn'!$AO$8:$AO$502,"Pass")+COUNTIFS('Huỷ đơn'!$B$8:$B$502,"*"&amp;$B31&amp;"*",'Huỷ đơn'!$AO$8:$AO$502,"Pass")+COUNTIFS('Tặng quà'!$B$8:$B$502,"*"&amp;$B31&amp;"*",'Tặng quà'!$AO$8:$AO$502,"Pass")</f>
        <v>0</v>
      </c>
      <c r="H31" s="52" t="n">
        <f aca="false">COUNTIFS('Hoạt động'!$B$8:$B$502,"*"&amp;$B31&amp;"*",'Hoạt động'!$AO$8:$AO$502,"Fail")+COUNTIFS('Cá nhân'!$B$8:$B$502,"*"&amp;$B31&amp;"*",'Cá nhân'!$AO$8:$AO$502,"Fail")+COUNTIFS('Thông báo'!$B$8:$B$502,"*"&amp;$B31&amp;"*",'Thông báo'!$AO$8:$AO$502,"Fail")+COUNTIFS('Đăng tin'!$B$8:$B$502,"*"&amp;$B31&amp;"*",'Đăng tin'!$AO$8:$AO$502,"Fail")+COUNTIFS('Trang chủ'!$B$8:$B$502,"*"&amp;$B31&amp;"*",'Trang chủ'!$AO$8:$AO$502,"Fail")+COUNTIFS('Bảng tin &amp; Chi tiết tin'!$B$8:$B$502,"*"&amp;$B31&amp;"*",'Bảng tin &amp; Chi tiết tin'!$AO$8:$AO$502,"Fail")+COUNTIFS('Theo dõi đơn'!$B$8:$B$502,"*"&amp;$B31&amp;"*",'Theo dõi đơn'!$AO$8:$AO$502,"Fail")+COUNTIFS('Huỷ đơn'!$B$8:$B$502,"*"&amp;$B31&amp;"*",'Huỷ đơn'!$AO$8:$AO$502,"Fail")+COUNTIFS('Tặng quà'!$B$8:$B$502,"*"&amp;$B31&amp;"*",'Tặng quà'!$AO$8:$AO$502,"Fail")</f>
        <v>0</v>
      </c>
      <c r="I31" s="53" t="n">
        <f aca="false">IFERROR(F31/E31,0)</f>
        <v>0</v>
      </c>
      <c r="J31" s="123" t="str">
        <f aca="false">IF(E31=0,"Chưa có TC (gap)",IF(H31&gt;0,"Có lỗi (Fail)",IF(F31&gt;=E31,"Đã test xong","Đang test")))</f>
        <v>Đang test</v>
      </c>
    </row>
    <row r="32" customFormat="false" ht="15" hidden="false" customHeight="true" outlineLevel="0" collapsed="false">
      <c r="B32" s="178" t="s">
        <v>564</v>
      </c>
      <c r="C32" s="54" t="s">
        <v>565</v>
      </c>
      <c r="D32" s="123" t="s">
        <v>566</v>
      </c>
      <c r="E32" s="52" t="n">
        <f aca="false">COUNTIF('Hoạt động'!$B$8:$B$502,"*"&amp;$B32&amp;"*")+COUNTIF('Cá nhân'!$B$8:$B$502,"*"&amp;$B32&amp;"*")+COUNTIF('Thông báo'!$B$8:$B$502,"*"&amp;$B32&amp;"*")+COUNTIF('Đăng tin'!$B$8:$B$502,"*"&amp;$B32&amp;"*")+COUNTIF('Trang chủ'!$B$8:$B$502,"*"&amp;$B32&amp;"*")+COUNTIF('Bảng tin &amp; Chi tiết tin'!$B$8:$B$502,"*"&amp;$B32&amp;"*")+COUNTIF('Theo dõi đơn'!$B$8:$B$502,"*"&amp;$B32&amp;"*")+COUNTIF('Huỷ đơn'!$B$8:$B$502,"*"&amp;$B32&amp;"*")+COUNTIF('Tặng quà'!$B$8:$B$502,"*"&amp;$B32&amp;"*")</f>
        <v>5</v>
      </c>
      <c r="F32" s="52" t="n">
        <f aca="false">SUMPRODUCT(ISNUMBER(SEARCH($B32,'Hoạt động'!$B$8:$B$502))*('Hoạt động'!$AO$8:$AO$502&lt;&gt;""))+SUMPRODUCT(ISNUMBER(SEARCH($B32,'Cá nhân'!$B$8:$B$502))*('Cá nhân'!$AO$8:$AO$502&lt;&gt;""))+SUMPRODUCT(ISNUMBER(SEARCH($B32,'Thông báo'!$B$8:$B$502))*('Thông báo'!$AO$8:$AO$502&lt;&gt;""))+SUMPRODUCT(ISNUMBER(SEARCH($B32,'Đăng tin'!$B$8:$B$502))*('Đăng tin'!$AO$8:$AO$502&lt;&gt;""))+SUMPRODUCT(ISNUMBER(SEARCH($B32,'Trang chủ'!$B$8:$B$502))*('Trang chủ'!$AO$8:$AO$502&lt;&gt;""))+SUMPRODUCT(ISNUMBER(SEARCH($B32,'Bảng tin &amp; Chi tiết tin'!$B$8:$B$502))*('Bảng tin &amp; Chi tiết tin'!$AO$8:$AO$502&lt;&gt;""))+SUMPRODUCT(ISNUMBER(SEARCH($B32,'Theo dõi đơn'!$B$8:$B$502))*('Theo dõi đơn'!$AO$8:$AO$502&lt;&gt;""))+SUMPRODUCT(ISNUMBER(SEARCH($B32,'Huỷ đơn'!$B$8:$B$502))*('Huỷ đơn'!$AO$8:$AO$502&lt;&gt;""))+SUMPRODUCT(ISNUMBER(SEARCH($B32,'Tặng quà'!$B$8:$B$502))*('Tặng quà'!$AO$8:$AO$502&lt;&gt;""))</f>
        <v>0</v>
      </c>
      <c r="G32" s="52" t="n">
        <f aca="false">COUNTIFS('Hoạt động'!$B$8:$B$502,"*"&amp;$B32&amp;"*",'Hoạt động'!$AO$8:$AO$502,"Pass")+COUNTIFS('Cá nhân'!$B$8:$B$502,"*"&amp;$B32&amp;"*",'Cá nhân'!$AO$8:$AO$502,"Pass")+COUNTIFS('Thông báo'!$B$8:$B$502,"*"&amp;$B32&amp;"*",'Thông báo'!$AO$8:$AO$502,"Pass")+COUNTIFS('Đăng tin'!$B$8:$B$502,"*"&amp;$B32&amp;"*",'Đăng tin'!$AO$8:$AO$502,"Pass")+COUNTIFS('Trang chủ'!$B$8:$B$502,"*"&amp;$B32&amp;"*",'Trang chủ'!$AO$8:$AO$502,"Pass")+COUNTIFS('Bảng tin &amp; Chi tiết tin'!$B$8:$B$502,"*"&amp;$B32&amp;"*",'Bảng tin &amp; Chi tiết tin'!$AO$8:$AO$502,"Pass")+COUNTIFS('Theo dõi đơn'!$B$8:$B$502,"*"&amp;$B32&amp;"*",'Theo dõi đơn'!$AO$8:$AO$502,"Pass")+COUNTIFS('Huỷ đơn'!$B$8:$B$502,"*"&amp;$B32&amp;"*",'Huỷ đơn'!$AO$8:$AO$502,"Pass")+COUNTIFS('Tặng quà'!$B$8:$B$502,"*"&amp;$B32&amp;"*",'Tặng quà'!$AO$8:$AO$502,"Pass")</f>
        <v>0</v>
      </c>
      <c r="H32" s="52" t="n">
        <f aca="false">COUNTIFS('Hoạt động'!$B$8:$B$502,"*"&amp;$B32&amp;"*",'Hoạt động'!$AO$8:$AO$502,"Fail")+COUNTIFS('Cá nhân'!$B$8:$B$502,"*"&amp;$B32&amp;"*",'Cá nhân'!$AO$8:$AO$502,"Fail")+COUNTIFS('Thông báo'!$B$8:$B$502,"*"&amp;$B32&amp;"*",'Thông báo'!$AO$8:$AO$502,"Fail")+COUNTIFS('Đăng tin'!$B$8:$B$502,"*"&amp;$B32&amp;"*",'Đăng tin'!$AO$8:$AO$502,"Fail")+COUNTIFS('Trang chủ'!$B$8:$B$502,"*"&amp;$B32&amp;"*",'Trang chủ'!$AO$8:$AO$502,"Fail")+COUNTIFS('Bảng tin &amp; Chi tiết tin'!$B$8:$B$502,"*"&amp;$B32&amp;"*",'Bảng tin &amp; Chi tiết tin'!$AO$8:$AO$502,"Fail")+COUNTIFS('Theo dõi đơn'!$B$8:$B$502,"*"&amp;$B32&amp;"*",'Theo dõi đơn'!$AO$8:$AO$502,"Fail")+COUNTIFS('Huỷ đơn'!$B$8:$B$502,"*"&amp;$B32&amp;"*",'Huỷ đơn'!$AO$8:$AO$502,"Fail")+COUNTIFS('Tặng quà'!$B$8:$B$502,"*"&amp;$B32&amp;"*",'Tặng quà'!$AO$8:$AO$502,"Fail")</f>
        <v>0</v>
      </c>
      <c r="I32" s="53" t="n">
        <f aca="false">IFERROR(F32/E32,0)</f>
        <v>0</v>
      </c>
      <c r="J32" s="123" t="str">
        <f aca="false">IF(E32=0,"Chưa có TC (gap)",IF(H32&gt;0,"Có lỗi (Fail)",IF(F32&gt;=E32,"Đã test xong","Đang test")))</f>
        <v>Đang test</v>
      </c>
    </row>
    <row r="33" customFormat="false" ht="15" hidden="false" customHeight="true" outlineLevel="0" collapsed="false">
      <c r="B33" s="178" t="s">
        <v>567</v>
      </c>
      <c r="C33" s="54" t="s">
        <v>568</v>
      </c>
      <c r="D33" s="123" t="s">
        <v>569</v>
      </c>
      <c r="E33" s="52" t="n">
        <f aca="false">COUNTIF('Hoạt động'!$B$8:$B$502,"*"&amp;$B33&amp;"*")+COUNTIF('Cá nhân'!$B$8:$B$502,"*"&amp;$B33&amp;"*")+COUNTIF('Thông báo'!$B$8:$B$502,"*"&amp;$B33&amp;"*")+COUNTIF('Đăng tin'!$B$8:$B$502,"*"&amp;$B33&amp;"*")+COUNTIF('Trang chủ'!$B$8:$B$502,"*"&amp;$B33&amp;"*")+COUNTIF('Bảng tin &amp; Chi tiết tin'!$B$8:$B$502,"*"&amp;$B33&amp;"*")+COUNTIF('Theo dõi đơn'!$B$8:$B$502,"*"&amp;$B33&amp;"*")+COUNTIF('Huỷ đơn'!$B$8:$B$502,"*"&amp;$B33&amp;"*")+COUNTIF('Tặng quà'!$B$8:$B$502,"*"&amp;$B33&amp;"*")</f>
        <v>1</v>
      </c>
      <c r="F33" s="52" t="n">
        <f aca="false">SUMPRODUCT(ISNUMBER(SEARCH($B33,'Hoạt động'!$B$8:$B$502))*('Hoạt động'!$AO$8:$AO$502&lt;&gt;""))+SUMPRODUCT(ISNUMBER(SEARCH($B33,'Cá nhân'!$B$8:$B$502))*('Cá nhân'!$AO$8:$AO$502&lt;&gt;""))+SUMPRODUCT(ISNUMBER(SEARCH($B33,'Thông báo'!$B$8:$B$502))*('Thông báo'!$AO$8:$AO$502&lt;&gt;""))+SUMPRODUCT(ISNUMBER(SEARCH($B33,'Đăng tin'!$B$8:$B$502))*('Đăng tin'!$AO$8:$AO$502&lt;&gt;""))+SUMPRODUCT(ISNUMBER(SEARCH($B33,'Trang chủ'!$B$8:$B$502))*('Trang chủ'!$AO$8:$AO$502&lt;&gt;""))+SUMPRODUCT(ISNUMBER(SEARCH($B33,'Bảng tin &amp; Chi tiết tin'!$B$8:$B$502))*('Bảng tin &amp; Chi tiết tin'!$AO$8:$AO$502&lt;&gt;""))+SUMPRODUCT(ISNUMBER(SEARCH($B33,'Theo dõi đơn'!$B$8:$B$502))*('Theo dõi đơn'!$AO$8:$AO$502&lt;&gt;""))+SUMPRODUCT(ISNUMBER(SEARCH($B33,'Huỷ đơn'!$B$8:$B$502))*('Huỷ đơn'!$AO$8:$AO$502&lt;&gt;""))+SUMPRODUCT(ISNUMBER(SEARCH($B33,'Tặng quà'!$B$8:$B$502))*('Tặng quà'!$AO$8:$AO$502&lt;&gt;""))</f>
        <v>0</v>
      </c>
      <c r="G33" s="52" t="n">
        <f aca="false">COUNTIFS('Hoạt động'!$B$8:$B$502,"*"&amp;$B33&amp;"*",'Hoạt động'!$AO$8:$AO$502,"Pass")+COUNTIFS('Cá nhân'!$B$8:$B$502,"*"&amp;$B33&amp;"*",'Cá nhân'!$AO$8:$AO$502,"Pass")+COUNTIFS('Thông báo'!$B$8:$B$502,"*"&amp;$B33&amp;"*",'Thông báo'!$AO$8:$AO$502,"Pass")+COUNTIFS('Đăng tin'!$B$8:$B$502,"*"&amp;$B33&amp;"*",'Đăng tin'!$AO$8:$AO$502,"Pass")+COUNTIFS('Trang chủ'!$B$8:$B$502,"*"&amp;$B33&amp;"*",'Trang chủ'!$AO$8:$AO$502,"Pass")+COUNTIFS('Bảng tin &amp; Chi tiết tin'!$B$8:$B$502,"*"&amp;$B33&amp;"*",'Bảng tin &amp; Chi tiết tin'!$AO$8:$AO$502,"Pass")+COUNTIFS('Theo dõi đơn'!$B$8:$B$502,"*"&amp;$B33&amp;"*",'Theo dõi đơn'!$AO$8:$AO$502,"Pass")+COUNTIFS('Huỷ đơn'!$B$8:$B$502,"*"&amp;$B33&amp;"*",'Huỷ đơn'!$AO$8:$AO$502,"Pass")+COUNTIFS('Tặng quà'!$B$8:$B$502,"*"&amp;$B33&amp;"*",'Tặng quà'!$AO$8:$AO$502,"Pass")</f>
        <v>0</v>
      </c>
      <c r="H33" s="52" t="n">
        <f aca="false">COUNTIFS('Hoạt động'!$B$8:$B$502,"*"&amp;$B33&amp;"*",'Hoạt động'!$AO$8:$AO$502,"Fail")+COUNTIFS('Cá nhân'!$B$8:$B$502,"*"&amp;$B33&amp;"*",'Cá nhân'!$AO$8:$AO$502,"Fail")+COUNTIFS('Thông báo'!$B$8:$B$502,"*"&amp;$B33&amp;"*",'Thông báo'!$AO$8:$AO$502,"Fail")+COUNTIFS('Đăng tin'!$B$8:$B$502,"*"&amp;$B33&amp;"*",'Đăng tin'!$AO$8:$AO$502,"Fail")+COUNTIFS('Trang chủ'!$B$8:$B$502,"*"&amp;$B33&amp;"*",'Trang chủ'!$AO$8:$AO$502,"Fail")+COUNTIFS('Bảng tin &amp; Chi tiết tin'!$B$8:$B$502,"*"&amp;$B33&amp;"*",'Bảng tin &amp; Chi tiết tin'!$AO$8:$AO$502,"Fail")+COUNTIFS('Theo dõi đơn'!$B$8:$B$502,"*"&amp;$B33&amp;"*",'Theo dõi đơn'!$AO$8:$AO$502,"Fail")+COUNTIFS('Huỷ đơn'!$B$8:$B$502,"*"&amp;$B33&amp;"*",'Huỷ đơn'!$AO$8:$AO$502,"Fail")+COUNTIFS('Tặng quà'!$B$8:$B$502,"*"&amp;$B33&amp;"*",'Tặng quà'!$AO$8:$AO$502,"Fail")</f>
        <v>0</v>
      </c>
      <c r="I33" s="53" t="n">
        <f aca="false">IFERROR(F33/E33,0)</f>
        <v>0</v>
      </c>
      <c r="J33" s="123" t="str">
        <f aca="false">IF(E33=0,"Chưa có TC (gap)",IF(H33&gt;0,"Có lỗi (Fail)",IF(F33&gt;=E33,"Đã test xong","Đang test")))</f>
        <v>Đang test</v>
      </c>
    </row>
    <row r="34" customFormat="false" ht="15" hidden="false" customHeight="true" outlineLevel="0" collapsed="false">
      <c r="B34" s="178" t="s">
        <v>570</v>
      </c>
      <c r="C34" s="54" t="s">
        <v>571</v>
      </c>
      <c r="D34" s="123" t="s">
        <v>572</v>
      </c>
      <c r="E34" s="52" t="n">
        <f aca="false">COUNTIF('Hoạt động'!$B$8:$B$502,"*"&amp;$B34&amp;"*")+COUNTIF('Cá nhân'!$B$8:$B$502,"*"&amp;$B34&amp;"*")+COUNTIF('Thông báo'!$B$8:$B$502,"*"&amp;$B34&amp;"*")+COUNTIF('Đăng tin'!$B$8:$B$502,"*"&amp;$B34&amp;"*")+COUNTIF('Trang chủ'!$B$8:$B$502,"*"&amp;$B34&amp;"*")+COUNTIF('Bảng tin &amp; Chi tiết tin'!$B$8:$B$502,"*"&amp;$B34&amp;"*")+COUNTIF('Theo dõi đơn'!$B$8:$B$502,"*"&amp;$B34&amp;"*")+COUNTIF('Huỷ đơn'!$B$8:$B$502,"*"&amp;$B34&amp;"*")+COUNTIF('Tặng quà'!$B$8:$B$502,"*"&amp;$B34&amp;"*")</f>
        <v>4</v>
      </c>
      <c r="F34" s="52" t="n">
        <f aca="false">SUMPRODUCT(ISNUMBER(SEARCH($B34,'Hoạt động'!$B$8:$B$502))*('Hoạt động'!$AO$8:$AO$502&lt;&gt;""))+SUMPRODUCT(ISNUMBER(SEARCH($B34,'Cá nhân'!$B$8:$B$502))*('Cá nhân'!$AO$8:$AO$502&lt;&gt;""))+SUMPRODUCT(ISNUMBER(SEARCH($B34,'Thông báo'!$B$8:$B$502))*('Thông báo'!$AO$8:$AO$502&lt;&gt;""))+SUMPRODUCT(ISNUMBER(SEARCH($B34,'Đăng tin'!$B$8:$B$502))*('Đăng tin'!$AO$8:$AO$502&lt;&gt;""))+SUMPRODUCT(ISNUMBER(SEARCH($B34,'Trang chủ'!$B$8:$B$502))*('Trang chủ'!$AO$8:$AO$502&lt;&gt;""))+SUMPRODUCT(ISNUMBER(SEARCH($B34,'Bảng tin &amp; Chi tiết tin'!$B$8:$B$502))*('Bảng tin &amp; Chi tiết tin'!$AO$8:$AO$502&lt;&gt;""))+SUMPRODUCT(ISNUMBER(SEARCH($B34,'Theo dõi đơn'!$B$8:$B$502))*('Theo dõi đơn'!$AO$8:$AO$502&lt;&gt;""))+SUMPRODUCT(ISNUMBER(SEARCH($B34,'Huỷ đơn'!$B$8:$B$502))*('Huỷ đơn'!$AO$8:$AO$502&lt;&gt;""))+SUMPRODUCT(ISNUMBER(SEARCH($B34,'Tặng quà'!$B$8:$B$502))*('Tặng quà'!$AO$8:$AO$502&lt;&gt;""))</f>
        <v>0</v>
      </c>
      <c r="G34" s="52" t="n">
        <f aca="false">COUNTIFS('Hoạt động'!$B$8:$B$502,"*"&amp;$B34&amp;"*",'Hoạt động'!$AO$8:$AO$502,"Pass")+COUNTIFS('Cá nhân'!$B$8:$B$502,"*"&amp;$B34&amp;"*",'Cá nhân'!$AO$8:$AO$502,"Pass")+COUNTIFS('Thông báo'!$B$8:$B$502,"*"&amp;$B34&amp;"*",'Thông báo'!$AO$8:$AO$502,"Pass")+COUNTIFS('Đăng tin'!$B$8:$B$502,"*"&amp;$B34&amp;"*",'Đăng tin'!$AO$8:$AO$502,"Pass")+COUNTIFS('Trang chủ'!$B$8:$B$502,"*"&amp;$B34&amp;"*",'Trang chủ'!$AO$8:$AO$502,"Pass")+COUNTIFS('Bảng tin &amp; Chi tiết tin'!$B$8:$B$502,"*"&amp;$B34&amp;"*",'Bảng tin &amp; Chi tiết tin'!$AO$8:$AO$502,"Pass")+COUNTIFS('Theo dõi đơn'!$B$8:$B$502,"*"&amp;$B34&amp;"*",'Theo dõi đơn'!$AO$8:$AO$502,"Pass")+COUNTIFS('Huỷ đơn'!$B$8:$B$502,"*"&amp;$B34&amp;"*",'Huỷ đơn'!$AO$8:$AO$502,"Pass")+COUNTIFS('Tặng quà'!$B$8:$B$502,"*"&amp;$B34&amp;"*",'Tặng quà'!$AO$8:$AO$502,"Pass")</f>
        <v>0</v>
      </c>
      <c r="H34" s="52" t="n">
        <f aca="false">COUNTIFS('Hoạt động'!$B$8:$B$502,"*"&amp;$B34&amp;"*",'Hoạt động'!$AO$8:$AO$502,"Fail")+COUNTIFS('Cá nhân'!$B$8:$B$502,"*"&amp;$B34&amp;"*",'Cá nhân'!$AO$8:$AO$502,"Fail")+COUNTIFS('Thông báo'!$B$8:$B$502,"*"&amp;$B34&amp;"*",'Thông báo'!$AO$8:$AO$502,"Fail")+COUNTIFS('Đăng tin'!$B$8:$B$502,"*"&amp;$B34&amp;"*",'Đăng tin'!$AO$8:$AO$502,"Fail")+COUNTIFS('Trang chủ'!$B$8:$B$502,"*"&amp;$B34&amp;"*",'Trang chủ'!$AO$8:$AO$502,"Fail")+COUNTIFS('Bảng tin &amp; Chi tiết tin'!$B$8:$B$502,"*"&amp;$B34&amp;"*",'Bảng tin &amp; Chi tiết tin'!$AO$8:$AO$502,"Fail")+COUNTIFS('Theo dõi đơn'!$B$8:$B$502,"*"&amp;$B34&amp;"*",'Theo dõi đơn'!$AO$8:$AO$502,"Fail")+COUNTIFS('Huỷ đơn'!$B$8:$B$502,"*"&amp;$B34&amp;"*",'Huỷ đơn'!$AO$8:$AO$502,"Fail")+COUNTIFS('Tặng quà'!$B$8:$B$502,"*"&amp;$B34&amp;"*",'Tặng quà'!$AO$8:$AO$502,"Fail")</f>
        <v>0</v>
      </c>
      <c r="I34" s="53" t="n">
        <f aca="false">IFERROR(F34/E34,0)</f>
        <v>0</v>
      </c>
      <c r="J34" s="123" t="str">
        <f aca="false">IF(E34=0,"Chưa có TC (gap)",IF(H34&gt;0,"Có lỗi (Fail)",IF(F34&gt;=E34,"Đã test xong","Đang test")))</f>
        <v>Đang test</v>
      </c>
    </row>
    <row r="35" customFormat="false" ht="15" hidden="false" customHeight="true" outlineLevel="0" collapsed="false">
      <c r="B35" s="178" t="s">
        <v>573</v>
      </c>
      <c r="C35" s="54" t="s">
        <v>574</v>
      </c>
      <c r="D35" s="123" t="s">
        <v>575</v>
      </c>
      <c r="E35" s="52" t="n">
        <f aca="false">COUNTIF('Hoạt động'!$B$8:$B$502,"*"&amp;$B35&amp;"*")+COUNTIF('Cá nhân'!$B$8:$B$502,"*"&amp;$B35&amp;"*")+COUNTIF('Thông báo'!$B$8:$B$502,"*"&amp;$B35&amp;"*")+COUNTIF('Đăng tin'!$B$8:$B$502,"*"&amp;$B35&amp;"*")+COUNTIF('Trang chủ'!$B$8:$B$502,"*"&amp;$B35&amp;"*")+COUNTIF('Bảng tin &amp; Chi tiết tin'!$B$8:$B$502,"*"&amp;$B35&amp;"*")+COUNTIF('Theo dõi đơn'!$B$8:$B$502,"*"&amp;$B35&amp;"*")+COUNTIF('Huỷ đơn'!$B$8:$B$502,"*"&amp;$B35&amp;"*")+COUNTIF('Tặng quà'!$B$8:$B$502,"*"&amp;$B35&amp;"*")</f>
        <v>4</v>
      </c>
      <c r="F35" s="52" t="n">
        <f aca="false">SUMPRODUCT(ISNUMBER(SEARCH($B35,'Hoạt động'!$B$8:$B$502))*('Hoạt động'!$AO$8:$AO$502&lt;&gt;""))+SUMPRODUCT(ISNUMBER(SEARCH($B35,'Cá nhân'!$B$8:$B$502))*('Cá nhân'!$AO$8:$AO$502&lt;&gt;""))+SUMPRODUCT(ISNUMBER(SEARCH($B35,'Thông báo'!$B$8:$B$502))*('Thông báo'!$AO$8:$AO$502&lt;&gt;""))+SUMPRODUCT(ISNUMBER(SEARCH($B35,'Đăng tin'!$B$8:$B$502))*('Đăng tin'!$AO$8:$AO$502&lt;&gt;""))+SUMPRODUCT(ISNUMBER(SEARCH($B35,'Trang chủ'!$B$8:$B$502))*('Trang chủ'!$AO$8:$AO$502&lt;&gt;""))+SUMPRODUCT(ISNUMBER(SEARCH($B35,'Bảng tin &amp; Chi tiết tin'!$B$8:$B$502))*('Bảng tin &amp; Chi tiết tin'!$AO$8:$AO$502&lt;&gt;""))+SUMPRODUCT(ISNUMBER(SEARCH($B35,'Theo dõi đơn'!$B$8:$B$502))*('Theo dõi đơn'!$AO$8:$AO$502&lt;&gt;""))+SUMPRODUCT(ISNUMBER(SEARCH($B35,'Huỷ đơn'!$B$8:$B$502))*('Huỷ đơn'!$AO$8:$AO$502&lt;&gt;""))+SUMPRODUCT(ISNUMBER(SEARCH($B35,'Tặng quà'!$B$8:$B$502))*('Tặng quà'!$AO$8:$AO$502&lt;&gt;""))</f>
        <v>0</v>
      </c>
      <c r="G35" s="52" t="n">
        <f aca="false">COUNTIFS('Hoạt động'!$B$8:$B$502,"*"&amp;$B35&amp;"*",'Hoạt động'!$AO$8:$AO$502,"Pass")+COUNTIFS('Cá nhân'!$B$8:$B$502,"*"&amp;$B35&amp;"*",'Cá nhân'!$AO$8:$AO$502,"Pass")+COUNTIFS('Thông báo'!$B$8:$B$502,"*"&amp;$B35&amp;"*",'Thông báo'!$AO$8:$AO$502,"Pass")+COUNTIFS('Đăng tin'!$B$8:$B$502,"*"&amp;$B35&amp;"*",'Đăng tin'!$AO$8:$AO$502,"Pass")+COUNTIFS('Trang chủ'!$B$8:$B$502,"*"&amp;$B35&amp;"*",'Trang chủ'!$AO$8:$AO$502,"Pass")+COUNTIFS('Bảng tin &amp; Chi tiết tin'!$B$8:$B$502,"*"&amp;$B35&amp;"*",'Bảng tin &amp; Chi tiết tin'!$AO$8:$AO$502,"Pass")+COUNTIFS('Theo dõi đơn'!$B$8:$B$502,"*"&amp;$B35&amp;"*",'Theo dõi đơn'!$AO$8:$AO$502,"Pass")+COUNTIFS('Huỷ đơn'!$B$8:$B$502,"*"&amp;$B35&amp;"*",'Huỷ đơn'!$AO$8:$AO$502,"Pass")+COUNTIFS('Tặng quà'!$B$8:$B$502,"*"&amp;$B35&amp;"*",'Tặng quà'!$AO$8:$AO$502,"Pass")</f>
        <v>0</v>
      </c>
      <c r="H35" s="52" t="n">
        <f aca="false">COUNTIFS('Hoạt động'!$B$8:$B$502,"*"&amp;$B35&amp;"*",'Hoạt động'!$AO$8:$AO$502,"Fail")+COUNTIFS('Cá nhân'!$B$8:$B$502,"*"&amp;$B35&amp;"*",'Cá nhân'!$AO$8:$AO$502,"Fail")+COUNTIFS('Thông báo'!$B$8:$B$502,"*"&amp;$B35&amp;"*",'Thông báo'!$AO$8:$AO$502,"Fail")+COUNTIFS('Đăng tin'!$B$8:$B$502,"*"&amp;$B35&amp;"*",'Đăng tin'!$AO$8:$AO$502,"Fail")+COUNTIFS('Trang chủ'!$B$8:$B$502,"*"&amp;$B35&amp;"*",'Trang chủ'!$AO$8:$AO$502,"Fail")+COUNTIFS('Bảng tin &amp; Chi tiết tin'!$B$8:$B$502,"*"&amp;$B35&amp;"*",'Bảng tin &amp; Chi tiết tin'!$AO$8:$AO$502,"Fail")+COUNTIFS('Theo dõi đơn'!$B$8:$B$502,"*"&amp;$B35&amp;"*",'Theo dõi đơn'!$AO$8:$AO$502,"Fail")+COUNTIFS('Huỷ đơn'!$B$8:$B$502,"*"&amp;$B35&amp;"*",'Huỷ đơn'!$AO$8:$AO$502,"Fail")+COUNTIFS('Tặng quà'!$B$8:$B$502,"*"&amp;$B35&amp;"*",'Tặng quà'!$AO$8:$AO$502,"Fail")</f>
        <v>0</v>
      </c>
      <c r="I35" s="53" t="n">
        <f aca="false">IFERROR(F35/E35,0)</f>
        <v>0</v>
      </c>
      <c r="J35" s="123" t="str">
        <f aca="false">IF(E35=0,"Chưa có TC (gap)",IF(H35&gt;0,"Có lỗi (Fail)",IF(F35&gt;=E35,"Đã test xong","Đang test")))</f>
        <v>Đang test</v>
      </c>
    </row>
    <row r="36" customFormat="false" ht="15" hidden="false" customHeight="true" outlineLevel="0" collapsed="false">
      <c r="B36" s="178" t="s">
        <v>576</v>
      </c>
      <c r="C36" s="54" t="s">
        <v>577</v>
      </c>
      <c r="D36" s="123" t="s">
        <v>578</v>
      </c>
      <c r="E36" s="52" t="n">
        <f aca="false">COUNTIF('Hoạt động'!$B$8:$B$502,"*"&amp;$B36&amp;"*")+COUNTIF('Cá nhân'!$B$8:$B$502,"*"&amp;$B36&amp;"*")+COUNTIF('Thông báo'!$B$8:$B$502,"*"&amp;$B36&amp;"*")+COUNTIF('Đăng tin'!$B$8:$B$502,"*"&amp;$B36&amp;"*")+COUNTIF('Trang chủ'!$B$8:$B$502,"*"&amp;$B36&amp;"*")+COUNTIF('Bảng tin &amp; Chi tiết tin'!$B$8:$B$502,"*"&amp;$B36&amp;"*")+COUNTIF('Theo dõi đơn'!$B$8:$B$502,"*"&amp;$B36&amp;"*")+COUNTIF('Huỷ đơn'!$B$8:$B$502,"*"&amp;$B36&amp;"*")+COUNTIF('Tặng quà'!$B$8:$B$502,"*"&amp;$B36&amp;"*")</f>
        <v>7</v>
      </c>
      <c r="F36" s="52" t="n">
        <f aca="false">SUMPRODUCT(ISNUMBER(SEARCH($B36,'Hoạt động'!$B$8:$B$502))*('Hoạt động'!$AO$8:$AO$502&lt;&gt;""))+SUMPRODUCT(ISNUMBER(SEARCH($B36,'Cá nhân'!$B$8:$B$502))*('Cá nhân'!$AO$8:$AO$502&lt;&gt;""))+SUMPRODUCT(ISNUMBER(SEARCH($B36,'Thông báo'!$B$8:$B$502))*('Thông báo'!$AO$8:$AO$502&lt;&gt;""))+SUMPRODUCT(ISNUMBER(SEARCH($B36,'Đăng tin'!$B$8:$B$502))*('Đăng tin'!$AO$8:$AO$502&lt;&gt;""))+SUMPRODUCT(ISNUMBER(SEARCH($B36,'Trang chủ'!$B$8:$B$502))*('Trang chủ'!$AO$8:$AO$502&lt;&gt;""))+SUMPRODUCT(ISNUMBER(SEARCH($B36,'Bảng tin &amp; Chi tiết tin'!$B$8:$B$502))*('Bảng tin &amp; Chi tiết tin'!$AO$8:$AO$502&lt;&gt;""))+SUMPRODUCT(ISNUMBER(SEARCH($B36,'Theo dõi đơn'!$B$8:$B$502))*('Theo dõi đơn'!$AO$8:$AO$502&lt;&gt;""))+SUMPRODUCT(ISNUMBER(SEARCH($B36,'Huỷ đơn'!$B$8:$B$502))*('Huỷ đơn'!$AO$8:$AO$502&lt;&gt;""))+SUMPRODUCT(ISNUMBER(SEARCH($B36,'Tặng quà'!$B$8:$B$502))*('Tặng quà'!$AO$8:$AO$502&lt;&gt;""))</f>
        <v>0</v>
      </c>
      <c r="G36" s="52" t="n">
        <f aca="false">COUNTIFS('Hoạt động'!$B$8:$B$502,"*"&amp;$B36&amp;"*",'Hoạt động'!$AO$8:$AO$502,"Pass")+COUNTIFS('Cá nhân'!$B$8:$B$502,"*"&amp;$B36&amp;"*",'Cá nhân'!$AO$8:$AO$502,"Pass")+COUNTIFS('Thông báo'!$B$8:$B$502,"*"&amp;$B36&amp;"*",'Thông báo'!$AO$8:$AO$502,"Pass")+COUNTIFS('Đăng tin'!$B$8:$B$502,"*"&amp;$B36&amp;"*",'Đăng tin'!$AO$8:$AO$502,"Pass")+COUNTIFS('Trang chủ'!$B$8:$B$502,"*"&amp;$B36&amp;"*",'Trang chủ'!$AO$8:$AO$502,"Pass")+COUNTIFS('Bảng tin &amp; Chi tiết tin'!$B$8:$B$502,"*"&amp;$B36&amp;"*",'Bảng tin &amp; Chi tiết tin'!$AO$8:$AO$502,"Pass")+COUNTIFS('Theo dõi đơn'!$B$8:$B$502,"*"&amp;$B36&amp;"*",'Theo dõi đơn'!$AO$8:$AO$502,"Pass")+COUNTIFS('Huỷ đơn'!$B$8:$B$502,"*"&amp;$B36&amp;"*",'Huỷ đơn'!$AO$8:$AO$502,"Pass")+COUNTIFS('Tặng quà'!$B$8:$B$502,"*"&amp;$B36&amp;"*",'Tặng quà'!$AO$8:$AO$502,"Pass")</f>
        <v>0</v>
      </c>
      <c r="H36" s="52" t="n">
        <f aca="false">COUNTIFS('Hoạt động'!$B$8:$B$502,"*"&amp;$B36&amp;"*",'Hoạt động'!$AO$8:$AO$502,"Fail")+COUNTIFS('Cá nhân'!$B$8:$B$502,"*"&amp;$B36&amp;"*",'Cá nhân'!$AO$8:$AO$502,"Fail")+COUNTIFS('Thông báo'!$B$8:$B$502,"*"&amp;$B36&amp;"*",'Thông báo'!$AO$8:$AO$502,"Fail")+COUNTIFS('Đăng tin'!$B$8:$B$502,"*"&amp;$B36&amp;"*",'Đăng tin'!$AO$8:$AO$502,"Fail")+COUNTIFS('Trang chủ'!$B$8:$B$502,"*"&amp;$B36&amp;"*",'Trang chủ'!$AO$8:$AO$502,"Fail")+COUNTIFS('Bảng tin &amp; Chi tiết tin'!$B$8:$B$502,"*"&amp;$B36&amp;"*",'Bảng tin &amp; Chi tiết tin'!$AO$8:$AO$502,"Fail")+COUNTIFS('Theo dõi đơn'!$B$8:$B$502,"*"&amp;$B36&amp;"*",'Theo dõi đơn'!$AO$8:$AO$502,"Fail")+COUNTIFS('Huỷ đơn'!$B$8:$B$502,"*"&amp;$B36&amp;"*",'Huỷ đơn'!$AO$8:$AO$502,"Fail")+COUNTIFS('Tặng quà'!$B$8:$B$502,"*"&amp;$B36&amp;"*",'Tặng quà'!$AO$8:$AO$502,"Fail")</f>
        <v>0</v>
      </c>
      <c r="I36" s="53" t="n">
        <f aca="false">IFERROR(F36/E36,0)</f>
        <v>0</v>
      </c>
      <c r="J36" s="123" t="str">
        <f aca="false">IF(E36=0,"Chưa có TC (gap)",IF(H36&gt;0,"Có lỗi (Fail)",IF(F36&gt;=E36,"Đã test xong","Đang test")))</f>
        <v>Đang test</v>
      </c>
    </row>
    <row r="37" customFormat="false" ht="15" hidden="false" customHeight="true" outlineLevel="0" collapsed="false">
      <c r="B37" s="178" t="s">
        <v>579</v>
      </c>
      <c r="C37" s="54" t="s">
        <v>580</v>
      </c>
      <c r="D37" s="123" t="s">
        <v>504</v>
      </c>
      <c r="E37" s="52" t="n">
        <f aca="false">COUNTIF('Hoạt động'!$B$8:$B$502,"*"&amp;$B37&amp;"*")+COUNTIF('Cá nhân'!$B$8:$B$502,"*"&amp;$B37&amp;"*")+COUNTIF('Thông báo'!$B$8:$B$502,"*"&amp;$B37&amp;"*")+COUNTIF('Đăng tin'!$B$8:$B$502,"*"&amp;$B37&amp;"*")+COUNTIF('Trang chủ'!$B$8:$B$502,"*"&amp;$B37&amp;"*")+COUNTIF('Bảng tin &amp; Chi tiết tin'!$B$8:$B$502,"*"&amp;$B37&amp;"*")+COUNTIF('Theo dõi đơn'!$B$8:$B$502,"*"&amp;$B37&amp;"*")+COUNTIF('Huỷ đơn'!$B$8:$B$502,"*"&amp;$B37&amp;"*")+COUNTIF('Tặng quà'!$B$8:$B$502,"*"&amp;$B37&amp;"*")</f>
        <v>4</v>
      </c>
      <c r="F37" s="52" t="n">
        <f aca="false">SUMPRODUCT(ISNUMBER(SEARCH($B37,'Hoạt động'!$B$8:$B$502))*('Hoạt động'!$AO$8:$AO$502&lt;&gt;""))+SUMPRODUCT(ISNUMBER(SEARCH($B37,'Cá nhân'!$B$8:$B$502))*('Cá nhân'!$AO$8:$AO$502&lt;&gt;""))+SUMPRODUCT(ISNUMBER(SEARCH($B37,'Thông báo'!$B$8:$B$502))*('Thông báo'!$AO$8:$AO$502&lt;&gt;""))+SUMPRODUCT(ISNUMBER(SEARCH($B37,'Đăng tin'!$B$8:$B$502))*('Đăng tin'!$AO$8:$AO$502&lt;&gt;""))+SUMPRODUCT(ISNUMBER(SEARCH($B37,'Trang chủ'!$B$8:$B$502))*('Trang chủ'!$AO$8:$AO$502&lt;&gt;""))+SUMPRODUCT(ISNUMBER(SEARCH($B37,'Bảng tin &amp; Chi tiết tin'!$B$8:$B$502))*('Bảng tin &amp; Chi tiết tin'!$AO$8:$AO$502&lt;&gt;""))+SUMPRODUCT(ISNUMBER(SEARCH($B37,'Theo dõi đơn'!$B$8:$B$502))*('Theo dõi đơn'!$AO$8:$AO$502&lt;&gt;""))+SUMPRODUCT(ISNUMBER(SEARCH($B37,'Huỷ đơn'!$B$8:$B$502))*('Huỷ đơn'!$AO$8:$AO$502&lt;&gt;""))+SUMPRODUCT(ISNUMBER(SEARCH($B37,'Tặng quà'!$B$8:$B$502))*('Tặng quà'!$AO$8:$AO$502&lt;&gt;""))</f>
        <v>0</v>
      </c>
      <c r="G37" s="52" t="n">
        <f aca="false">COUNTIFS('Hoạt động'!$B$8:$B$502,"*"&amp;$B37&amp;"*",'Hoạt động'!$AO$8:$AO$502,"Pass")+COUNTIFS('Cá nhân'!$B$8:$B$502,"*"&amp;$B37&amp;"*",'Cá nhân'!$AO$8:$AO$502,"Pass")+COUNTIFS('Thông báo'!$B$8:$B$502,"*"&amp;$B37&amp;"*",'Thông báo'!$AO$8:$AO$502,"Pass")+COUNTIFS('Đăng tin'!$B$8:$B$502,"*"&amp;$B37&amp;"*",'Đăng tin'!$AO$8:$AO$502,"Pass")+COUNTIFS('Trang chủ'!$B$8:$B$502,"*"&amp;$B37&amp;"*",'Trang chủ'!$AO$8:$AO$502,"Pass")+COUNTIFS('Bảng tin &amp; Chi tiết tin'!$B$8:$B$502,"*"&amp;$B37&amp;"*",'Bảng tin &amp; Chi tiết tin'!$AO$8:$AO$502,"Pass")+COUNTIFS('Theo dõi đơn'!$B$8:$B$502,"*"&amp;$B37&amp;"*",'Theo dõi đơn'!$AO$8:$AO$502,"Pass")+COUNTIFS('Huỷ đơn'!$B$8:$B$502,"*"&amp;$B37&amp;"*",'Huỷ đơn'!$AO$8:$AO$502,"Pass")+COUNTIFS('Tặng quà'!$B$8:$B$502,"*"&amp;$B37&amp;"*",'Tặng quà'!$AO$8:$AO$502,"Pass")</f>
        <v>0</v>
      </c>
      <c r="H37" s="52" t="n">
        <f aca="false">COUNTIFS('Hoạt động'!$B$8:$B$502,"*"&amp;$B37&amp;"*",'Hoạt động'!$AO$8:$AO$502,"Fail")+COUNTIFS('Cá nhân'!$B$8:$B$502,"*"&amp;$B37&amp;"*",'Cá nhân'!$AO$8:$AO$502,"Fail")+COUNTIFS('Thông báo'!$B$8:$B$502,"*"&amp;$B37&amp;"*",'Thông báo'!$AO$8:$AO$502,"Fail")+COUNTIFS('Đăng tin'!$B$8:$B$502,"*"&amp;$B37&amp;"*",'Đăng tin'!$AO$8:$AO$502,"Fail")+COUNTIFS('Trang chủ'!$B$8:$B$502,"*"&amp;$B37&amp;"*",'Trang chủ'!$AO$8:$AO$502,"Fail")+COUNTIFS('Bảng tin &amp; Chi tiết tin'!$B$8:$B$502,"*"&amp;$B37&amp;"*",'Bảng tin &amp; Chi tiết tin'!$AO$8:$AO$502,"Fail")+COUNTIFS('Theo dõi đơn'!$B$8:$B$502,"*"&amp;$B37&amp;"*",'Theo dõi đơn'!$AO$8:$AO$502,"Fail")+COUNTIFS('Huỷ đơn'!$B$8:$B$502,"*"&amp;$B37&amp;"*",'Huỷ đơn'!$AO$8:$AO$502,"Fail")+COUNTIFS('Tặng quà'!$B$8:$B$502,"*"&amp;$B37&amp;"*",'Tặng quà'!$AO$8:$AO$502,"Fail")</f>
        <v>0</v>
      </c>
      <c r="I37" s="53" t="n">
        <f aca="false">IFERROR(F37/E37,0)</f>
        <v>0</v>
      </c>
      <c r="J37" s="123" t="str">
        <f aca="false">IF(E37=0,"Chưa có TC (gap)",IF(H37&gt;0,"Có lỗi (Fail)",IF(F37&gt;=E37,"Đã test xong","Đang test")))</f>
        <v>Đang test</v>
      </c>
    </row>
    <row r="38" customFormat="false" ht="15" hidden="false" customHeight="true" outlineLevel="0" collapsed="false">
      <c r="B38" s="178" t="s">
        <v>581</v>
      </c>
      <c r="C38" s="54" t="s">
        <v>582</v>
      </c>
      <c r="D38" s="123" t="s">
        <v>583</v>
      </c>
      <c r="E38" s="52" t="n">
        <f aca="false">COUNTIF('Hoạt động'!$B$8:$B$502,"*"&amp;$B38&amp;"*")+COUNTIF('Cá nhân'!$B$8:$B$502,"*"&amp;$B38&amp;"*")+COUNTIF('Thông báo'!$B$8:$B$502,"*"&amp;$B38&amp;"*")+COUNTIF('Đăng tin'!$B$8:$B$502,"*"&amp;$B38&amp;"*")+COUNTIF('Trang chủ'!$B$8:$B$502,"*"&amp;$B38&amp;"*")+COUNTIF('Bảng tin &amp; Chi tiết tin'!$B$8:$B$502,"*"&amp;$B38&amp;"*")+COUNTIF('Theo dõi đơn'!$B$8:$B$502,"*"&amp;$B38&amp;"*")+COUNTIF('Huỷ đơn'!$B$8:$B$502,"*"&amp;$B38&amp;"*")+COUNTIF('Tặng quà'!$B$8:$B$502,"*"&amp;$B38&amp;"*")</f>
        <v>3</v>
      </c>
      <c r="F38" s="52" t="n">
        <f aca="false">SUMPRODUCT(ISNUMBER(SEARCH($B38,'Hoạt động'!$B$8:$B$502))*('Hoạt động'!$AO$8:$AO$502&lt;&gt;""))+SUMPRODUCT(ISNUMBER(SEARCH($B38,'Cá nhân'!$B$8:$B$502))*('Cá nhân'!$AO$8:$AO$502&lt;&gt;""))+SUMPRODUCT(ISNUMBER(SEARCH($B38,'Thông báo'!$B$8:$B$502))*('Thông báo'!$AO$8:$AO$502&lt;&gt;""))+SUMPRODUCT(ISNUMBER(SEARCH($B38,'Đăng tin'!$B$8:$B$502))*('Đăng tin'!$AO$8:$AO$502&lt;&gt;""))+SUMPRODUCT(ISNUMBER(SEARCH($B38,'Trang chủ'!$B$8:$B$502))*('Trang chủ'!$AO$8:$AO$502&lt;&gt;""))+SUMPRODUCT(ISNUMBER(SEARCH($B38,'Bảng tin &amp; Chi tiết tin'!$B$8:$B$502))*('Bảng tin &amp; Chi tiết tin'!$AO$8:$AO$502&lt;&gt;""))+SUMPRODUCT(ISNUMBER(SEARCH($B38,'Theo dõi đơn'!$B$8:$B$502))*('Theo dõi đơn'!$AO$8:$AO$502&lt;&gt;""))+SUMPRODUCT(ISNUMBER(SEARCH($B38,'Huỷ đơn'!$B$8:$B$502))*('Huỷ đơn'!$AO$8:$AO$502&lt;&gt;""))+SUMPRODUCT(ISNUMBER(SEARCH($B38,'Tặng quà'!$B$8:$B$502))*('Tặng quà'!$AO$8:$AO$502&lt;&gt;""))</f>
        <v>0</v>
      </c>
      <c r="G38" s="52" t="n">
        <f aca="false">COUNTIFS('Hoạt động'!$B$8:$B$502,"*"&amp;$B38&amp;"*",'Hoạt động'!$AO$8:$AO$502,"Pass")+COUNTIFS('Cá nhân'!$B$8:$B$502,"*"&amp;$B38&amp;"*",'Cá nhân'!$AO$8:$AO$502,"Pass")+COUNTIFS('Thông báo'!$B$8:$B$502,"*"&amp;$B38&amp;"*",'Thông báo'!$AO$8:$AO$502,"Pass")+COUNTIFS('Đăng tin'!$B$8:$B$502,"*"&amp;$B38&amp;"*",'Đăng tin'!$AO$8:$AO$502,"Pass")+COUNTIFS('Trang chủ'!$B$8:$B$502,"*"&amp;$B38&amp;"*",'Trang chủ'!$AO$8:$AO$502,"Pass")+COUNTIFS('Bảng tin &amp; Chi tiết tin'!$B$8:$B$502,"*"&amp;$B38&amp;"*",'Bảng tin &amp; Chi tiết tin'!$AO$8:$AO$502,"Pass")+COUNTIFS('Theo dõi đơn'!$B$8:$B$502,"*"&amp;$B38&amp;"*",'Theo dõi đơn'!$AO$8:$AO$502,"Pass")+COUNTIFS('Huỷ đơn'!$B$8:$B$502,"*"&amp;$B38&amp;"*",'Huỷ đơn'!$AO$8:$AO$502,"Pass")+COUNTIFS('Tặng quà'!$B$8:$B$502,"*"&amp;$B38&amp;"*",'Tặng quà'!$AO$8:$AO$502,"Pass")</f>
        <v>0</v>
      </c>
      <c r="H38" s="52" t="n">
        <f aca="false">COUNTIFS('Hoạt động'!$B$8:$B$502,"*"&amp;$B38&amp;"*",'Hoạt động'!$AO$8:$AO$502,"Fail")+COUNTIFS('Cá nhân'!$B$8:$B$502,"*"&amp;$B38&amp;"*",'Cá nhân'!$AO$8:$AO$502,"Fail")+COUNTIFS('Thông báo'!$B$8:$B$502,"*"&amp;$B38&amp;"*",'Thông báo'!$AO$8:$AO$502,"Fail")+COUNTIFS('Đăng tin'!$B$8:$B$502,"*"&amp;$B38&amp;"*",'Đăng tin'!$AO$8:$AO$502,"Fail")+COUNTIFS('Trang chủ'!$B$8:$B$502,"*"&amp;$B38&amp;"*",'Trang chủ'!$AO$8:$AO$502,"Fail")+COUNTIFS('Bảng tin &amp; Chi tiết tin'!$B$8:$B$502,"*"&amp;$B38&amp;"*",'Bảng tin &amp; Chi tiết tin'!$AO$8:$AO$502,"Fail")+COUNTIFS('Theo dõi đơn'!$B$8:$B$502,"*"&amp;$B38&amp;"*",'Theo dõi đơn'!$AO$8:$AO$502,"Fail")+COUNTIFS('Huỷ đơn'!$B$8:$B$502,"*"&amp;$B38&amp;"*",'Huỷ đơn'!$AO$8:$AO$502,"Fail")+COUNTIFS('Tặng quà'!$B$8:$B$502,"*"&amp;$B38&amp;"*",'Tặng quà'!$AO$8:$AO$502,"Fail")</f>
        <v>0</v>
      </c>
      <c r="I38" s="53" t="n">
        <f aca="false">IFERROR(F38/E38,0)</f>
        <v>0</v>
      </c>
      <c r="J38" s="123" t="str">
        <f aca="false">IF(E38=0,"Chưa có TC (gap)",IF(H38&gt;0,"Có lỗi (Fail)",IF(F38&gt;=E38,"Đã test xong","Đang test")))</f>
        <v>Đang test</v>
      </c>
    </row>
    <row r="39" customFormat="false" ht="15" hidden="false" customHeight="true" outlineLevel="0" collapsed="false">
      <c r="B39" s="178" t="s">
        <v>584</v>
      </c>
      <c r="C39" s="54" t="s">
        <v>585</v>
      </c>
      <c r="D39" s="123" t="s">
        <v>586</v>
      </c>
      <c r="E39" s="52" t="n">
        <f aca="false">COUNTIF('Hoạt động'!$B$8:$B$502,"*"&amp;$B39&amp;"*")+COUNTIF('Cá nhân'!$B$8:$B$502,"*"&amp;$B39&amp;"*")+COUNTIF('Thông báo'!$B$8:$B$502,"*"&amp;$B39&amp;"*")+COUNTIF('Đăng tin'!$B$8:$B$502,"*"&amp;$B39&amp;"*")+COUNTIF('Trang chủ'!$B$8:$B$502,"*"&amp;$B39&amp;"*")+COUNTIF('Bảng tin &amp; Chi tiết tin'!$B$8:$B$502,"*"&amp;$B39&amp;"*")+COUNTIF('Theo dõi đơn'!$B$8:$B$502,"*"&amp;$B39&amp;"*")+COUNTIF('Huỷ đơn'!$B$8:$B$502,"*"&amp;$B39&amp;"*")+COUNTIF('Tặng quà'!$B$8:$B$502,"*"&amp;$B39&amp;"*")</f>
        <v>3</v>
      </c>
      <c r="F39" s="52" t="n">
        <f aca="false">SUMPRODUCT(ISNUMBER(SEARCH($B39,'Hoạt động'!$B$8:$B$502))*('Hoạt động'!$AO$8:$AO$502&lt;&gt;""))+SUMPRODUCT(ISNUMBER(SEARCH($B39,'Cá nhân'!$B$8:$B$502))*('Cá nhân'!$AO$8:$AO$502&lt;&gt;""))+SUMPRODUCT(ISNUMBER(SEARCH($B39,'Thông báo'!$B$8:$B$502))*('Thông báo'!$AO$8:$AO$502&lt;&gt;""))+SUMPRODUCT(ISNUMBER(SEARCH($B39,'Đăng tin'!$B$8:$B$502))*('Đăng tin'!$AO$8:$AO$502&lt;&gt;""))+SUMPRODUCT(ISNUMBER(SEARCH($B39,'Trang chủ'!$B$8:$B$502))*('Trang chủ'!$AO$8:$AO$502&lt;&gt;""))+SUMPRODUCT(ISNUMBER(SEARCH($B39,'Bảng tin &amp; Chi tiết tin'!$B$8:$B$502))*('Bảng tin &amp; Chi tiết tin'!$AO$8:$AO$502&lt;&gt;""))+SUMPRODUCT(ISNUMBER(SEARCH($B39,'Theo dõi đơn'!$B$8:$B$502))*('Theo dõi đơn'!$AO$8:$AO$502&lt;&gt;""))+SUMPRODUCT(ISNUMBER(SEARCH($B39,'Huỷ đơn'!$B$8:$B$502))*('Huỷ đơn'!$AO$8:$AO$502&lt;&gt;""))+SUMPRODUCT(ISNUMBER(SEARCH($B39,'Tặng quà'!$B$8:$B$502))*('Tặng quà'!$AO$8:$AO$502&lt;&gt;""))</f>
        <v>0</v>
      </c>
      <c r="G39" s="52" t="n">
        <f aca="false">COUNTIFS('Hoạt động'!$B$8:$B$502,"*"&amp;$B39&amp;"*",'Hoạt động'!$AO$8:$AO$502,"Pass")+COUNTIFS('Cá nhân'!$B$8:$B$502,"*"&amp;$B39&amp;"*",'Cá nhân'!$AO$8:$AO$502,"Pass")+COUNTIFS('Thông báo'!$B$8:$B$502,"*"&amp;$B39&amp;"*",'Thông báo'!$AO$8:$AO$502,"Pass")+COUNTIFS('Đăng tin'!$B$8:$B$502,"*"&amp;$B39&amp;"*",'Đăng tin'!$AO$8:$AO$502,"Pass")+COUNTIFS('Trang chủ'!$B$8:$B$502,"*"&amp;$B39&amp;"*",'Trang chủ'!$AO$8:$AO$502,"Pass")+COUNTIFS('Bảng tin &amp; Chi tiết tin'!$B$8:$B$502,"*"&amp;$B39&amp;"*",'Bảng tin &amp; Chi tiết tin'!$AO$8:$AO$502,"Pass")+COUNTIFS('Theo dõi đơn'!$B$8:$B$502,"*"&amp;$B39&amp;"*",'Theo dõi đơn'!$AO$8:$AO$502,"Pass")+COUNTIFS('Huỷ đơn'!$B$8:$B$502,"*"&amp;$B39&amp;"*",'Huỷ đơn'!$AO$8:$AO$502,"Pass")+COUNTIFS('Tặng quà'!$B$8:$B$502,"*"&amp;$B39&amp;"*",'Tặng quà'!$AO$8:$AO$502,"Pass")</f>
        <v>0</v>
      </c>
      <c r="H39" s="52" t="n">
        <f aca="false">COUNTIFS('Hoạt động'!$B$8:$B$502,"*"&amp;$B39&amp;"*",'Hoạt động'!$AO$8:$AO$502,"Fail")+COUNTIFS('Cá nhân'!$B$8:$B$502,"*"&amp;$B39&amp;"*",'Cá nhân'!$AO$8:$AO$502,"Fail")+COUNTIFS('Thông báo'!$B$8:$B$502,"*"&amp;$B39&amp;"*",'Thông báo'!$AO$8:$AO$502,"Fail")+COUNTIFS('Đăng tin'!$B$8:$B$502,"*"&amp;$B39&amp;"*",'Đăng tin'!$AO$8:$AO$502,"Fail")+COUNTIFS('Trang chủ'!$B$8:$B$502,"*"&amp;$B39&amp;"*",'Trang chủ'!$AO$8:$AO$502,"Fail")+COUNTIFS('Bảng tin &amp; Chi tiết tin'!$B$8:$B$502,"*"&amp;$B39&amp;"*",'Bảng tin &amp; Chi tiết tin'!$AO$8:$AO$502,"Fail")+COUNTIFS('Theo dõi đơn'!$B$8:$B$502,"*"&amp;$B39&amp;"*",'Theo dõi đơn'!$AO$8:$AO$502,"Fail")+COUNTIFS('Huỷ đơn'!$B$8:$B$502,"*"&amp;$B39&amp;"*",'Huỷ đơn'!$AO$8:$AO$502,"Fail")+COUNTIFS('Tặng quà'!$B$8:$B$502,"*"&amp;$B39&amp;"*",'Tặng quà'!$AO$8:$AO$502,"Fail")</f>
        <v>0</v>
      </c>
      <c r="I39" s="53" t="n">
        <f aca="false">IFERROR(F39/E39,0)</f>
        <v>0</v>
      </c>
      <c r="J39" s="123" t="str">
        <f aca="false">IF(E39=0,"Chưa có TC (gap)",IF(H39&gt;0,"Có lỗi (Fail)",IF(F39&gt;=E39,"Đã test xong","Đang test")))</f>
        <v>Đang test</v>
      </c>
    </row>
    <row r="40" customFormat="false" ht="15" hidden="false" customHeight="true" outlineLevel="0" collapsed="false">
      <c r="B40" s="178" t="s">
        <v>587</v>
      </c>
      <c r="C40" s="54" t="s">
        <v>588</v>
      </c>
      <c r="D40" s="123" t="s">
        <v>589</v>
      </c>
      <c r="E40" s="52" t="n">
        <f aca="false">COUNTIF('Hoạt động'!$B$8:$B$502,"*"&amp;$B40&amp;"*")+COUNTIF('Cá nhân'!$B$8:$B$502,"*"&amp;$B40&amp;"*")+COUNTIF('Thông báo'!$B$8:$B$502,"*"&amp;$B40&amp;"*")+COUNTIF('Đăng tin'!$B$8:$B$502,"*"&amp;$B40&amp;"*")+COUNTIF('Trang chủ'!$B$8:$B$502,"*"&amp;$B40&amp;"*")+COUNTIF('Bảng tin &amp; Chi tiết tin'!$B$8:$B$502,"*"&amp;$B40&amp;"*")+COUNTIF('Theo dõi đơn'!$B$8:$B$502,"*"&amp;$B40&amp;"*")+COUNTIF('Huỷ đơn'!$B$8:$B$502,"*"&amp;$B40&amp;"*")+COUNTIF('Tặng quà'!$B$8:$B$502,"*"&amp;$B40&amp;"*")</f>
        <v>31</v>
      </c>
      <c r="F40" s="52" t="n">
        <f aca="false">SUMPRODUCT(ISNUMBER(SEARCH($B40,'Hoạt động'!$B$8:$B$502))*('Hoạt động'!$AO$8:$AO$502&lt;&gt;""))+SUMPRODUCT(ISNUMBER(SEARCH($B40,'Cá nhân'!$B$8:$B$502))*('Cá nhân'!$AO$8:$AO$502&lt;&gt;""))+SUMPRODUCT(ISNUMBER(SEARCH($B40,'Thông báo'!$B$8:$B$502))*('Thông báo'!$AO$8:$AO$502&lt;&gt;""))+SUMPRODUCT(ISNUMBER(SEARCH($B40,'Đăng tin'!$B$8:$B$502))*('Đăng tin'!$AO$8:$AO$502&lt;&gt;""))+SUMPRODUCT(ISNUMBER(SEARCH($B40,'Trang chủ'!$B$8:$B$502))*('Trang chủ'!$AO$8:$AO$502&lt;&gt;""))+SUMPRODUCT(ISNUMBER(SEARCH($B40,'Bảng tin &amp; Chi tiết tin'!$B$8:$B$502))*('Bảng tin &amp; Chi tiết tin'!$AO$8:$AO$502&lt;&gt;""))+SUMPRODUCT(ISNUMBER(SEARCH($B40,'Theo dõi đơn'!$B$8:$B$502))*('Theo dõi đơn'!$AO$8:$AO$502&lt;&gt;""))+SUMPRODUCT(ISNUMBER(SEARCH($B40,'Huỷ đơn'!$B$8:$B$502))*('Huỷ đơn'!$AO$8:$AO$502&lt;&gt;""))+SUMPRODUCT(ISNUMBER(SEARCH($B40,'Tặng quà'!$B$8:$B$502))*('Tặng quà'!$AO$8:$AO$502&lt;&gt;""))</f>
        <v>0</v>
      </c>
      <c r="G40" s="52" t="n">
        <f aca="false">COUNTIFS('Hoạt động'!$B$8:$B$502,"*"&amp;$B40&amp;"*",'Hoạt động'!$AO$8:$AO$502,"Pass")+COUNTIFS('Cá nhân'!$B$8:$B$502,"*"&amp;$B40&amp;"*",'Cá nhân'!$AO$8:$AO$502,"Pass")+COUNTIFS('Thông báo'!$B$8:$B$502,"*"&amp;$B40&amp;"*",'Thông báo'!$AO$8:$AO$502,"Pass")+COUNTIFS('Đăng tin'!$B$8:$B$502,"*"&amp;$B40&amp;"*",'Đăng tin'!$AO$8:$AO$502,"Pass")+COUNTIFS('Trang chủ'!$B$8:$B$502,"*"&amp;$B40&amp;"*",'Trang chủ'!$AO$8:$AO$502,"Pass")+COUNTIFS('Bảng tin &amp; Chi tiết tin'!$B$8:$B$502,"*"&amp;$B40&amp;"*",'Bảng tin &amp; Chi tiết tin'!$AO$8:$AO$502,"Pass")+COUNTIFS('Theo dõi đơn'!$B$8:$B$502,"*"&amp;$B40&amp;"*",'Theo dõi đơn'!$AO$8:$AO$502,"Pass")+COUNTIFS('Huỷ đơn'!$B$8:$B$502,"*"&amp;$B40&amp;"*",'Huỷ đơn'!$AO$8:$AO$502,"Pass")+COUNTIFS('Tặng quà'!$B$8:$B$502,"*"&amp;$B40&amp;"*",'Tặng quà'!$AO$8:$AO$502,"Pass")</f>
        <v>0</v>
      </c>
      <c r="H40" s="52" t="n">
        <f aca="false">COUNTIFS('Hoạt động'!$B$8:$B$502,"*"&amp;$B40&amp;"*",'Hoạt động'!$AO$8:$AO$502,"Fail")+COUNTIFS('Cá nhân'!$B$8:$B$502,"*"&amp;$B40&amp;"*",'Cá nhân'!$AO$8:$AO$502,"Fail")+COUNTIFS('Thông báo'!$B$8:$B$502,"*"&amp;$B40&amp;"*",'Thông báo'!$AO$8:$AO$502,"Fail")+COUNTIFS('Đăng tin'!$B$8:$B$502,"*"&amp;$B40&amp;"*",'Đăng tin'!$AO$8:$AO$502,"Fail")+COUNTIFS('Trang chủ'!$B$8:$B$502,"*"&amp;$B40&amp;"*",'Trang chủ'!$AO$8:$AO$502,"Fail")+COUNTIFS('Bảng tin &amp; Chi tiết tin'!$B$8:$B$502,"*"&amp;$B40&amp;"*",'Bảng tin &amp; Chi tiết tin'!$AO$8:$AO$502,"Fail")+COUNTIFS('Theo dõi đơn'!$B$8:$B$502,"*"&amp;$B40&amp;"*",'Theo dõi đơn'!$AO$8:$AO$502,"Fail")+COUNTIFS('Huỷ đơn'!$B$8:$B$502,"*"&amp;$B40&amp;"*",'Huỷ đơn'!$AO$8:$AO$502,"Fail")+COUNTIFS('Tặng quà'!$B$8:$B$502,"*"&amp;$B40&amp;"*",'Tặng quà'!$AO$8:$AO$502,"Fail")</f>
        <v>0</v>
      </c>
      <c r="I40" s="53" t="n">
        <f aca="false">IFERROR(F40/E40,0)</f>
        <v>0</v>
      </c>
      <c r="J40" s="123" t="str">
        <f aca="false">IF(E40=0,"Chưa có TC (gap)",IF(H40&gt;0,"Có lỗi (Fail)",IF(F40&gt;=E40,"Đã test xong","Đang test")))</f>
        <v>Đang test</v>
      </c>
    </row>
    <row r="41" customFormat="false" ht="15" hidden="false" customHeight="true" outlineLevel="0" collapsed="false">
      <c r="B41" s="178" t="s">
        <v>590</v>
      </c>
      <c r="C41" s="54" t="s">
        <v>591</v>
      </c>
      <c r="D41" s="123" t="s">
        <v>592</v>
      </c>
      <c r="E41" s="52" t="n">
        <f aca="false">COUNTIF('Hoạt động'!$B$8:$B$502,"*"&amp;$B41&amp;"*")+COUNTIF('Cá nhân'!$B$8:$B$502,"*"&amp;$B41&amp;"*")+COUNTIF('Thông báo'!$B$8:$B$502,"*"&amp;$B41&amp;"*")+COUNTIF('Đăng tin'!$B$8:$B$502,"*"&amp;$B41&amp;"*")+COUNTIF('Trang chủ'!$B$8:$B$502,"*"&amp;$B41&amp;"*")+COUNTIF('Bảng tin &amp; Chi tiết tin'!$B$8:$B$502,"*"&amp;$B41&amp;"*")+COUNTIF('Theo dõi đơn'!$B$8:$B$502,"*"&amp;$B41&amp;"*")+COUNTIF('Huỷ đơn'!$B$8:$B$502,"*"&amp;$B41&amp;"*")+COUNTIF('Tặng quà'!$B$8:$B$502,"*"&amp;$B41&amp;"*")</f>
        <v>1</v>
      </c>
      <c r="F41" s="52" t="n">
        <f aca="false">SUMPRODUCT(ISNUMBER(SEARCH($B41,'Hoạt động'!$B$8:$B$502))*('Hoạt động'!$AO$8:$AO$502&lt;&gt;""))+SUMPRODUCT(ISNUMBER(SEARCH($B41,'Cá nhân'!$B$8:$B$502))*('Cá nhân'!$AO$8:$AO$502&lt;&gt;""))+SUMPRODUCT(ISNUMBER(SEARCH($B41,'Thông báo'!$B$8:$B$502))*('Thông báo'!$AO$8:$AO$502&lt;&gt;""))+SUMPRODUCT(ISNUMBER(SEARCH($B41,'Đăng tin'!$B$8:$B$502))*('Đăng tin'!$AO$8:$AO$502&lt;&gt;""))+SUMPRODUCT(ISNUMBER(SEARCH($B41,'Trang chủ'!$B$8:$B$502))*('Trang chủ'!$AO$8:$AO$502&lt;&gt;""))+SUMPRODUCT(ISNUMBER(SEARCH($B41,'Bảng tin &amp; Chi tiết tin'!$B$8:$B$502))*('Bảng tin &amp; Chi tiết tin'!$AO$8:$AO$502&lt;&gt;""))+SUMPRODUCT(ISNUMBER(SEARCH($B41,'Theo dõi đơn'!$B$8:$B$502))*('Theo dõi đơn'!$AO$8:$AO$502&lt;&gt;""))+SUMPRODUCT(ISNUMBER(SEARCH($B41,'Huỷ đơn'!$B$8:$B$502))*('Huỷ đơn'!$AO$8:$AO$502&lt;&gt;""))+SUMPRODUCT(ISNUMBER(SEARCH($B41,'Tặng quà'!$B$8:$B$502))*('Tặng quà'!$AO$8:$AO$502&lt;&gt;""))</f>
        <v>0</v>
      </c>
      <c r="G41" s="52" t="n">
        <f aca="false">COUNTIFS('Hoạt động'!$B$8:$B$502,"*"&amp;$B41&amp;"*",'Hoạt động'!$AO$8:$AO$502,"Pass")+COUNTIFS('Cá nhân'!$B$8:$B$502,"*"&amp;$B41&amp;"*",'Cá nhân'!$AO$8:$AO$502,"Pass")+COUNTIFS('Thông báo'!$B$8:$B$502,"*"&amp;$B41&amp;"*",'Thông báo'!$AO$8:$AO$502,"Pass")+COUNTIFS('Đăng tin'!$B$8:$B$502,"*"&amp;$B41&amp;"*",'Đăng tin'!$AO$8:$AO$502,"Pass")+COUNTIFS('Trang chủ'!$B$8:$B$502,"*"&amp;$B41&amp;"*",'Trang chủ'!$AO$8:$AO$502,"Pass")+COUNTIFS('Bảng tin &amp; Chi tiết tin'!$B$8:$B$502,"*"&amp;$B41&amp;"*",'Bảng tin &amp; Chi tiết tin'!$AO$8:$AO$502,"Pass")+COUNTIFS('Theo dõi đơn'!$B$8:$B$502,"*"&amp;$B41&amp;"*",'Theo dõi đơn'!$AO$8:$AO$502,"Pass")+COUNTIFS('Huỷ đơn'!$B$8:$B$502,"*"&amp;$B41&amp;"*",'Huỷ đơn'!$AO$8:$AO$502,"Pass")+COUNTIFS('Tặng quà'!$B$8:$B$502,"*"&amp;$B41&amp;"*",'Tặng quà'!$AO$8:$AO$502,"Pass")</f>
        <v>0</v>
      </c>
      <c r="H41" s="52" t="n">
        <f aca="false">COUNTIFS('Hoạt động'!$B$8:$B$502,"*"&amp;$B41&amp;"*",'Hoạt động'!$AO$8:$AO$502,"Fail")+COUNTIFS('Cá nhân'!$B$8:$B$502,"*"&amp;$B41&amp;"*",'Cá nhân'!$AO$8:$AO$502,"Fail")+COUNTIFS('Thông báo'!$B$8:$B$502,"*"&amp;$B41&amp;"*",'Thông báo'!$AO$8:$AO$502,"Fail")+COUNTIFS('Đăng tin'!$B$8:$B$502,"*"&amp;$B41&amp;"*",'Đăng tin'!$AO$8:$AO$502,"Fail")+COUNTIFS('Trang chủ'!$B$8:$B$502,"*"&amp;$B41&amp;"*",'Trang chủ'!$AO$8:$AO$502,"Fail")+COUNTIFS('Bảng tin &amp; Chi tiết tin'!$B$8:$B$502,"*"&amp;$B41&amp;"*",'Bảng tin &amp; Chi tiết tin'!$AO$8:$AO$502,"Fail")+COUNTIFS('Theo dõi đơn'!$B$8:$B$502,"*"&amp;$B41&amp;"*",'Theo dõi đơn'!$AO$8:$AO$502,"Fail")+COUNTIFS('Huỷ đơn'!$B$8:$B$502,"*"&amp;$B41&amp;"*",'Huỷ đơn'!$AO$8:$AO$502,"Fail")+COUNTIFS('Tặng quà'!$B$8:$B$502,"*"&amp;$B41&amp;"*",'Tặng quà'!$AO$8:$AO$502,"Fail")</f>
        <v>0</v>
      </c>
      <c r="I41" s="53" t="n">
        <f aca="false">IFERROR(F41/E41,0)</f>
        <v>0</v>
      </c>
      <c r="J41" s="123" t="str">
        <f aca="false">IF(E41=0,"Chưa có TC (gap)",IF(H41&gt;0,"Có lỗi (Fail)",IF(F41&gt;=E41,"Đã test xong","Đang test")))</f>
        <v>Đang test</v>
      </c>
    </row>
    <row r="42" customFormat="false" ht="15" hidden="false" customHeight="true" outlineLevel="0" collapsed="false">
      <c r="B42" s="178" t="s">
        <v>593</v>
      </c>
      <c r="C42" s="54" t="s">
        <v>594</v>
      </c>
      <c r="D42" s="123" t="s">
        <v>595</v>
      </c>
      <c r="E42" s="52" t="n">
        <f aca="false">COUNTIF('Hoạt động'!$B$8:$B$502,"*"&amp;$B42&amp;"*")+COUNTIF('Cá nhân'!$B$8:$B$502,"*"&amp;$B42&amp;"*")+COUNTIF('Thông báo'!$B$8:$B$502,"*"&amp;$B42&amp;"*")+COUNTIF('Đăng tin'!$B$8:$B$502,"*"&amp;$B42&amp;"*")+COUNTIF('Trang chủ'!$B$8:$B$502,"*"&amp;$B42&amp;"*")+COUNTIF('Bảng tin &amp; Chi tiết tin'!$B$8:$B$502,"*"&amp;$B42&amp;"*")+COUNTIF('Theo dõi đơn'!$B$8:$B$502,"*"&amp;$B42&amp;"*")+COUNTIF('Huỷ đơn'!$B$8:$B$502,"*"&amp;$B42&amp;"*")+COUNTIF('Tặng quà'!$B$8:$B$502,"*"&amp;$B42&amp;"*")</f>
        <v>2</v>
      </c>
      <c r="F42" s="52" t="n">
        <f aca="false">SUMPRODUCT(ISNUMBER(SEARCH($B42,'Hoạt động'!$B$8:$B$502))*('Hoạt động'!$AO$8:$AO$502&lt;&gt;""))+SUMPRODUCT(ISNUMBER(SEARCH($B42,'Cá nhân'!$B$8:$B$502))*('Cá nhân'!$AO$8:$AO$502&lt;&gt;""))+SUMPRODUCT(ISNUMBER(SEARCH($B42,'Thông báo'!$B$8:$B$502))*('Thông báo'!$AO$8:$AO$502&lt;&gt;""))+SUMPRODUCT(ISNUMBER(SEARCH($B42,'Đăng tin'!$B$8:$B$502))*('Đăng tin'!$AO$8:$AO$502&lt;&gt;""))+SUMPRODUCT(ISNUMBER(SEARCH($B42,'Trang chủ'!$B$8:$B$502))*('Trang chủ'!$AO$8:$AO$502&lt;&gt;""))+SUMPRODUCT(ISNUMBER(SEARCH($B42,'Bảng tin &amp; Chi tiết tin'!$B$8:$B$502))*('Bảng tin &amp; Chi tiết tin'!$AO$8:$AO$502&lt;&gt;""))+SUMPRODUCT(ISNUMBER(SEARCH($B42,'Theo dõi đơn'!$B$8:$B$502))*('Theo dõi đơn'!$AO$8:$AO$502&lt;&gt;""))+SUMPRODUCT(ISNUMBER(SEARCH($B42,'Huỷ đơn'!$B$8:$B$502))*('Huỷ đơn'!$AO$8:$AO$502&lt;&gt;""))+SUMPRODUCT(ISNUMBER(SEARCH($B42,'Tặng quà'!$B$8:$B$502))*('Tặng quà'!$AO$8:$AO$502&lt;&gt;""))</f>
        <v>0</v>
      </c>
      <c r="G42" s="52" t="n">
        <f aca="false">COUNTIFS('Hoạt động'!$B$8:$B$502,"*"&amp;$B42&amp;"*",'Hoạt động'!$AO$8:$AO$502,"Pass")+COUNTIFS('Cá nhân'!$B$8:$B$502,"*"&amp;$B42&amp;"*",'Cá nhân'!$AO$8:$AO$502,"Pass")+COUNTIFS('Thông báo'!$B$8:$B$502,"*"&amp;$B42&amp;"*",'Thông báo'!$AO$8:$AO$502,"Pass")+COUNTIFS('Đăng tin'!$B$8:$B$502,"*"&amp;$B42&amp;"*",'Đăng tin'!$AO$8:$AO$502,"Pass")+COUNTIFS('Trang chủ'!$B$8:$B$502,"*"&amp;$B42&amp;"*",'Trang chủ'!$AO$8:$AO$502,"Pass")+COUNTIFS('Bảng tin &amp; Chi tiết tin'!$B$8:$B$502,"*"&amp;$B42&amp;"*",'Bảng tin &amp; Chi tiết tin'!$AO$8:$AO$502,"Pass")+COUNTIFS('Theo dõi đơn'!$B$8:$B$502,"*"&amp;$B42&amp;"*",'Theo dõi đơn'!$AO$8:$AO$502,"Pass")+COUNTIFS('Huỷ đơn'!$B$8:$B$502,"*"&amp;$B42&amp;"*",'Huỷ đơn'!$AO$8:$AO$502,"Pass")+COUNTIFS('Tặng quà'!$B$8:$B$502,"*"&amp;$B42&amp;"*",'Tặng quà'!$AO$8:$AO$502,"Pass")</f>
        <v>0</v>
      </c>
      <c r="H42" s="52" t="n">
        <f aca="false">COUNTIFS('Hoạt động'!$B$8:$B$502,"*"&amp;$B42&amp;"*",'Hoạt động'!$AO$8:$AO$502,"Fail")+COUNTIFS('Cá nhân'!$B$8:$B$502,"*"&amp;$B42&amp;"*",'Cá nhân'!$AO$8:$AO$502,"Fail")+COUNTIFS('Thông báo'!$B$8:$B$502,"*"&amp;$B42&amp;"*",'Thông báo'!$AO$8:$AO$502,"Fail")+COUNTIFS('Đăng tin'!$B$8:$B$502,"*"&amp;$B42&amp;"*",'Đăng tin'!$AO$8:$AO$502,"Fail")+COUNTIFS('Trang chủ'!$B$8:$B$502,"*"&amp;$B42&amp;"*",'Trang chủ'!$AO$8:$AO$502,"Fail")+COUNTIFS('Bảng tin &amp; Chi tiết tin'!$B$8:$B$502,"*"&amp;$B42&amp;"*",'Bảng tin &amp; Chi tiết tin'!$AO$8:$AO$502,"Fail")+COUNTIFS('Theo dõi đơn'!$B$8:$B$502,"*"&amp;$B42&amp;"*",'Theo dõi đơn'!$AO$8:$AO$502,"Fail")+COUNTIFS('Huỷ đơn'!$B$8:$B$502,"*"&amp;$B42&amp;"*",'Huỷ đơn'!$AO$8:$AO$502,"Fail")+COUNTIFS('Tặng quà'!$B$8:$B$502,"*"&amp;$B42&amp;"*",'Tặng quà'!$AO$8:$AO$502,"Fail")</f>
        <v>0</v>
      </c>
      <c r="I42" s="53" t="n">
        <f aca="false">IFERROR(F42/E42,0)</f>
        <v>0</v>
      </c>
      <c r="J42" s="123" t="str">
        <f aca="false">IF(E42=0,"Chưa có TC (gap)",IF(H42&gt;0,"Có lỗi (Fail)",IF(F42&gt;=E42,"Đã test xong","Đang test")))</f>
        <v>Đang test</v>
      </c>
    </row>
    <row r="43" customFormat="false" ht="15" hidden="false" customHeight="true" outlineLevel="0" collapsed="false">
      <c r="B43" s="178" t="s">
        <v>596</v>
      </c>
      <c r="C43" s="54" t="s">
        <v>597</v>
      </c>
      <c r="D43" s="123" t="s">
        <v>598</v>
      </c>
      <c r="E43" s="52" t="n">
        <f aca="false">COUNTIF('Hoạt động'!$B$8:$B$502,"*"&amp;$B43&amp;"*")+COUNTIF('Cá nhân'!$B$8:$B$502,"*"&amp;$B43&amp;"*")+COUNTIF('Thông báo'!$B$8:$B$502,"*"&amp;$B43&amp;"*")+COUNTIF('Đăng tin'!$B$8:$B$502,"*"&amp;$B43&amp;"*")+COUNTIF('Trang chủ'!$B$8:$B$502,"*"&amp;$B43&amp;"*")+COUNTIF('Bảng tin &amp; Chi tiết tin'!$B$8:$B$502,"*"&amp;$B43&amp;"*")+COUNTIF('Theo dõi đơn'!$B$8:$B$502,"*"&amp;$B43&amp;"*")+COUNTIF('Huỷ đơn'!$B$8:$B$502,"*"&amp;$B43&amp;"*")+COUNTIF('Tặng quà'!$B$8:$B$502,"*"&amp;$B43&amp;"*")</f>
        <v>7</v>
      </c>
      <c r="F43" s="52" t="n">
        <f aca="false">SUMPRODUCT(ISNUMBER(SEARCH($B43,'Hoạt động'!$B$8:$B$502))*('Hoạt động'!$AO$8:$AO$502&lt;&gt;""))+SUMPRODUCT(ISNUMBER(SEARCH($B43,'Cá nhân'!$B$8:$B$502))*('Cá nhân'!$AO$8:$AO$502&lt;&gt;""))+SUMPRODUCT(ISNUMBER(SEARCH($B43,'Thông báo'!$B$8:$B$502))*('Thông báo'!$AO$8:$AO$502&lt;&gt;""))+SUMPRODUCT(ISNUMBER(SEARCH($B43,'Đăng tin'!$B$8:$B$502))*('Đăng tin'!$AO$8:$AO$502&lt;&gt;""))+SUMPRODUCT(ISNUMBER(SEARCH($B43,'Trang chủ'!$B$8:$B$502))*('Trang chủ'!$AO$8:$AO$502&lt;&gt;""))+SUMPRODUCT(ISNUMBER(SEARCH($B43,'Bảng tin &amp; Chi tiết tin'!$B$8:$B$502))*('Bảng tin &amp; Chi tiết tin'!$AO$8:$AO$502&lt;&gt;""))+SUMPRODUCT(ISNUMBER(SEARCH($B43,'Theo dõi đơn'!$B$8:$B$502))*('Theo dõi đơn'!$AO$8:$AO$502&lt;&gt;""))+SUMPRODUCT(ISNUMBER(SEARCH($B43,'Huỷ đơn'!$B$8:$B$502))*('Huỷ đơn'!$AO$8:$AO$502&lt;&gt;""))+SUMPRODUCT(ISNUMBER(SEARCH($B43,'Tặng quà'!$B$8:$B$502))*('Tặng quà'!$AO$8:$AO$502&lt;&gt;""))</f>
        <v>0</v>
      </c>
      <c r="G43" s="52" t="n">
        <f aca="false">COUNTIFS('Hoạt động'!$B$8:$B$502,"*"&amp;$B43&amp;"*",'Hoạt động'!$AO$8:$AO$502,"Pass")+COUNTIFS('Cá nhân'!$B$8:$B$502,"*"&amp;$B43&amp;"*",'Cá nhân'!$AO$8:$AO$502,"Pass")+COUNTIFS('Thông báo'!$B$8:$B$502,"*"&amp;$B43&amp;"*",'Thông báo'!$AO$8:$AO$502,"Pass")+COUNTIFS('Đăng tin'!$B$8:$B$502,"*"&amp;$B43&amp;"*",'Đăng tin'!$AO$8:$AO$502,"Pass")+COUNTIFS('Trang chủ'!$B$8:$B$502,"*"&amp;$B43&amp;"*",'Trang chủ'!$AO$8:$AO$502,"Pass")+COUNTIFS('Bảng tin &amp; Chi tiết tin'!$B$8:$B$502,"*"&amp;$B43&amp;"*",'Bảng tin &amp; Chi tiết tin'!$AO$8:$AO$502,"Pass")+COUNTIFS('Theo dõi đơn'!$B$8:$B$502,"*"&amp;$B43&amp;"*",'Theo dõi đơn'!$AO$8:$AO$502,"Pass")+COUNTIFS('Huỷ đơn'!$B$8:$B$502,"*"&amp;$B43&amp;"*",'Huỷ đơn'!$AO$8:$AO$502,"Pass")+COUNTIFS('Tặng quà'!$B$8:$B$502,"*"&amp;$B43&amp;"*",'Tặng quà'!$AO$8:$AO$502,"Pass")</f>
        <v>0</v>
      </c>
      <c r="H43" s="52" t="n">
        <f aca="false">COUNTIFS('Hoạt động'!$B$8:$B$502,"*"&amp;$B43&amp;"*",'Hoạt động'!$AO$8:$AO$502,"Fail")+COUNTIFS('Cá nhân'!$B$8:$B$502,"*"&amp;$B43&amp;"*",'Cá nhân'!$AO$8:$AO$502,"Fail")+COUNTIFS('Thông báo'!$B$8:$B$502,"*"&amp;$B43&amp;"*",'Thông báo'!$AO$8:$AO$502,"Fail")+COUNTIFS('Đăng tin'!$B$8:$B$502,"*"&amp;$B43&amp;"*",'Đăng tin'!$AO$8:$AO$502,"Fail")+COUNTIFS('Trang chủ'!$B$8:$B$502,"*"&amp;$B43&amp;"*",'Trang chủ'!$AO$8:$AO$502,"Fail")+COUNTIFS('Bảng tin &amp; Chi tiết tin'!$B$8:$B$502,"*"&amp;$B43&amp;"*",'Bảng tin &amp; Chi tiết tin'!$AO$8:$AO$502,"Fail")+COUNTIFS('Theo dõi đơn'!$B$8:$B$502,"*"&amp;$B43&amp;"*",'Theo dõi đơn'!$AO$8:$AO$502,"Fail")+COUNTIFS('Huỷ đơn'!$B$8:$B$502,"*"&amp;$B43&amp;"*",'Huỷ đơn'!$AO$8:$AO$502,"Fail")+COUNTIFS('Tặng quà'!$B$8:$B$502,"*"&amp;$B43&amp;"*",'Tặng quà'!$AO$8:$AO$502,"Fail")</f>
        <v>0</v>
      </c>
      <c r="I43" s="53" t="n">
        <f aca="false">IFERROR(F43/E43,0)</f>
        <v>0</v>
      </c>
      <c r="J43" s="123" t="str">
        <f aca="false">IF(E43=0,"Chưa có TC (gap)",IF(H43&gt;0,"Có lỗi (Fail)",IF(F43&gt;=E43,"Đã test xong","Đang test")))</f>
        <v>Đang test</v>
      </c>
    </row>
    <row r="44" customFormat="false" ht="15" hidden="false" customHeight="true" outlineLevel="0" collapsed="false">
      <c r="B44" s="178" t="s">
        <v>599</v>
      </c>
      <c r="C44" s="54" t="s">
        <v>600</v>
      </c>
      <c r="D44" s="123" t="s">
        <v>601</v>
      </c>
      <c r="E44" s="52" t="n">
        <f aca="false">COUNTIF('Hoạt động'!$B$8:$B$502,"*"&amp;$B44&amp;"*")+COUNTIF('Cá nhân'!$B$8:$B$502,"*"&amp;$B44&amp;"*")+COUNTIF('Thông báo'!$B$8:$B$502,"*"&amp;$B44&amp;"*")+COUNTIF('Đăng tin'!$B$8:$B$502,"*"&amp;$B44&amp;"*")+COUNTIF('Trang chủ'!$B$8:$B$502,"*"&amp;$B44&amp;"*")+COUNTIF('Bảng tin &amp; Chi tiết tin'!$B$8:$B$502,"*"&amp;$B44&amp;"*")+COUNTIF('Theo dõi đơn'!$B$8:$B$502,"*"&amp;$B44&amp;"*")+COUNTIF('Huỷ đơn'!$B$8:$B$502,"*"&amp;$B44&amp;"*")+COUNTIF('Tặng quà'!$B$8:$B$502,"*"&amp;$B44&amp;"*")</f>
        <v>4</v>
      </c>
      <c r="F44" s="52" t="n">
        <f aca="false">SUMPRODUCT(ISNUMBER(SEARCH($B44,'Hoạt động'!$B$8:$B$502))*('Hoạt động'!$AO$8:$AO$502&lt;&gt;""))+SUMPRODUCT(ISNUMBER(SEARCH($B44,'Cá nhân'!$B$8:$B$502))*('Cá nhân'!$AO$8:$AO$502&lt;&gt;""))+SUMPRODUCT(ISNUMBER(SEARCH($B44,'Thông báo'!$B$8:$B$502))*('Thông báo'!$AO$8:$AO$502&lt;&gt;""))+SUMPRODUCT(ISNUMBER(SEARCH($B44,'Đăng tin'!$B$8:$B$502))*('Đăng tin'!$AO$8:$AO$502&lt;&gt;""))+SUMPRODUCT(ISNUMBER(SEARCH($B44,'Trang chủ'!$B$8:$B$502))*('Trang chủ'!$AO$8:$AO$502&lt;&gt;""))+SUMPRODUCT(ISNUMBER(SEARCH($B44,'Bảng tin &amp; Chi tiết tin'!$B$8:$B$502))*('Bảng tin &amp; Chi tiết tin'!$AO$8:$AO$502&lt;&gt;""))+SUMPRODUCT(ISNUMBER(SEARCH($B44,'Theo dõi đơn'!$B$8:$B$502))*('Theo dõi đơn'!$AO$8:$AO$502&lt;&gt;""))+SUMPRODUCT(ISNUMBER(SEARCH($B44,'Huỷ đơn'!$B$8:$B$502))*('Huỷ đơn'!$AO$8:$AO$502&lt;&gt;""))+SUMPRODUCT(ISNUMBER(SEARCH($B44,'Tặng quà'!$B$8:$B$502))*('Tặng quà'!$AO$8:$AO$502&lt;&gt;""))</f>
        <v>0</v>
      </c>
      <c r="G44" s="52" t="n">
        <f aca="false">COUNTIFS('Hoạt động'!$B$8:$B$502,"*"&amp;$B44&amp;"*",'Hoạt động'!$AO$8:$AO$502,"Pass")+COUNTIFS('Cá nhân'!$B$8:$B$502,"*"&amp;$B44&amp;"*",'Cá nhân'!$AO$8:$AO$502,"Pass")+COUNTIFS('Thông báo'!$B$8:$B$502,"*"&amp;$B44&amp;"*",'Thông báo'!$AO$8:$AO$502,"Pass")+COUNTIFS('Đăng tin'!$B$8:$B$502,"*"&amp;$B44&amp;"*",'Đăng tin'!$AO$8:$AO$502,"Pass")+COUNTIFS('Trang chủ'!$B$8:$B$502,"*"&amp;$B44&amp;"*",'Trang chủ'!$AO$8:$AO$502,"Pass")+COUNTIFS('Bảng tin &amp; Chi tiết tin'!$B$8:$B$502,"*"&amp;$B44&amp;"*",'Bảng tin &amp; Chi tiết tin'!$AO$8:$AO$502,"Pass")+COUNTIFS('Theo dõi đơn'!$B$8:$B$502,"*"&amp;$B44&amp;"*",'Theo dõi đơn'!$AO$8:$AO$502,"Pass")+COUNTIFS('Huỷ đơn'!$B$8:$B$502,"*"&amp;$B44&amp;"*",'Huỷ đơn'!$AO$8:$AO$502,"Pass")+COUNTIFS('Tặng quà'!$B$8:$B$502,"*"&amp;$B44&amp;"*",'Tặng quà'!$AO$8:$AO$502,"Pass")</f>
        <v>0</v>
      </c>
      <c r="H44" s="52" t="n">
        <f aca="false">COUNTIFS('Hoạt động'!$B$8:$B$502,"*"&amp;$B44&amp;"*",'Hoạt động'!$AO$8:$AO$502,"Fail")+COUNTIFS('Cá nhân'!$B$8:$B$502,"*"&amp;$B44&amp;"*",'Cá nhân'!$AO$8:$AO$502,"Fail")+COUNTIFS('Thông báo'!$B$8:$B$502,"*"&amp;$B44&amp;"*",'Thông báo'!$AO$8:$AO$502,"Fail")+COUNTIFS('Đăng tin'!$B$8:$B$502,"*"&amp;$B44&amp;"*",'Đăng tin'!$AO$8:$AO$502,"Fail")+COUNTIFS('Trang chủ'!$B$8:$B$502,"*"&amp;$B44&amp;"*",'Trang chủ'!$AO$8:$AO$502,"Fail")+COUNTIFS('Bảng tin &amp; Chi tiết tin'!$B$8:$B$502,"*"&amp;$B44&amp;"*",'Bảng tin &amp; Chi tiết tin'!$AO$8:$AO$502,"Fail")+COUNTIFS('Theo dõi đơn'!$B$8:$B$502,"*"&amp;$B44&amp;"*",'Theo dõi đơn'!$AO$8:$AO$502,"Fail")+COUNTIFS('Huỷ đơn'!$B$8:$B$502,"*"&amp;$B44&amp;"*",'Huỷ đơn'!$AO$8:$AO$502,"Fail")+COUNTIFS('Tặng quà'!$B$8:$B$502,"*"&amp;$B44&amp;"*",'Tặng quà'!$AO$8:$AO$502,"Fail")</f>
        <v>0</v>
      </c>
      <c r="I44" s="53" t="n">
        <f aca="false">IFERROR(F44/E44,0)</f>
        <v>0</v>
      </c>
      <c r="J44" s="123" t="str">
        <f aca="false">IF(E44=0,"Chưa có TC (gap)",IF(H44&gt;0,"Có lỗi (Fail)",IF(F44&gt;=E44,"Đã test xong","Đang test")))</f>
        <v>Đang test</v>
      </c>
    </row>
    <row r="45" customFormat="false" ht="15" hidden="false" customHeight="true" outlineLevel="0" collapsed="false">
      <c r="B45" s="178" t="s">
        <v>602</v>
      </c>
      <c r="C45" s="54" t="s">
        <v>603</v>
      </c>
      <c r="D45" s="123" t="s">
        <v>604</v>
      </c>
      <c r="E45" s="52" t="n">
        <f aca="false">COUNTIF('Hoạt động'!$B$8:$B$502,"*"&amp;$B45&amp;"*")+COUNTIF('Cá nhân'!$B$8:$B$502,"*"&amp;$B45&amp;"*")+COUNTIF('Thông báo'!$B$8:$B$502,"*"&amp;$B45&amp;"*")+COUNTIF('Đăng tin'!$B$8:$B$502,"*"&amp;$B45&amp;"*")+COUNTIF('Trang chủ'!$B$8:$B$502,"*"&amp;$B45&amp;"*")+COUNTIF('Bảng tin &amp; Chi tiết tin'!$B$8:$B$502,"*"&amp;$B45&amp;"*")+COUNTIF('Theo dõi đơn'!$B$8:$B$502,"*"&amp;$B45&amp;"*")+COUNTIF('Huỷ đơn'!$B$8:$B$502,"*"&amp;$B45&amp;"*")+COUNTIF('Tặng quà'!$B$8:$B$502,"*"&amp;$B45&amp;"*")</f>
        <v>2</v>
      </c>
      <c r="F45" s="52" t="n">
        <f aca="false">SUMPRODUCT(ISNUMBER(SEARCH($B45,'Hoạt động'!$B$8:$B$502))*('Hoạt động'!$AO$8:$AO$502&lt;&gt;""))+SUMPRODUCT(ISNUMBER(SEARCH($B45,'Cá nhân'!$B$8:$B$502))*('Cá nhân'!$AO$8:$AO$502&lt;&gt;""))+SUMPRODUCT(ISNUMBER(SEARCH($B45,'Thông báo'!$B$8:$B$502))*('Thông báo'!$AO$8:$AO$502&lt;&gt;""))+SUMPRODUCT(ISNUMBER(SEARCH($B45,'Đăng tin'!$B$8:$B$502))*('Đăng tin'!$AO$8:$AO$502&lt;&gt;""))+SUMPRODUCT(ISNUMBER(SEARCH($B45,'Trang chủ'!$B$8:$B$502))*('Trang chủ'!$AO$8:$AO$502&lt;&gt;""))+SUMPRODUCT(ISNUMBER(SEARCH($B45,'Bảng tin &amp; Chi tiết tin'!$B$8:$B$502))*('Bảng tin &amp; Chi tiết tin'!$AO$8:$AO$502&lt;&gt;""))+SUMPRODUCT(ISNUMBER(SEARCH($B45,'Theo dõi đơn'!$B$8:$B$502))*('Theo dõi đơn'!$AO$8:$AO$502&lt;&gt;""))+SUMPRODUCT(ISNUMBER(SEARCH($B45,'Huỷ đơn'!$B$8:$B$502))*('Huỷ đơn'!$AO$8:$AO$502&lt;&gt;""))+SUMPRODUCT(ISNUMBER(SEARCH($B45,'Tặng quà'!$B$8:$B$502))*('Tặng quà'!$AO$8:$AO$502&lt;&gt;""))</f>
        <v>0</v>
      </c>
      <c r="G45" s="52" t="n">
        <f aca="false">COUNTIFS('Hoạt động'!$B$8:$B$502,"*"&amp;$B45&amp;"*",'Hoạt động'!$AO$8:$AO$502,"Pass")+COUNTIFS('Cá nhân'!$B$8:$B$502,"*"&amp;$B45&amp;"*",'Cá nhân'!$AO$8:$AO$502,"Pass")+COUNTIFS('Thông báo'!$B$8:$B$502,"*"&amp;$B45&amp;"*",'Thông báo'!$AO$8:$AO$502,"Pass")+COUNTIFS('Đăng tin'!$B$8:$B$502,"*"&amp;$B45&amp;"*",'Đăng tin'!$AO$8:$AO$502,"Pass")+COUNTIFS('Trang chủ'!$B$8:$B$502,"*"&amp;$B45&amp;"*",'Trang chủ'!$AO$8:$AO$502,"Pass")+COUNTIFS('Bảng tin &amp; Chi tiết tin'!$B$8:$B$502,"*"&amp;$B45&amp;"*",'Bảng tin &amp; Chi tiết tin'!$AO$8:$AO$502,"Pass")+COUNTIFS('Theo dõi đơn'!$B$8:$B$502,"*"&amp;$B45&amp;"*",'Theo dõi đơn'!$AO$8:$AO$502,"Pass")+COUNTIFS('Huỷ đơn'!$B$8:$B$502,"*"&amp;$B45&amp;"*",'Huỷ đơn'!$AO$8:$AO$502,"Pass")+COUNTIFS('Tặng quà'!$B$8:$B$502,"*"&amp;$B45&amp;"*",'Tặng quà'!$AO$8:$AO$502,"Pass")</f>
        <v>0</v>
      </c>
      <c r="H45" s="52" t="n">
        <f aca="false">COUNTIFS('Hoạt động'!$B$8:$B$502,"*"&amp;$B45&amp;"*",'Hoạt động'!$AO$8:$AO$502,"Fail")+COUNTIFS('Cá nhân'!$B$8:$B$502,"*"&amp;$B45&amp;"*",'Cá nhân'!$AO$8:$AO$502,"Fail")+COUNTIFS('Thông báo'!$B$8:$B$502,"*"&amp;$B45&amp;"*",'Thông báo'!$AO$8:$AO$502,"Fail")+COUNTIFS('Đăng tin'!$B$8:$B$502,"*"&amp;$B45&amp;"*",'Đăng tin'!$AO$8:$AO$502,"Fail")+COUNTIFS('Trang chủ'!$B$8:$B$502,"*"&amp;$B45&amp;"*",'Trang chủ'!$AO$8:$AO$502,"Fail")+COUNTIFS('Bảng tin &amp; Chi tiết tin'!$B$8:$B$502,"*"&amp;$B45&amp;"*",'Bảng tin &amp; Chi tiết tin'!$AO$8:$AO$502,"Fail")+COUNTIFS('Theo dõi đơn'!$B$8:$B$502,"*"&amp;$B45&amp;"*",'Theo dõi đơn'!$AO$8:$AO$502,"Fail")+COUNTIFS('Huỷ đơn'!$B$8:$B$502,"*"&amp;$B45&amp;"*",'Huỷ đơn'!$AO$8:$AO$502,"Fail")+COUNTIFS('Tặng quà'!$B$8:$B$502,"*"&amp;$B45&amp;"*",'Tặng quà'!$AO$8:$AO$502,"Fail")</f>
        <v>0</v>
      </c>
      <c r="I45" s="53" t="n">
        <f aca="false">IFERROR(F45/E45,0)</f>
        <v>0</v>
      </c>
      <c r="J45" s="123" t="str">
        <f aca="false">IF(E45=0,"Chưa có TC (gap)",IF(H45&gt;0,"Có lỗi (Fail)",IF(F45&gt;=E45,"Đã test xong","Đang test")))</f>
        <v>Đang test</v>
      </c>
    </row>
    <row r="46" customFormat="false" ht="15" hidden="false" customHeight="true" outlineLevel="0" collapsed="false">
      <c r="B46" s="178" t="s">
        <v>605</v>
      </c>
      <c r="C46" s="54" t="s">
        <v>606</v>
      </c>
      <c r="D46" s="123" t="s">
        <v>607</v>
      </c>
      <c r="E46" s="52" t="n">
        <f aca="false">COUNTIF('Hoạt động'!$B$8:$B$502,"*"&amp;$B46&amp;"*")+COUNTIF('Cá nhân'!$B$8:$B$502,"*"&amp;$B46&amp;"*")+COUNTIF('Thông báo'!$B$8:$B$502,"*"&amp;$B46&amp;"*")+COUNTIF('Đăng tin'!$B$8:$B$502,"*"&amp;$B46&amp;"*")+COUNTIF('Trang chủ'!$B$8:$B$502,"*"&amp;$B46&amp;"*")+COUNTIF('Bảng tin &amp; Chi tiết tin'!$B$8:$B$502,"*"&amp;$B46&amp;"*")+COUNTIF('Theo dõi đơn'!$B$8:$B$502,"*"&amp;$B46&amp;"*")+COUNTIF('Huỷ đơn'!$B$8:$B$502,"*"&amp;$B46&amp;"*")+COUNTIF('Tặng quà'!$B$8:$B$502,"*"&amp;$B46&amp;"*")</f>
        <v>2</v>
      </c>
      <c r="F46" s="52" t="n">
        <f aca="false">SUMPRODUCT(ISNUMBER(SEARCH($B46,'Hoạt động'!$B$8:$B$502))*('Hoạt động'!$AO$8:$AO$502&lt;&gt;""))+SUMPRODUCT(ISNUMBER(SEARCH($B46,'Cá nhân'!$B$8:$B$502))*('Cá nhân'!$AO$8:$AO$502&lt;&gt;""))+SUMPRODUCT(ISNUMBER(SEARCH($B46,'Thông báo'!$B$8:$B$502))*('Thông báo'!$AO$8:$AO$502&lt;&gt;""))+SUMPRODUCT(ISNUMBER(SEARCH($B46,'Đăng tin'!$B$8:$B$502))*('Đăng tin'!$AO$8:$AO$502&lt;&gt;""))+SUMPRODUCT(ISNUMBER(SEARCH($B46,'Trang chủ'!$B$8:$B$502))*('Trang chủ'!$AO$8:$AO$502&lt;&gt;""))+SUMPRODUCT(ISNUMBER(SEARCH($B46,'Bảng tin &amp; Chi tiết tin'!$B$8:$B$502))*('Bảng tin &amp; Chi tiết tin'!$AO$8:$AO$502&lt;&gt;""))+SUMPRODUCT(ISNUMBER(SEARCH($B46,'Theo dõi đơn'!$B$8:$B$502))*('Theo dõi đơn'!$AO$8:$AO$502&lt;&gt;""))+SUMPRODUCT(ISNUMBER(SEARCH($B46,'Huỷ đơn'!$B$8:$B$502))*('Huỷ đơn'!$AO$8:$AO$502&lt;&gt;""))+SUMPRODUCT(ISNUMBER(SEARCH($B46,'Tặng quà'!$B$8:$B$502))*('Tặng quà'!$AO$8:$AO$502&lt;&gt;""))</f>
        <v>0</v>
      </c>
      <c r="G46" s="52" t="n">
        <f aca="false">COUNTIFS('Hoạt động'!$B$8:$B$502,"*"&amp;$B46&amp;"*",'Hoạt động'!$AO$8:$AO$502,"Pass")+COUNTIFS('Cá nhân'!$B$8:$B$502,"*"&amp;$B46&amp;"*",'Cá nhân'!$AO$8:$AO$502,"Pass")+COUNTIFS('Thông báo'!$B$8:$B$502,"*"&amp;$B46&amp;"*",'Thông báo'!$AO$8:$AO$502,"Pass")+COUNTIFS('Đăng tin'!$B$8:$B$502,"*"&amp;$B46&amp;"*",'Đăng tin'!$AO$8:$AO$502,"Pass")+COUNTIFS('Trang chủ'!$B$8:$B$502,"*"&amp;$B46&amp;"*",'Trang chủ'!$AO$8:$AO$502,"Pass")+COUNTIFS('Bảng tin &amp; Chi tiết tin'!$B$8:$B$502,"*"&amp;$B46&amp;"*",'Bảng tin &amp; Chi tiết tin'!$AO$8:$AO$502,"Pass")+COUNTIFS('Theo dõi đơn'!$B$8:$B$502,"*"&amp;$B46&amp;"*",'Theo dõi đơn'!$AO$8:$AO$502,"Pass")+COUNTIFS('Huỷ đơn'!$B$8:$B$502,"*"&amp;$B46&amp;"*",'Huỷ đơn'!$AO$8:$AO$502,"Pass")+COUNTIFS('Tặng quà'!$B$8:$B$502,"*"&amp;$B46&amp;"*",'Tặng quà'!$AO$8:$AO$502,"Pass")</f>
        <v>0</v>
      </c>
      <c r="H46" s="52" t="n">
        <f aca="false">COUNTIFS('Hoạt động'!$B$8:$B$502,"*"&amp;$B46&amp;"*",'Hoạt động'!$AO$8:$AO$502,"Fail")+COUNTIFS('Cá nhân'!$B$8:$B$502,"*"&amp;$B46&amp;"*",'Cá nhân'!$AO$8:$AO$502,"Fail")+COUNTIFS('Thông báo'!$B$8:$B$502,"*"&amp;$B46&amp;"*",'Thông báo'!$AO$8:$AO$502,"Fail")+COUNTIFS('Đăng tin'!$B$8:$B$502,"*"&amp;$B46&amp;"*",'Đăng tin'!$AO$8:$AO$502,"Fail")+COUNTIFS('Trang chủ'!$B$8:$B$502,"*"&amp;$B46&amp;"*",'Trang chủ'!$AO$8:$AO$502,"Fail")+COUNTIFS('Bảng tin &amp; Chi tiết tin'!$B$8:$B$502,"*"&amp;$B46&amp;"*",'Bảng tin &amp; Chi tiết tin'!$AO$8:$AO$502,"Fail")+COUNTIFS('Theo dõi đơn'!$B$8:$B$502,"*"&amp;$B46&amp;"*",'Theo dõi đơn'!$AO$8:$AO$502,"Fail")+COUNTIFS('Huỷ đơn'!$B$8:$B$502,"*"&amp;$B46&amp;"*",'Huỷ đơn'!$AO$8:$AO$502,"Fail")+COUNTIFS('Tặng quà'!$B$8:$B$502,"*"&amp;$B46&amp;"*",'Tặng quà'!$AO$8:$AO$502,"Fail")</f>
        <v>0</v>
      </c>
      <c r="I46" s="53" t="n">
        <f aca="false">IFERROR(F46/E46,0)</f>
        <v>0</v>
      </c>
      <c r="J46" s="123" t="str">
        <f aca="false">IF(E46=0,"Chưa có TC (gap)",IF(H46&gt;0,"Có lỗi (Fail)",IF(F46&gt;=E46,"Đã test xong","Đang test")))</f>
        <v>Đang test</v>
      </c>
    </row>
    <row r="47" customFormat="false" ht="15.75" hidden="false" customHeight="true" outlineLevel="0" collapsed="false">
      <c r="B47" s="125" t="s">
        <v>114</v>
      </c>
      <c r="C47" s="179"/>
      <c r="E47" s="43" t="n">
        <f aca="false">SUM(E6:E46)</f>
        <v>388</v>
      </c>
      <c r="F47" s="43" t="n">
        <f aca="false">SUM(F6:F46)</f>
        <v>89</v>
      </c>
      <c r="G47" s="43" t="n">
        <f aca="false">SUM(G6:G46)</f>
        <v>38</v>
      </c>
      <c r="H47" s="43" t="n">
        <f aca="false">SUM(H6:H46)</f>
        <v>7</v>
      </c>
      <c r="I47" s="56" t="n">
        <f aca="false">IFERROR(F47/E47,0)</f>
        <v>0.229381443298969</v>
      </c>
      <c r="J47" s="126"/>
    </row>
    <row r="48" customFormat="false" ht="15.75" hidden="false" customHeight="true" outlineLevel="0" collapsed="false"/>
    <row r="49" customFormat="false" ht="15.75" hidden="false" customHeight="true" outlineLevel="0" collapsed="false">
      <c r="B49" s="180" t="s">
        <v>608</v>
      </c>
      <c r="C49" s="180"/>
      <c r="D49" s="180"/>
      <c r="E49" s="180"/>
      <c r="F49" s="180"/>
      <c r="G49" s="180"/>
      <c r="H49" s="180"/>
      <c r="I49" s="180"/>
      <c r="J49" s="180"/>
    </row>
    <row r="50" customFormat="false" ht="15.75" hidden="false" customHeight="true" outlineLevel="0" collapsed="false">
      <c r="B50" s="178"/>
      <c r="C50" s="54"/>
      <c r="D50" s="123"/>
      <c r="E50" s="52"/>
      <c r="F50" s="52"/>
      <c r="G50" s="52"/>
      <c r="H50" s="52"/>
      <c r="I50" s="53"/>
      <c r="J50" s="123"/>
    </row>
    <row r="51" customFormat="false" ht="15.75" hidden="false" customHeight="true" outlineLevel="0" collapsed="false">
      <c r="B51" s="178"/>
      <c r="C51" s="54"/>
      <c r="D51" s="123"/>
      <c r="E51" s="52"/>
      <c r="F51" s="52"/>
      <c r="G51" s="52"/>
      <c r="H51" s="52"/>
      <c r="I51" s="53"/>
      <c r="J51" s="123"/>
    </row>
    <row r="52" customFormat="false" ht="15.75" hidden="false" customHeight="true" outlineLevel="0" collapsed="false">
      <c r="B52" s="125"/>
      <c r="C52" s="179"/>
      <c r="E52" s="43"/>
      <c r="F52" s="43"/>
      <c r="G52" s="43"/>
      <c r="H52" s="43"/>
      <c r="I52" s="56"/>
      <c r="J52" s="126"/>
    </row>
    <row r="53" customFormat="false" ht="15.75" hidden="false" customHeight="true" outlineLevel="0" collapsed="false"/>
    <row r="54" customFormat="false" ht="15.75" hidden="false" customHeight="true" outlineLevel="0" collapsed="false">
      <c r="B54" s="181"/>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3:J3"/>
    <mergeCell ref="B49:J49"/>
  </mergeCells>
  <conditionalFormatting sqref="B6:J46">
    <cfRule type="expression" priority="2" aboveAverage="0" equalAverage="0" bottom="0" percent="0" rank="0" text="" dxfId="0">
      <formula>$E6=0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false" showRowColHeaders="true" showZeros="true" rightToLeft="false" tabSelected="false" showOutlineSymbols="true" defaultGridColor="true" view="normal" topLeftCell="A13" colorId="64" zoomScale="65" zoomScaleNormal="65" zoomScalePageLayoutView="100" workbookViewId="0">
      <pane xSplit="1" ySplit="0" topLeftCell="G13" activePane="topRight" state="frozen"/>
      <selection pane="topLeft" activeCell="A13" activeCellId="0" sqref="A13"/>
      <selection pane="topRight" activeCell="I20" activeCellId="0" sqref="I20"/>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193</v>
      </c>
      <c r="D2" s="183"/>
      <c r="E2" s="183"/>
    </row>
    <row r="3" customFormat="false" ht="15" hidden="false" customHeight="true" outlineLevel="0" collapsed="false">
      <c r="A3" s="182" t="s">
        <v>610</v>
      </c>
      <c r="B3" s="182"/>
      <c r="C3" s="183" t="s">
        <v>195</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30" hidden="false" customHeight="true" outlineLevel="0" collapsed="false">
      <c r="A7" s="191" t="s">
        <v>195</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60" hidden="false" customHeight="true" outlineLevel="0" collapsed="false">
      <c r="A8" s="194" t="str">
        <f aca="false">IF(C8="","",$C$2&amp;"."&amp;COUNTA($C$8:C8)&amp;"")</f>
        <v>TC_01.1</v>
      </c>
      <c r="B8" s="194" t="s">
        <v>502</v>
      </c>
      <c r="C8" s="194" t="s">
        <v>632</v>
      </c>
      <c r="D8" s="194" t="s">
        <v>42</v>
      </c>
      <c r="E8" s="194" t="s">
        <v>158</v>
      </c>
      <c r="F8" s="195" t="s">
        <v>633</v>
      </c>
      <c r="G8" s="195" t="s">
        <v>634</v>
      </c>
      <c r="H8" s="195" t="s">
        <v>635</v>
      </c>
      <c r="I8" s="195" t="s">
        <v>636</v>
      </c>
      <c r="J8" s="194" t="s">
        <v>637</v>
      </c>
      <c r="K8" s="194" t="s">
        <v>241</v>
      </c>
      <c r="L8" s="194" t="s">
        <v>638</v>
      </c>
      <c r="M8" s="194"/>
      <c r="N8" s="196" t="s">
        <v>639</v>
      </c>
      <c r="O8" s="196"/>
      <c r="P8" s="196" t="s">
        <v>22</v>
      </c>
      <c r="Q8" s="196" t="s">
        <v>640</v>
      </c>
      <c r="R8" s="196"/>
      <c r="S8" s="196"/>
      <c r="T8" s="196"/>
      <c r="U8" s="196"/>
      <c r="V8" s="196"/>
      <c r="W8" s="196"/>
      <c r="X8" s="196"/>
      <c r="Y8" s="196"/>
      <c r="Z8" s="196"/>
      <c r="AA8" s="196"/>
      <c r="AB8" s="197"/>
      <c r="AC8" s="197"/>
      <c r="AD8" s="197"/>
      <c r="AE8" s="197"/>
      <c r="AF8" s="197"/>
      <c r="AG8" s="197"/>
      <c r="AH8" s="197"/>
      <c r="AI8" s="197"/>
      <c r="AJ8" s="197"/>
      <c r="AK8" s="197"/>
      <c r="AL8" s="197"/>
      <c r="AM8" s="198" t="str">
        <f aca="false">IF($A8="","",IF(OR($N8="Yes",$S8="Yes",$X8="Yes",$AC8="Yes",$AH8="Yes"),"Yes","No"))</f>
        <v>Yes</v>
      </c>
      <c r="AN8" s="198" t="str">
        <f aca="false">IF($A8="","",IFERROR(IF($AI8&lt;&gt;"",$AI8,IF($AD8&lt;&gt;"",$AD8,IF($Y8&lt;&gt;"",$Y8,IF($T8&lt;&gt;"",$T8,IF($O8&lt;&gt;"",$O8,""))))),""))</f>
        <v/>
      </c>
      <c r="AO8" s="198" t="str">
        <f aca="false">IFERROR(IF($AJ8&lt;&gt;"",$AJ8,IF($AE8&lt;&gt;"",$AE8,IF($Z8&lt;&gt;"",$Z8,IF($U8&lt;&gt;"",$U8,IF($P8&lt;&gt;"",$P8,""))))),"")</f>
        <v>Pass</v>
      </c>
      <c r="AP8" s="199"/>
    </row>
    <row r="9" customFormat="false" ht="60" hidden="false" customHeight="true" outlineLevel="0" collapsed="false">
      <c r="A9" s="194"/>
      <c r="B9" s="200" t="s">
        <v>641</v>
      </c>
      <c r="C9" s="200"/>
      <c r="D9" s="200"/>
      <c r="E9" s="200"/>
      <c r="F9" s="200"/>
      <c r="G9" s="200"/>
      <c r="H9" s="200"/>
      <c r="I9" s="200"/>
      <c r="J9" s="194"/>
      <c r="K9" s="194"/>
      <c r="L9" s="194"/>
      <c r="M9" s="194"/>
      <c r="N9" s="196"/>
      <c r="O9" s="196"/>
      <c r="P9" s="196"/>
      <c r="Q9" s="196"/>
      <c r="R9" s="196"/>
      <c r="S9" s="196"/>
      <c r="T9" s="196"/>
      <c r="U9" s="196"/>
      <c r="V9" s="196"/>
      <c r="W9" s="196"/>
      <c r="X9" s="196"/>
      <c r="Y9" s="196"/>
      <c r="Z9" s="196"/>
      <c r="AA9" s="196"/>
      <c r="AB9" s="197"/>
      <c r="AC9" s="197"/>
      <c r="AD9" s="197"/>
      <c r="AE9" s="197"/>
      <c r="AF9" s="197"/>
      <c r="AG9" s="197"/>
      <c r="AH9" s="197"/>
      <c r="AI9" s="197"/>
      <c r="AJ9" s="197"/>
      <c r="AK9" s="197"/>
      <c r="AL9" s="197"/>
      <c r="AM9" s="198"/>
      <c r="AN9" s="198"/>
      <c r="AO9" s="198"/>
      <c r="AP9" s="199"/>
    </row>
    <row r="10" customFormat="false" ht="60" hidden="false" customHeight="true" outlineLevel="0" collapsed="false">
      <c r="A10" s="194" t="str">
        <f aca="false">IF(C10="","",$C$2&amp;"."&amp;COUNTA($C$8:C10)&amp;"")</f>
        <v>TC_01.2</v>
      </c>
      <c r="B10" s="194" t="s">
        <v>502</v>
      </c>
      <c r="C10" s="194" t="s">
        <v>632</v>
      </c>
      <c r="D10" s="194" t="s">
        <v>42</v>
      </c>
      <c r="E10" s="194" t="s">
        <v>157</v>
      </c>
      <c r="F10" s="195" t="s">
        <v>642</v>
      </c>
      <c r="G10" s="195" t="s">
        <v>643</v>
      </c>
      <c r="H10" s="195" t="s">
        <v>644</v>
      </c>
      <c r="I10" s="195" t="s">
        <v>645</v>
      </c>
      <c r="J10" s="194" t="s">
        <v>637</v>
      </c>
      <c r="K10" s="194" t="s">
        <v>241</v>
      </c>
      <c r="L10" s="194" t="s">
        <v>638</v>
      </c>
      <c r="M10" s="194"/>
      <c r="N10" s="196" t="s">
        <v>639</v>
      </c>
      <c r="O10" s="196"/>
      <c r="P10" s="196" t="s">
        <v>22</v>
      </c>
      <c r="Q10" s="196" t="s">
        <v>640</v>
      </c>
      <c r="R10" s="196"/>
      <c r="S10" s="196"/>
      <c r="T10" s="196"/>
      <c r="U10" s="196"/>
      <c r="V10" s="196"/>
      <c r="W10" s="196"/>
      <c r="X10" s="196"/>
      <c r="Y10" s="196"/>
      <c r="Z10" s="196"/>
      <c r="AA10" s="196"/>
      <c r="AB10" s="197"/>
      <c r="AC10" s="197"/>
      <c r="AD10" s="197"/>
      <c r="AE10" s="197"/>
      <c r="AF10" s="197"/>
      <c r="AG10" s="197"/>
      <c r="AH10" s="197"/>
      <c r="AI10" s="197"/>
      <c r="AJ10" s="197"/>
      <c r="AK10" s="197"/>
      <c r="AL10" s="197"/>
      <c r="AM10" s="198" t="str">
        <f aca="false">IF($A10="","",IF(OR($N10="Yes",$S10="Yes",$X10="Yes",$AC10="Yes",$AH10="Yes"),"Yes","No"))</f>
        <v>Yes</v>
      </c>
      <c r="AN10" s="198" t="str">
        <f aca="false">IF($A10="","",IFERROR(IF($AI10&lt;&gt;"",$AI10,IF($AD10&lt;&gt;"",$AD10,IF($Y10&lt;&gt;"",$Y10,IF($T10&lt;&gt;"",$T10,IF($O10&lt;&gt;"",$O10,""))))),""))</f>
        <v/>
      </c>
      <c r="AO10" s="198" t="str">
        <f aca="false">IFERROR(IF($AJ10&lt;&gt;"",$AJ10,IF($AE10&lt;&gt;"",$AE10,IF($Z10&lt;&gt;"",$Z10,IF($U10&lt;&gt;"",$U10,IF($P10&lt;&gt;"",$P10,""))))),"")</f>
        <v>Pass</v>
      </c>
      <c r="AP10" s="199"/>
    </row>
    <row r="11" customFormat="false" ht="15" hidden="false" customHeight="true" outlineLevel="0" collapsed="false">
      <c r="A11" s="194" t="str">
        <f aca="false">IF(C11="","",$C$2&amp;"."&amp;COUNTA($C$8:C11)&amp;"")</f>
        <v>TC_01.3</v>
      </c>
      <c r="B11" s="194" t="s">
        <v>502</v>
      </c>
      <c r="C11" s="194" t="s">
        <v>632</v>
      </c>
      <c r="D11" s="194" t="s">
        <v>42</v>
      </c>
      <c r="E11" s="194" t="s">
        <v>157</v>
      </c>
      <c r="F11" s="195" t="s">
        <v>646</v>
      </c>
      <c r="G11" s="195" t="s">
        <v>647</v>
      </c>
      <c r="H11" s="195" t="s">
        <v>648</v>
      </c>
      <c r="I11" s="195" t="s">
        <v>649</v>
      </c>
      <c r="J11" s="194" t="s">
        <v>637</v>
      </c>
      <c r="K11" s="194" t="s">
        <v>241</v>
      </c>
      <c r="L11" s="194" t="s">
        <v>638</v>
      </c>
      <c r="M11" s="194"/>
      <c r="N11" s="196" t="s">
        <v>639</v>
      </c>
      <c r="O11" s="196"/>
      <c r="P11" s="196" t="s">
        <v>22</v>
      </c>
      <c r="Q11" s="196" t="s">
        <v>640</v>
      </c>
      <c r="R11" s="196"/>
      <c r="S11" s="196"/>
      <c r="T11" s="196"/>
      <c r="U11" s="196"/>
      <c r="V11" s="196"/>
      <c r="W11" s="196"/>
      <c r="X11" s="196"/>
      <c r="Y11" s="196"/>
      <c r="Z11" s="196"/>
      <c r="AA11" s="196"/>
      <c r="AB11" s="197"/>
      <c r="AC11" s="197"/>
      <c r="AD11" s="197"/>
      <c r="AE11" s="197"/>
      <c r="AF11" s="197"/>
      <c r="AG11" s="197"/>
      <c r="AH11" s="197"/>
      <c r="AI11" s="197"/>
      <c r="AJ11" s="197"/>
      <c r="AK11" s="197"/>
      <c r="AL11" s="197"/>
      <c r="AM11" s="198" t="str">
        <f aca="false">IF($A11="","",IF(OR($N11="Yes",$S11="Yes",$X11="Yes",$AC11="Yes",$AH11="Yes"),"Yes","No"))</f>
        <v>Yes</v>
      </c>
      <c r="AN11" s="198" t="str">
        <f aca="false">IF($A11="","",IFERROR(IF($AI11&lt;&gt;"",$AI11,IF($AD11&lt;&gt;"",$AD11,IF($Y11&lt;&gt;"",$Y11,IF($T11&lt;&gt;"",$T11,IF($O11&lt;&gt;"",$O11,""))))),""))</f>
        <v/>
      </c>
      <c r="AO11" s="198" t="str">
        <f aca="false">IFERROR(IF($AJ11&lt;&gt;"",$AJ11,IF($AE11&lt;&gt;"",$AE11,IF($Z11&lt;&gt;"",$Z11,IF($U11&lt;&gt;"",$U11,IF($P11&lt;&gt;"",$P11,""))))),"")</f>
        <v>Pass</v>
      </c>
      <c r="AP11" s="199"/>
    </row>
    <row r="12" customFormat="false" ht="60" hidden="false" customHeight="true" outlineLevel="0" collapsed="false">
      <c r="A12" s="194" t="str">
        <f aca="false">IF(C12="","",$C$2&amp;"."&amp;COUNTA($C$8:C12)&amp;"")</f>
        <v>TC_01.4</v>
      </c>
      <c r="B12" s="194" t="s">
        <v>502</v>
      </c>
      <c r="C12" s="194" t="s">
        <v>632</v>
      </c>
      <c r="D12" s="194" t="s">
        <v>40</v>
      </c>
      <c r="E12" s="194" t="s">
        <v>157</v>
      </c>
      <c r="F12" s="195" t="s">
        <v>650</v>
      </c>
      <c r="G12" s="195" t="s">
        <v>651</v>
      </c>
      <c r="H12" s="195" t="s">
        <v>652</v>
      </c>
      <c r="I12" s="195" t="s">
        <v>653</v>
      </c>
      <c r="J12" s="194" t="s">
        <v>637</v>
      </c>
      <c r="K12" s="194" t="s">
        <v>241</v>
      </c>
      <c r="L12" s="194" t="s">
        <v>638</v>
      </c>
      <c r="M12" s="194"/>
      <c r="N12" s="196" t="s">
        <v>639</v>
      </c>
      <c r="O12" s="196"/>
      <c r="P12" s="196" t="s">
        <v>22</v>
      </c>
      <c r="Q12" s="196" t="s">
        <v>640</v>
      </c>
      <c r="R12" s="196"/>
      <c r="S12" s="196"/>
      <c r="T12" s="196"/>
      <c r="U12" s="196"/>
      <c r="V12" s="196"/>
      <c r="W12" s="196"/>
      <c r="X12" s="196"/>
      <c r="Y12" s="196"/>
      <c r="Z12" s="196"/>
      <c r="AA12" s="196"/>
      <c r="AB12" s="197"/>
      <c r="AC12" s="197"/>
      <c r="AD12" s="197"/>
      <c r="AE12" s="197"/>
      <c r="AF12" s="197"/>
      <c r="AG12" s="197"/>
      <c r="AH12" s="197"/>
      <c r="AI12" s="197"/>
      <c r="AJ12" s="197"/>
      <c r="AK12" s="197"/>
      <c r="AL12" s="197"/>
      <c r="AM12" s="198" t="str">
        <f aca="false">IF($A12="","",IF(OR($N12="Yes",$S12="Yes",$X12="Yes",$AC12="Yes",$AH12="Yes"),"Yes","No"))</f>
        <v>Yes</v>
      </c>
      <c r="AN12" s="198" t="str">
        <f aca="false">IF($A12="","",IFERROR(IF($AI12&lt;&gt;"",$AI12,IF($AD12&lt;&gt;"",$AD12,IF($Y12&lt;&gt;"",$Y12,IF($T12&lt;&gt;"",$T12,IF($O12&lt;&gt;"",$O12,""))))),""))</f>
        <v/>
      </c>
      <c r="AO12" s="198" t="str">
        <f aca="false">IFERROR(IF($AJ12&lt;&gt;"",$AJ12,IF($AE12&lt;&gt;"",$AE12,IF($Z12&lt;&gt;"",$Z12,IF($U12&lt;&gt;"",$U12,IF($P12&lt;&gt;"",$P12,""))))),"")</f>
        <v>Pass</v>
      </c>
      <c r="AP12" s="199" t="s">
        <v>654</v>
      </c>
    </row>
    <row r="13" customFormat="false" ht="60" hidden="false" customHeight="true" outlineLevel="0" collapsed="false">
      <c r="A13" s="194" t="str">
        <f aca="false">IF(C13="","",$C$2&amp;"."&amp;COUNTA($C$8:C13)&amp;"")</f>
        <v>TC_01.5</v>
      </c>
      <c r="B13" s="194" t="s">
        <v>502</v>
      </c>
      <c r="C13" s="194" t="s">
        <v>632</v>
      </c>
      <c r="D13" s="194" t="s">
        <v>40</v>
      </c>
      <c r="E13" s="194" t="s">
        <v>157</v>
      </c>
      <c r="F13" s="195" t="s">
        <v>655</v>
      </c>
      <c r="G13" s="195" t="s">
        <v>656</v>
      </c>
      <c r="H13" s="195" t="s">
        <v>657</v>
      </c>
      <c r="I13" s="195" t="s">
        <v>658</v>
      </c>
      <c r="J13" s="194" t="s">
        <v>637</v>
      </c>
      <c r="K13" s="194" t="s">
        <v>241</v>
      </c>
      <c r="L13" s="194" t="s">
        <v>638</v>
      </c>
      <c r="M13" s="194"/>
      <c r="N13" s="196" t="s">
        <v>639</v>
      </c>
      <c r="O13" s="196"/>
      <c r="P13" s="196" t="s">
        <v>26</v>
      </c>
      <c r="Q13" s="196" t="s">
        <v>640</v>
      </c>
      <c r="R13" s="196"/>
      <c r="S13" s="196"/>
      <c r="T13" s="196"/>
      <c r="U13" s="196"/>
      <c r="V13" s="196"/>
      <c r="W13" s="196"/>
      <c r="X13" s="196"/>
      <c r="Y13" s="196"/>
      <c r="Z13" s="196"/>
      <c r="AA13" s="196"/>
      <c r="AB13" s="197"/>
      <c r="AC13" s="197"/>
      <c r="AD13" s="197"/>
      <c r="AE13" s="197"/>
      <c r="AF13" s="197"/>
      <c r="AG13" s="197"/>
      <c r="AH13" s="197"/>
      <c r="AI13" s="197"/>
      <c r="AJ13" s="197"/>
      <c r="AK13" s="197"/>
      <c r="AL13" s="197"/>
      <c r="AM13" s="198" t="str">
        <f aca="false">IF($A13="","",IF(OR($N13="Yes",$S13="Yes",$X13="Yes",$AC13="Yes",$AH13="Yes"),"Yes","No"))</f>
        <v>Yes</v>
      </c>
      <c r="AN13" s="198" t="str">
        <f aca="false">IF($A13="","",IFERROR(IF($AI13&lt;&gt;"",$AI13,IF($AD13&lt;&gt;"",$AD13,IF($Y13&lt;&gt;"",$Y13,IF($T13&lt;&gt;"",$T13,IF($O13&lt;&gt;"",$O13,""))))),""))</f>
        <v/>
      </c>
      <c r="AO13" s="198" t="str">
        <f aca="false">IFERROR(IF($AJ13&lt;&gt;"",$AJ13,IF($AE13&lt;&gt;"",$AE13,IF($Z13&lt;&gt;"",$Z13,IF($U13&lt;&gt;"",$U13,IF($P13&lt;&gt;"",$P13,""))))),"")</f>
        <v>Block</v>
      </c>
      <c r="AP13" s="199" t="s">
        <v>659</v>
      </c>
    </row>
    <row r="14" customFormat="false" ht="60" hidden="false" customHeight="true" outlineLevel="0" collapsed="false">
      <c r="A14" s="194" t="str">
        <f aca="false">IF(C14="","",$C$2&amp;"."&amp;COUNTA($C$8:C14)&amp;"")</f>
        <v>TC_01.6</v>
      </c>
      <c r="B14" s="194" t="s">
        <v>502</v>
      </c>
      <c r="C14" s="194" t="s">
        <v>632</v>
      </c>
      <c r="D14" s="194" t="s">
        <v>40</v>
      </c>
      <c r="E14" s="194" t="s">
        <v>157</v>
      </c>
      <c r="F14" s="195" t="s">
        <v>660</v>
      </c>
      <c r="G14" s="195" t="s">
        <v>661</v>
      </c>
      <c r="H14" s="195" t="s">
        <v>662</v>
      </c>
      <c r="I14" s="195" t="s">
        <v>663</v>
      </c>
      <c r="J14" s="194" t="s">
        <v>637</v>
      </c>
      <c r="K14" s="194" t="s">
        <v>241</v>
      </c>
      <c r="L14" s="194" t="s">
        <v>638</v>
      </c>
      <c r="M14" s="194"/>
      <c r="N14" s="196" t="s">
        <v>639</v>
      </c>
      <c r="O14" s="196"/>
      <c r="P14" s="196" t="s">
        <v>22</v>
      </c>
      <c r="Q14" s="196" t="s">
        <v>640</v>
      </c>
      <c r="R14" s="196"/>
      <c r="S14" s="196"/>
      <c r="T14" s="196"/>
      <c r="U14" s="196"/>
      <c r="V14" s="196"/>
      <c r="W14" s="196"/>
      <c r="X14" s="196"/>
      <c r="Y14" s="196"/>
      <c r="Z14" s="196"/>
      <c r="AA14" s="196"/>
      <c r="AB14" s="197"/>
      <c r="AC14" s="197"/>
      <c r="AD14" s="197"/>
      <c r="AE14" s="197"/>
      <c r="AF14" s="197"/>
      <c r="AG14" s="197"/>
      <c r="AH14" s="197"/>
      <c r="AI14" s="197"/>
      <c r="AJ14" s="197"/>
      <c r="AK14" s="197"/>
      <c r="AL14" s="197"/>
      <c r="AM14" s="198" t="str">
        <f aca="false">IF($A14="","",IF(OR($N14="Yes",$S14="Yes",$X14="Yes",$AC14="Yes",$AH14="Yes"),"Yes","No"))</f>
        <v>Yes</v>
      </c>
      <c r="AN14" s="198" t="str">
        <f aca="false">IF($A14="","",IFERROR(IF($AI14&lt;&gt;"",$AI14,IF($AD14&lt;&gt;"",$AD14,IF($Y14&lt;&gt;"",$Y14,IF($T14&lt;&gt;"",$T14,IF($O14&lt;&gt;"",$O14,""))))),""))</f>
        <v/>
      </c>
      <c r="AO14" s="198" t="str">
        <f aca="false">IFERROR(IF($AJ14&lt;&gt;"",$AJ14,IF($AE14&lt;&gt;"",$AE14,IF($Z14&lt;&gt;"",$Z14,IF($U14&lt;&gt;"",$U14,IF($P14&lt;&gt;"",$P14,""))))),"")</f>
        <v>Pass</v>
      </c>
      <c r="AP14" s="199" t="s">
        <v>664</v>
      </c>
    </row>
    <row r="15" customFormat="false" ht="15" hidden="false" customHeight="true" outlineLevel="0" collapsed="false">
      <c r="A15" s="194" t="str">
        <f aca="false">IF(C15="","",$C$2&amp;"."&amp;COUNTA($C$8:C15)&amp;"")</f>
        <v>TC_01.7</v>
      </c>
      <c r="B15" s="194" t="s">
        <v>502</v>
      </c>
      <c r="C15" s="194" t="s">
        <v>632</v>
      </c>
      <c r="D15" s="194" t="s">
        <v>40</v>
      </c>
      <c r="E15" s="194" t="s">
        <v>157</v>
      </c>
      <c r="F15" s="195" t="s">
        <v>665</v>
      </c>
      <c r="G15" s="195" t="s">
        <v>666</v>
      </c>
      <c r="H15" s="195" t="s">
        <v>667</v>
      </c>
      <c r="I15" s="195" t="s">
        <v>668</v>
      </c>
      <c r="J15" s="194" t="s">
        <v>637</v>
      </c>
      <c r="K15" s="194" t="s">
        <v>241</v>
      </c>
      <c r="L15" s="194" t="s">
        <v>638</v>
      </c>
      <c r="M15" s="194"/>
      <c r="N15" s="196" t="s">
        <v>639</v>
      </c>
      <c r="O15" s="196"/>
      <c r="P15" s="196" t="s">
        <v>22</v>
      </c>
      <c r="Q15" s="196" t="s">
        <v>640</v>
      </c>
      <c r="R15" s="196"/>
      <c r="S15" s="196"/>
      <c r="T15" s="196"/>
      <c r="U15" s="196"/>
      <c r="V15" s="196"/>
      <c r="W15" s="196"/>
      <c r="X15" s="196"/>
      <c r="Y15" s="196"/>
      <c r="Z15" s="196"/>
      <c r="AA15" s="196"/>
      <c r="AB15" s="197"/>
      <c r="AC15" s="197"/>
      <c r="AD15" s="197"/>
      <c r="AE15" s="197"/>
      <c r="AF15" s="197"/>
      <c r="AG15" s="197"/>
      <c r="AH15" s="197"/>
      <c r="AI15" s="197"/>
      <c r="AJ15" s="197"/>
      <c r="AK15" s="197"/>
      <c r="AL15" s="197"/>
      <c r="AM15" s="198" t="str">
        <f aca="false">IF($A15="","",IF(OR($N15="Yes",$S15="Yes",$X15="Yes",$AC15="Yes",$AH15="Yes"),"Yes","No"))</f>
        <v>Yes</v>
      </c>
      <c r="AN15" s="198" t="str">
        <f aca="false">IF($A15="","",IFERROR(IF($AI15&lt;&gt;"",$AI15,IF($AD15&lt;&gt;"",$AD15,IF($Y15&lt;&gt;"",$Y15,IF($T15&lt;&gt;"",$T15,IF($O15&lt;&gt;"",$O15,""))))),""))</f>
        <v/>
      </c>
      <c r="AO15" s="198" t="str">
        <f aca="false">IFERROR(IF($AJ15&lt;&gt;"",$AJ15,IF($AE15&lt;&gt;"",$AE15,IF($Z15&lt;&gt;"",$Z15,IF($U15&lt;&gt;"",$U15,IF($P15&lt;&gt;"",$P15,""))))),"")</f>
        <v>Pass</v>
      </c>
      <c r="AP15" s="199" t="s">
        <v>669</v>
      </c>
    </row>
    <row r="16" customFormat="false" ht="60" hidden="false" customHeight="true" outlineLevel="0" collapsed="false">
      <c r="A16" s="194"/>
      <c r="B16" s="200" t="s">
        <v>670</v>
      </c>
      <c r="C16" s="200"/>
      <c r="D16" s="200"/>
      <c r="E16" s="200"/>
      <c r="F16" s="200"/>
      <c r="G16" s="200"/>
      <c r="H16" s="200"/>
      <c r="I16" s="200"/>
      <c r="J16" s="194"/>
      <c r="K16" s="194"/>
      <c r="L16" s="194"/>
      <c r="M16" s="194"/>
      <c r="N16" s="196"/>
      <c r="O16" s="196"/>
      <c r="P16" s="196"/>
      <c r="Q16" s="196"/>
      <c r="R16" s="196"/>
      <c r="S16" s="196"/>
      <c r="T16" s="196"/>
      <c r="U16" s="196"/>
      <c r="V16" s="196"/>
      <c r="W16" s="196"/>
      <c r="X16" s="196"/>
      <c r="Y16" s="196"/>
      <c r="Z16" s="196"/>
      <c r="AA16" s="196"/>
      <c r="AB16" s="197"/>
      <c r="AC16" s="197"/>
      <c r="AD16" s="197"/>
      <c r="AE16" s="197"/>
      <c r="AF16" s="197"/>
      <c r="AG16" s="197"/>
      <c r="AH16" s="197"/>
      <c r="AI16" s="197"/>
      <c r="AJ16" s="197"/>
      <c r="AK16" s="197"/>
      <c r="AL16" s="197"/>
      <c r="AM16" s="198"/>
      <c r="AN16" s="198"/>
      <c r="AO16" s="198"/>
      <c r="AP16" s="199"/>
    </row>
    <row r="17" customFormat="false" ht="60" hidden="false" customHeight="true" outlineLevel="0" collapsed="false">
      <c r="A17" s="194" t="str">
        <f aca="false">IF(C17="","",$C$2&amp;"."&amp;COUNTA($C$8:C17)&amp;"")</f>
        <v>TC_01.8</v>
      </c>
      <c r="B17" s="194" t="s">
        <v>502</v>
      </c>
      <c r="C17" s="194" t="s">
        <v>632</v>
      </c>
      <c r="D17" s="194" t="s">
        <v>42</v>
      </c>
      <c r="E17" s="194" t="s">
        <v>157</v>
      </c>
      <c r="F17" s="195" t="s">
        <v>671</v>
      </c>
      <c r="G17" s="195" t="s">
        <v>672</v>
      </c>
      <c r="H17" s="195" t="s">
        <v>673</v>
      </c>
      <c r="I17" s="195" t="s">
        <v>674</v>
      </c>
      <c r="J17" s="194" t="s">
        <v>637</v>
      </c>
      <c r="K17" s="194" t="s">
        <v>241</v>
      </c>
      <c r="L17" s="194" t="s">
        <v>638</v>
      </c>
      <c r="M17" s="194"/>
      <c r="N17" s="196" t="s">
        <v>639</v>
      </c>
      <c r="O17" s="196"/>
      <c r="P17" s="196" t="s">
        <v>22</v>
      </c>
      <c r="Q17" s="196" t="s">
        <v>640</v>
      </c>
      <c r="R17" s="196"/>
      <c r="S17" s="196"/>
      <c r="T17" s="196"/>
      <c r="U17" s="196"/>
      <c r="V17" s="196"/>
      <c r="W17" s="196"/>
      <c r="X17" s="196"/>
      <c r="Y17" s="196"/>
      <c r="Z17" s="196"/>
      <c r="AA17" s="196"/>
      <c r="AB17" s="197"/>
      <c r="AC17" s="197"/>
      <c r="AD17" s="197"/>
      <c r="AE17" s="197"/>
      <c r="AF17" s="197"/>
      <c r="AG17" s="197"/>
      <c r="AH17" s="197"/>
      <c r="AI17" s="197"/>
      <c r="AJ17" s="197"/>
      <c r="AK17" s="197"/>
      <c r="AL17" s="197"/>
      <c r="AM17" s="198" t="str">
        <f aca="false">IF($A17="","",IF(OR($N17="Yes",$S17="Yes",$X17="Yes",$AC17="Yes",$AH17="Yes"),"Yes","No"))</f>
        <v>Yes</v>
      </c>
      <c r="AN17" s="198" t="str">
        <f aca="false">IF($A17="","",IFERROR(IF($AI17&lt;&gt;"",$AI17,IF($AD17&lt;&gt;"",$AD17,IF($Y17&lt;&gt;"",$Y17,IF($T17&lt;&gt;"",$T17,IF($O17&lt;&gt;"",$O17,""))))),""))</f>
        <v/>
      </c>
      <c r="AO17" s="198" t="str">
        <f aca="false">IFERROR(IF($AJ17&lt;&gt;"",$AJ17,IF($AE17&lt;&gt;"",$AE17,IF($Z17&lt;&gt;"",$Z17,IF($U17&lt;&gt;"",$U17,IF($P17&lt;&gt;"",$P17,""))))),"")</f>
        <v>Pass</v>
      </c>
      <c r="AP17" s="199" t="s">
        <v>675</v>
      </c>
    </row>
    <row r="18" customFormat="false" ht="30" hidden="false" customHeight="true" outlineLevel="0" collapsed="false">
      <c r="A18" s="194" t="str">
        <f aca="false">IF(C18="","",$C$2&amp;"."&amp;COUNTA($C$8:C18)&amp;"")</f>
        <v>TC_01.9</v>
      </c>
      <c r="B18" s="194" t="s">
        <v>499</v>
      </c>
      <c r="C18" s="194" t="s">
        <v>676</v>
      </c>
      <c r="D18" s="194" t="s">
        <v>40</v>
      </c>
      <c r="E18" s="194" t="s">
        <v>156</v>
      </c>
      <c r="F18" s="195" t="s">
        <v>677</v>
      </c>
      <c r="G18" s="195" t="s">
        <v>678</v>
      </c>
      <c r="H18" s="195" t="s">
        <v>679</v>
      </c>
      <c r="I18" s="195" t="s">
        <v>680</v>
      </c>
      <c r="J18" s="194" t="s">
        <v>637</v>
      </c>
      <c r="K18" s="194" t="s">
        <v>241</v>
      </c>
      <c r="L18" s="194" t="s">
        <v>638</v>
      </c>
      <c r="M18" s="194"/>
      <c r="N18" s="196" t="s">
        <v>639</v>
      </c>
      <c r="O18" s="196"/>
      <c r="P18" s="196" t="s">
        <v>26</v>
      </c>
      <c r="Q18" s="196" t="s">
        <v>640</v>
      </c>
      <c r="R18" s="196"/>
      <c r="S18" s="196"/>
      <c r="T18" s="196"/>
      <c r="U18" s="196"/>
      <c r="V18" s="196"/>
      <c r="W18" s="196"/>
      <c r="X18" s="196"/>
      <c r="Y18" s="196"/>
      <c r="Z18" s="196"/>
      <c r="AA18" s="196"/>
      <c r="AB18" s="197"/>
      <c r="AC18" s="197"/>
      <c r="AD18" s="197"/>
      <c r="AE18" s="197"/>
      <c r="AF18" s="197"/>
      <c r="AG18" s="197"/>
      <c r="AH18" s="197"/>
      <c r="AI18" s="197"/>
      <c r="AJ18" s="197"/>
      <c r="AK18" s="197"/>
      <c r="AL18" s="197"/>
      <c r="AM18" s="198" t="str">
        <f aca="false">IF($A18="","",IF(OR($N18="Yes",$S18="Yes",$X18="Yes",$AC18="Yes",$AH18="Yes"),"Yes","No"))</f>
        <v>Yes</v>
      </c>
      <c r="AN18" s="198" t="str">
        <f aca="false">IF($A18="","",IFERROR(IF($AI18&lt;&gt;"",$AI18,IF($AD18&lt;&gt;"",$AD18,IF($Y18&lt;&gt;"",$Y18,IF($T18&lt;&gt;"",$T18,IF($O18&lt;&gt;"",$O18,""))))),""))</f>
        <v/>
      </c>
      <c r="AO18" s="198" t="str">
        <f aca="false">IFERROR(IF($AJ18&lt;&gt;"",$AJ18,IF($AE18&lt;&gt;"",$AE18,IF($Z18&lt;&gt;"",$Z18,IF($U18&lt;&gt;"",$U18,IF($P18&lt;&gt;"",$P18,""))))),"")</f>
        <v>Block</v>
      </c>
      <c r="AP18" s="199" t="s">
        <v>681</v>
      </c>
    </row>
    <row r="19" customFormat="false" ht="60" hidden="false" customHeight="true" outlineLevel="0" collapsed="false">
      <c r="A19" s="194" t="str">
        <f aca="false">IF(C19="","",$C$2&amp;"."&amp;COUNTA($C$8:C19)&amp;"")</f>
        <v>TC_01.10</v>
      </c>
      <c r="B19" s="194" t="s">
        <v>499</v>
      </c>
      <c r="C19" s="194" t="s">
        <v>676</v>
      </c>
      <c r="D19" s="194" t="s">
        <v>40</v>
      </c>
      <c r="E19" s="194" t="s">
        <v>157</v>
      </c>
      <c r="F19" s="195" t="s">
        <v>682</v>
      </c>
      <c r="G19" s="195" t="s">
        <v>683</v>
      </c>
      <c r="H19" s="195" t="s">
        <v>684</v>
      </c>
      <c r="I19" s="195" t="s">
        <v>685</v>
      </c>
      <c r="J19" s="194" t="s">
        <v>637</v>
      </c>
      <c r="K19" s="194" t="s">
        <v>241</v>
      </c>
      <c r="L19" s="194" t="s">
        <v>638</v>
      </c>
      <c r="M19" s="194"/>
      <c r="N19" s="196" t="s">
        <v>639</v>
      </c>
      <c r="O19" s="196"/>
      <c r="P19" s="196" t="s">
        <v>26</v>
      </c>
      <c r="Q19" s="196" t="s">
        <v>640</v>
      </c>
      <c r="R19" s="196"/>
      <c r="S19" s="196"/>
      <c r="T19" s="196"/>
      <c r="U19" s="196"/>
      <c r="V19" s="196"/>
      <c r="W19" s="196"/>
      <c r="X19" s="196"/>
      <c r="Y19" s="196"/>
      <c r="Z19" s="196"/>
      <c r="AA19" s="196"/>
      <c r="AB19" s="197"/>
      <c r="AC19" s="197"/>
      <c r="AD19" s="197"/>
      <c r="AE19" s="197"/>
      <c r="AF19" s="197"/>
      <c r="AG19" s="197"/>
      <c r="AH19" s="197"/>
      <c r="AI19" s="197"/>
      <c r="AJ19" s="197"/>
      <c r="AK19" s="197"/>
      <c r="AL19" s="197"/>
      <c r="AM19" s="198" t="str">
        <f aca="false">IF($A19="","",IF(OR($N19="Yes",$S19="Yes",$X19="Yes",$AC19="Yes",$AH19="Yes"),"Yes","No"))</f>
        <v>Yes</v>
      </c>
      <c r="AN19" s="198" t="str">
        <f aca="false">IF($A19="","",IFERROR(IF($AI19&lt;&gt;"",$AI19,IF($AD19&lt;&gt;"",$AD19,IF($Y19&lt;&gt;"",$Y19,IF($T19&lt;&gt;"",$T19,IF($O19&lt;&gt;"",$O19,""))))),""))</f>
        <v/>
      </c>
      <c r="AO19" s="198" t="str">
        <f aca="false">IFERROR(IF($AJ19&lt;&gt;"",$AJ19,IF($AE19&lt;&gt;"",$AE19,IF($Z19&lt;&gt;"",$Z19,IF($U19&lt;&gt;"",$U19,IF($P19&lt;&gt;"",$P19,""))))),"")</f>
        <v>Block</v>
      </c>
      <c r="AP19" s="199" t="s">
        <v>686</v>
      </c>
    </row>
    <row r="20" customFormat="false" ht="60" hidden="false" customHeight="true" outlineLevel="0" collapsed="false">
      <c r="A20" s="194" t="str">
        <f aca="false">IF(C20="","",$C$2&amp;"."&amp;COUNTA($C$8:C20)&amp;"")</f>
        <v>TC_01.11</v>
      </c>
      <c r="B20" s="194" t="s">
        <v>502</v>
      </c>
      <c r="C20" s="194" t="s">
        <v>632</v>
      </c>
      <c r="D20" s="194" t="s">
        <v>42</v>
      </c>
      <c r="E20" s="194" t="s">
        <v>158</v>
      </c>
      <c r="F20" s="195" t="s">
        <v>687</v>
      </c>
      <c r="G20" s="195" t="s">
        <v>688</v>
      </c>
      <c r="H20" s="195" t="s">
        <v>689</v>
      </c>
      <c r="I20" s="195" t="s">
        <v>690</v>
      </c>
      <c r="J20" s="194" t="s">
        <v>637</v>
      </c>
      <c r="K20" s="194" t="s">
        <v>241</v>
      </c>
      <c r="L20" s="194" t="s">
        <v>638</v>
      </c>
      <c r="M20" s="194"/>
      <c r="N20" s="196" t="s">
        <v>639</v>
      </c>
      <c r="O20" s="196"/>
      <c r="P20" s="196" t="s">
        <v>26</v>
      </c>
      <c r="Q20" s="196" t="s">
        <v>640</v>
      </c>
      <c r="R20" s="196"/>
      <c r="S20" s="196"/>
      <c r="T20" s="196"/>
      <c r="U20" s="196"/>
      <c r="V20" s="196"/>
      <c r="W20" s="196"/>
      <c r="X20" s="196"/>
      <c r="Y20" s="196"/>
      <c r="Z20" s="196"/>
      <c r="AA20" s="196"/>
      <c r="AB20" s="197"/>
      <c r="AC20" s="197"/>
      <c r="AD20" s="197"/>
      <c r="AE20" s="197"/>
      <c r="AF20" s="197"/>
      <c r="AG20" s="197"/>
      <c r="AH20" s="197"/>
      <c r="AI20" s="197"/>
      <c r="AJ20" s="197"/>
      <c r="AK20" s="197"/>
      <c r="AL20" s="197"/>
      <c r="AM20" s="198" t="str">
        <f aca="false">IF($A20="","",IF(OR($N20="Yes",$S20="Yes",$X20="Yes",$AC20="Yes",$AH20="Yes"),"Yes","No"))</f>
        <v>Yes</v>
      </c>
      <c r="AN20" s="198" t="str">
        <f aca="false">IF($A20="","",IFERROR(IF($AI20&lt;&gt;"",$AI20,IF($AD20&lt;&gt;"",$AD20,IF($Y20&lt;&gt;"",$Y20,IF($T20&lt;&gt;"",$T20,IF($O20&lt;&gt;"",$O20,""))))),""))</f>
        <v/>
      </c>
      <c r="AO20" s="198" t="str">
        <f aca="false">IFERROR(IF($AJ20&lt;&gt;"",$AJ20,IF($AE20&lt;&gt;"",$AE20,IF($Z20&lt;&gt;"",$Z20,IF($U20&lt;&gt;"",$U20,IF($P20&lt;&gt;"",$P20,""))))),"")</f>
        <v>Block</v>
      </c>
      <c r="AP20" s="199" t="s">
        <v>691</v>
      </c>
    </row>
    <row r="21" customFormat="false" ht="15" hidden="false" customHeight="true" outlineLevel="0" collapsed="false">
      <c r="A21" s="194" t="str">
        <f aca="false">IF(C21="","",$C$2&amp;"."&amp;COUNTA($C$8:C21)&amp;"")</f>
        <v>TC_01.12</v>
      </c>
      <c r="B21" s="194" t="s">
        <v>502</v>
      </c>
      <c r="C21" s="194" t="s">
        <v>632</v>
      </c>
      <c r="D21" s="194" t="s">
        <v>42</v>
      </c>
      <c r="E21" s="194" t="s">
        <v>158</v>
      </c>
      <c r="F21" s="195" t="s">
        <v>692</v>
      </c>
      <c r="G21" s="195" t="s">
        <v>693</v>
      </c>
      <c r="H21" s="195" t="s">
        <v>694</v>
      </c>
      <c r="I21" s="195" t="s">
        <v>695</v>
      </c>
      <c r="J21" s="194" t="s">
        <v>637</v>
      </c>
      <c r="K21" s="194" t="s">
        <v>241</v>
      </c>
      <c r="L21" s="194" t="s">
        <v>638</v>
      </c>
      <c r="M21" s="194"/>
      <c r="N21" s="196" t="s">
        <v>639</v>
      </c>
      <c r="O21" s="196"/>
      <c r="P21" s="196" t="s">
        <v>22</v>
      </c>
      <c r="Q21" s="196" t="s">
        <v>640</v>
      </c>
      <c r="R21" s="196"/>
      <c r="S21" s="196"/>
      <c r="T21" s="196"/>
      <c r="U21" s="196"/>
      <c r="V21" s="196"/>
      <c r="W21" s="196"/>
      <c r="X21" s="196"/>
      <c r="Y21" s="196"/>
      <c r="Z21" s="196"/>
      <c r="AA21" s="196"/>
      <c r="AB21" s="197"/>
      <c r="AC21" s="197"/>
      <c r="AD21" s="197"/>
      <c r="AE21" s="197"/>
      <c r="AF21" s="197"/>
      <c r="AG21" s="197"/>
      <c r="AH21" s="197"/>
      <c r="AI21" s="197"/>
      <c r="AJ21" s="197"/>
      <c r="AK21" s="197"/>
      <c r="AL21" s="197"/>
      <c r="AM21" s="198" t="str">
        <f aca="false">IF($A21="","",IF(OR($N21="Yes",$S21="Yes",$X21="Yes",$AC21="Yes",$AH21="Yes"),"Yes","No"))</f>
        <v>Yes</v>
      </c>
      <c r="AN21" s="198" t="str">
        <f aca="false">IF($A21="","",IFERROR(IF($AI21&lt;&gt;"",$AI21,IF($AD21&lt;&gt;"",$AD21,IF($Y21&lt;&gt;"",$Y21,IF($T21&lt;&gt;"",$T21,IF($O21&lt;&gt;"",$O21,""))))),""))</f>
        <v/>
      </c>
      <c r="AO21" s="198" t="str">
        <f aca="false">IFERROR(IF($AJ21&lt;&gt;"",$AJ21,IF($AE21&lt;&gt;"",$AE21,IF($Z21&lt;&gt;"",$Z21,IF($U21&lt;&gt;"",$U21,IF($P21&lt;&gt;"",$P21,""))))),"")</f>
        <v>Pass</v>
      </c>
      <c r="AP21" s="199" t="s">
        <v>696</v>
      </c>
    </row>
    <row r="22" customFormat="false" ht="60" hidden="false" customHeight="true" outlineLevel="0" collapsed="false">
      <c r="A22" s="194" t="str">
        <f aca="false">IF(C22="","",$C$2&amp;"."&amp;COUNTA($C$8:C22)&amp;"")</f>
        <v>TC_01.13</v>
      </c>
      <c r="B22" s="194" t="s">
        <v>502</v>
      </c>
      <c r="C22" s="194" t="s">
        <v>632</v>
      </c>
      <c r="D22" s="194" t="s">
        <v>40</v>
      </c>
      <c r="E22" s="194" t="s">
        <v>157</v>
      </c>
      <c r="F22" s="195" t="s">
        <v>697</v>
      </c>
      <c r="G22" s="195" t="s">
        <v>698</v>
      </c>
      <c r="H22" s="195" t="s">
        <v>699</v>
      </c>
      <c r="I22" s="195" t="s">
        <v>700</v>
      </c>
      <c r="J22" s="194" t="s">
        <v>637</v>
      </c>
      <c r="K22" s="194" t="s">
        <v>241</v>
      </c>
      <c r="L22" s="194" t="s">
        <v>638</v>
      </c>
      <c r="M22" s="194"/>
      <c r="N22" s="196" t="s">
        <v>639</v>
      </c>
      <c r="O22" s="196"/>
      <c r="P22" s="196" t="s">
        <v>22</v>
      </c>
      <c r="Q22" s="196" t="s">
        <v>640</v>
      </c>
      <c r="R22" s="196"/>
      <c r="S22" s="196"/>
      <c r="T22" s="196"/>
      <c r="U22" s="196"/>
      <c r="V22" s="196"/>
      <c r="W22" s="196"/>
      <c r="X22" s="196"/>
      <c r="Y22" s="196"/>
      <c r="Z22" s="196"/>
      <c r="AA22" s="196"/>
      <c r="AB22" s="197"/>
      <c r="AC22" s="197"/>
      <c r="AD22" s="197"/>
      <c r="AE22" s="197"/>
      <c r="AF22" s="197"/>
      <c r="AG22" s="197"/>
      <c r="AH22" s="197"/>
      <c r="AI22" s="197"/>
      <c r="AJ22" s="197"/>
      <c r="AK22" s="197"/>
      <c r="AL22" s="197"/>
      <c r="AM22" s="198" t="str">
        <f aca="false">IF($A22="","",IF(OR($N22="Yes",$S22="Yes",$X22="Yes",$AC22="Yes",$AH22="Yes"),"Yes","No"))</f>
        <v>Yes</v>
      </c>
      <c r="AN22" s="198" t="str">
        <f aca="false">IF($A22="","",IFERROR(IF($AI22&lt;&gt;"",$AI22,IF($AD22&lt;&gt;"",$AD22,IF($Y22&lt;&gt;"",$Y22,IF($T22&lt;&gt;"",$T22,IF($O22&lt;&gt;"",$O22,""))))),""))</f>
        <v/>
      </c>
      <c r="AO22" s="198" t="str">
        <f aca="false">IFERROR(IF($AJ22&lt;&gt;"",$AJ22,IF($AE22&lt;&gt;"",$AE22,IF($Z22&lt;&gt;"",$Z22,IF($U22&lt;&gt;"",$U22,IF($P22&lt;&gt;"",$P22,""))))),"")</f>
        <v>Pass</v>
      </c>
      <c r="AP22" s="199" t="s">
        <v>701</v>
      </c>
    </row>
    <row r="23" customFormat="false" ht="60" hidden="false" customHeight="true" outlineLevel="0" collapsed="false">
      <c r="A23" s="194" t="str">
        <f aca="false">IF(C23="","",$C$2&amp;"."&amp;COUNTA($C$8:C23)&amp;"")</f>
        <v>TC_01.14</v>
      </c>
      <c r="B23" s="194" t="s">
        <v>502</v>
      </c>
      <c r="C23" s="194" t="s">
        <v>632</v>
      </c>
      <c r="D23" s="194" t="s">
        <v>40</v>
      </c>
      <c r="E23" s="194" t="s">
        <v>157</v>
      </c>
      <c r="F23" s="195" t="s">
        <v>702</v>
      </c>
      <c r="G23" s="195" t="s">
        <v>703</v>
      </c>
      <c r="H23" s="195" t="s">
        <v>704</v>
      </c>
      <c r="I23" s="195" t="s">
        <v>700</v>
      </c>
      <c r="J23" s="194" t="s">
        <v>637</v>
      </c>
      <c r="K23" s="194" t="s">
        <v>241</v>
      </c>
      <c r="L23" s="194" t="s">
        <v>638</v>
      </c>
      <c r="M23" s="194"/>
      <c r="N23" s="196" t="s">
        <v>639</v>
      </c>
      <c r="O23" s="196"/>
      <c r="P23" s="196" t="s">
        <v>22</v>
      </c>
      <c r="Q23" s="196" t="s">
        <v>640</v>
      </c>
      <c r="R23" s="196"/>
      <c r="S23" s="196"/>
      <c r="T23" s="196"/>
      <c r="U23" s="196"/>
      <c r="V23" s="196"/>
      <c r="W23" s="196"/>
      <c r="X23" s="196"/>
      <c r="Y23" s="196"/>
      <c r="Z23" s="196"/>
      <c r="AA23" s="196"/>
      <c r="AB23" s="197"/>
      <c r="AC23" s="197"/>
      <c r="AD23" s="197"/>
      <c r="AE23" s="197"/>
      <c r="AF23" s="197"/>
      <c r="AG23" s="197"/>
      <c r="AH23" s="197"/>
      <c r="AI23" s="197"/>
      <c r="AJ23" s="197"/>
      <c r="AK23" s="197"/>
      <c r="AL23" s="197"/>
      <c r="AM23" s="198" t="str">
        <f aca="false">IF($A23="","",IF(OR($N23="Yes",$S23="Yes",$X23="Yes",$AC23="Yes",$AH23="Yes"),"Yes","No"))</f>
        <v>Yes</v>
      </c>
      <c r="AN23" s="198" t="str">
        <f aca="false">IF($A23="","",IFERROR(IF($AI23&lt;&gt;"",$AI23,IF($AD23&lt;&gt;"",$AD23,IF($Y23&lt;&gt;"",$Y23,IF($T23&lt;&gt;"",$T23,IF($O23&lt;&gt;"",$O23,""))))),""))</f>
        <v/>
      </c>
      <c r="AO23" s="198" t="str">
        <f aca="false">IFERROR(IF($AJ23&lt;&gt;"",$AJ23,IF($AE23&lt;&gt;"",$AE23,IF($Z23&lt;&gt;"",$Z23,IF($U23&lt;&gt;"",$U23,IF($P23&lt;&gt;"",$P23,""))))),"")</f>
        <v>Pass</v>
      </c>
      <c r="AP23" s="199" t="s">
        <v>664</v>
      </c>
    </row>
    <row r="24" customFormat="false" ht="60" hidden="false" customHeight="true" outlineLevel="0" collapsed="false">
      <c r="A24" s="194" t="str">
        <f aca="false">IF(C24="","",$C$2&amp;"."&amp;COUNTA($C$8:C24)&amp;"")</f>
        <v>TC_01.15</v>
      </c>
      <c r="B24" s="194" t="s">
        <v>502</v>
      </c>
      <c r="C24" s="194" t="s">
        <v>632</v>
      </c>
      <c r="D24" s="194" t="s">
        <v>40</v>
      </c>
      <c r="E24" s="194" t="s">
        <v>157</v>
      </c>
      <c r="F24" s="195" t="s">
        <v>705</v>
      </c>
      <c r="G24" s="195" t="s">
        <v>706</v>
      </c>
      <c r="H24" s="195" t="s">
        <v>707</v>
      </c>
      <c r="I24" s="195" t="s">
        <v>700</v>
      </c>
      <c r="J24" s="194" t="s">
        <v>637</v>
      </c>
      <c r="K24" s="194" t="s">
        <v>241</v>
      </c>
      <c r="L24" s="194" t="s">
        <v>638</v>
      </c>
      <c r="M24" s="194"/>
      <c r="N24" s="196" t="s">
        <v>639</v>
      </c>
      <c r="O24" s="196"/>
      <c r="P24" s="196" t="s">
        <v>22</v>
      </c>
      <c r="Q24" s="196" t="s">
        <v>640</v>
      </c>
      <c r="R24" s="196"/>
      <c r="S24" s="196"/>
      <c r="T24" s="196"/>
      <c r="U24" s="196"/>
      <c r="V24" s="196"/>
      <c r="W24" s="196"/>
      <c r="X24" s="196"/>
      <c r="Y24" s="196"/>
      <c r="Z24" s="196"/>
      <c r="AA24" s="196"/>
      <c r="AB24" s="197"/>
      <c r="AC24" s="197"/>
      <c r="AD24" s="197"/>
      <c r="AE24" s="197"/>
      <c r="AF24" s="197"/>
      <c r="AG24" s="197"/>
      <c r="AH24" s="197"/>
      <c r="AI24" s="197"/>
      <c r="AJ24" s="197"/>
      <c r="AK24" s="197"/>
      <c r="AL24" s="197"/>
      <c r="AM24" s="198" t="str">
        <f aca="false">IF($A24="","",IF(OR($N24="Yes",$S24="Yes",$X24="Yes",$AC24="Yes",$AH24="Yes"),"Yes","No"))</f>
        <v>Yes</v>
      </c>
      <c r="AN24" s="198" t="str">
        <f aca="false">IF($A24="","",IFERROR(IF($AI24&lt;&gt;"",$AI24,IF($AD24&lt;&gt;"",$AD24,IF($Y24&lt;&gt;"",$Y24,IF($T24&lt;&gt;"",$T24,IF($O24&lt;&gt;"",$O24,""))))),""))</f>
        <v/>
      </c>
      <c r="AO24" s="198" t="str">
        <f aca="false">IFERROR(IF($AJ24&lt;&gt;"",$AJ24,IF($AE24&lt;&gt;"",$AE24,IF($Z24&lt;&gt;"",$Z24,IF($U24&lt;&gt;"",$U24,IF($P24&lt;&gt;"",$P24,""))))),"")</f>
        <v>Pass</v>
      </c>
      <c r="AP24" s="199" t="s">
        <v>669</v>
      </c>
    </row>
    <row r="25" customFormat="false" ht="15.75" hidden="false" customHeight="true" outlineLevel="0" collapsed="false">
      <c r="A25" s="194" t="str">
        <f aca="false">IF(C25="","",$C$2&amp;"."&amp;COUNTA($C$8:C25)&amp;"")</f>
        <v>TC_01.16</v>
      </c>
      <c r="B25" s="194" t="s">
        <v>502</v>
      </c>
      <c r="C25" s="194" t="s">
        <v>632</v>
      </c>
      <c r="D25" s="194" t="s">
        <v>40</v>
      </c>
      <c r="E25" s="194" t="s">
        <v>158</v>
      </c>
      <c r="F25" s="195" t="s">
        <v>708</v>
      </c>
      <c r="G25" s="195" t="s">
        <v>709</v>
      </c>
      <c r="H25" s="195" t="s">
        <v>710</v>
      </c>
      <c r="I25" s="195" t="s">
        <v>700</v>
      </c>
      <c r="J25" s="194" t="s">
        <v>637</v>
      </c>
      <c r="K25" s="194" t="s">
        <v>241</v>
      </c>
      <c r="L25" s="194" t="s">
        <v>638</v>
      </c>
      <c r="M25" s="194"/>
      <c r="N25" s="196" t="s">
        <v>639</v>
      </c>
      <c r="O25" s="196"/>
      <c r="P25" s="196" t="s">
        <v>26</v>
      </c>
      <c r="Q25" s="196" t="s">
        <v>640</v>
      </c>
      <c r="R25" s="196"/>
      <c r="S25" s="196"/>
      <c r="T25" s="196"/>
      <c r="U25" s="196"/>
      <c r="V25" s="196"/>
      <c r="W25" s="196"/>
      <c r="X25" s="196"/>
      <c r="Y25" s="196"/>
      <c r="Z25" s="196"/>
      <c r="AA25" s="196"/>
      <c r="AB25" s="197"/>
      <c r="AC25" s="197"/>
      <c r="AD25" s="197"/>
      <c r="AE25" s="197"/>
      <c r="AF25" s="197"/>
      <c r="AG25" s="197"/>
      <c r="AH25" s="197"/>
      <c r="AI25" s="197"/>
      <c r="AJ25" s="197"/>
      <c r="AK25" s="197"/>
      <c r="AL25" s="197"/>
      <c r="AM25" s="198" t="str">
        <f aca="false">IF($A25="","",IF(OR($N25="Yes",$S25="Yes",$X25="Yes",$AC25="Yes",$AH25="Yes"),"Yes","No"))</f>
        <v>Yes</v>
      </c>
      <c r="AN25" s="198" t="str">
        <f aca="false">IF($A25="","",IFERROR(IF($AI25&lt;&gt;"",$AI25,IF($AD25&lt;&gt;"",$AD25,IF($Y25&lt;&gt;"",$Y25,IF($T25&lt;&gt;"",$T25,IF($O25&lt;&gt;"",$O25,""))))),""))</f>
        <v/>
      </c>
      <c r="AO25" s="198" t="str">
        <f aca="false">IFERROR(IF($AJ25&lt;&gt;"",$AJ25,IF($AE25&lt;&gt;"",$AE25,IF($Z25&lt;&gt;"",$Z25,IF($U25&lt;&gt;"",$U25,IF($P25&lt;&gt;"",$P25,""))))),"")</f>
        <v>Block</v>
      </c>
      <c r="AP25" s="199" t="s">
        <v>711</v>
      </c>
    </row>
    <row r="26" customFormat="false" ht="60" hidden="false" customHeight="true" outlineLevel="0" collapsed="false">
      <c r="A26" s="194" t="str">
        <f aca="false">IF(C26="","",$C$2&amp;"."&amp;COUNTA($C$8:C26)&amp;"")</f>
        <v>TC_01.17</v>
      </c>
      <c r="B26" s="194" t="s">
        <v>712</v>
      </c>
      <c r="C26" s="194" t="s">
        <v>713</v>
      </c>
      <c r="D26" s="194" t="s">
        <v>40</v>
      </c>
      <c r="E26" s="194" t="s">
        <v>158</v>
      </c>
      <c r="F26" s="195" t="s">
        <v>714</v>
      </c>
      <c r="G26" s="195" t="s">
        <v>715</v>
      </c>
      <c r="H26" s="195" t="s">
        <v>716</v>
      </c>
      <c r="I26" s="195" t="s">
        <v>717</v>
      </c>
      <c r="J26" s="194" t="s">
        <v>637</v>
      </c>
      <c r="K26" s="194" t="s">
        <v>241</v>
      </c>
      <c r="L26" s="194" t="s">
        <v>638</v>
      </c>
      <c r="M26" s="194"/>
      <c r="N26" s="196" t="s">
        <v>639</v>
      </c>
      <c r="O26" s="196"/>
      <c r="P26" s="196" t="s">
        <v>26</v>
      </c>
      <c r="Q26" s="196" t="s">
        <v>640</v>
      </c>
      <c r="R26" s="196"/>
      <c r="S26" s="196"/>
      <c r="T26" s="196"/>
      <c r="U26" s="196"/>
      <c r="V26" s="196"/>
      <c r="W26" s="196"/>
      <c r="X26" s="196"/>
      <c r="Y26" s="196"/>
      <c r="Z26" s="196"/>
      <c r="AA26" s="196"/>
      <c r="AB26" s="197"/>
      <c r="AC26" s="197"/>
      <c r="AD26" s="197"/>
      <c r="AE26" s="197"/>
      <c r="AF26" s="197"/>
      <c r="AG26" s="197"/>
      <c r="AH26" s="197"/>
      <c r="AI26" s="197"/>
      <c r="AJ26" s="197"/>
      <c r="AK26" s="197"/>
      <c r="AL26" s="197"/>
      <c r="AM26" s="198" t="str">
        <f aca="false">IF($A26="","",IF(OR($N26="Yes",$S26="Yes",$X26="Yes",$AC26="Yes",$AH26="Yes"),"Yes","No"))</f>
        <v>Yes</v>
      </c>
      <c r="AN26" s="198" t="str">
        <f aca="false">IF($A26="","",IFERROR(IF($AI26&lt;&gt;"",$AI26,IF($AD26&lt;&gt;"",$AD26,IF($Y26&lt;&gt;"",$Y26,IF($T26&lt;&gt;"",$T26,IF($O26&lt;&gt;"",$O26,""))))),""))</f>
        <v/>
      </c>
      <c r="AO26" s="198" t="str">
        <f aca="false">IFERROR(IF($AJ26&lt;&gt;"",$AJ26,IF($AE26&lt;&gt;"",$AE26,IF($Z26&lt;&gt;"",$Z26,IF($U26&lt;&gt;"",$U26,IF($P26&lt;&gt;"",$P26,""))))),"")</f>
        <v>Block</v>
      </c>
      <c r="AP26" s="199" t="s">
        <v>718</v>
      </c>
    </row>
    <row r="27" customFormat="false" ht="60" hidden="false" customHeight="true" outlineLevel="0" collapsed="false">
      <c r="A27" s="194" t="str">
        <f aca="false">IF(C27="","",$C$2&amp;"."&amp;COUNTA($C$8:C27)&amp;"")</f>
        <v>TC_01.18</v>
      </c>
      <c r="B27" s="194" t="s">
        <v>502</v>
      </c>
      <c r="C27" s="194" t="s">
        <v>632</v>
      </c>
      <c r="D27" s="194" t="s">
        <v>40</v>
      </c>
      <c r="E27" s="194" t="s">
        <v>158</v>
      </c>
      <c r="F27" s="195" t="s">
        <v>719</v>
      </c>
      <c r="G27" s="195" t="s">
        <v>720</v>
      </c>
      <c r="H27" s="195" t="s">
        <v>721</v>
      </c>
      <c r="I27" s="195" t="s">
        <v>722</v>
      </c>
      <c r="J27" s="194" t="s">
        <v>637</v>
      </c>
      <c r="K27" s="194" t="s">
        <v>241</v>
      </c>
      <c r="L27" s="194" t="s">
        <v>638</v>
      </c>
      <c r="M27" s="194"/>
      <c r="N27" s="196" t="s">
        <v>639</v>
      </c>
      <c r="O27" s="196"/>
      <c r="P27" s="196" t="s">
        <v>26</v>
      </c>
      <c r="Q27" s="196" t="s">
        <v>640</v>
      </c>
      <c r="R27" s="196"/>
      <c r="S27" s="196"/>
      <c r="T27" s="196"/>
      <c r="U27" s="196"/>
      <c r="V27" s="196"/>
      <c r="W27" s="196"/>
      <c r="X27" s="196"/>
      <c r="Y27" s="196"/>
      <c r="Z27" s="196"/>
      <c r="AA27" s="196"/>
      <c r="AB27" s="197"/>
      <c r="AC27" s="197"/>
      <c r="AD27" s="197"/>
      <c r="AE27" s="197"/>
      <c r="AF27" s="197"/>
      <c r="AG27" s="197"/>
      <c r="AH27" s="197"/>
      <c r="AI27" s="197"/>
      <c r="AJ27" s="197"/>
      <c r="AK27" s="197"/>
      <c r="AL27" s="197"/>
      <c r="AM27" s="198" t="str">
        <f aca="false">IF($A27="","",IF(OR($N27="Yes",$S27="Yes",$X27="Yes",$AC27="Yes",$AH27="Yes"),"Yes","No"))</f>
        <v>Yes</v>
      </c>
      <c r="AN27" s="198" t="str">
        <f aca="false">IF($A26="","",IFERROR(IF($AI26&lt;&gt;"",$AI26,IF($AD26&lt;&gt;"",$AD26,IF($Y26&lt;&gt;"",$Y26,IF($T26&lt;&gt;"",$T26,IF($O26&lt;&gt;"",$O26,""))))),""))</f>
        <v/>
      </c>
      <c r="AO27" s="198" t="str">
        <f aca="false">IFERROR(IF($AJ27&lt;&gt;"",$AJ27,IF($AE27&lt;&gt;"",$AE27,IF($Z27&lt;&gt;"",$Z27,IF($U27&lt;&gt;"",$U27,IF($P27&lt;&gt;"",$P27,""))))),"")</f>
        <v>Block</v>
      </c>
      <c r="AP27" s="199" t="s">
        <v>723</v>
      </c>
    </row>
    <row r="28" customFormat="false" ht="60" hidden="false" customHeight="true" outlineLevel="0" collapsed="false">
      <c r="A28" s="194" t="str">
        <f aca="false">IF(C28="","",$C$2&amp;"."&amp;COUNTA($C$8:C28)&amp;"")</f>
        <v>TC_01.19</v>
      </c>
      <c r="B28" s="194" t="s">
        <v>502</v>
      </c>
      <c r="C28" s="194" t="s">
        <v>724</v>
      </c>
      <c r="D28" s="194" t="s">
        <v>42</v>
      </c>
      <c r="E28" s="194" t="s">
        <v>158</v>
      </c>
      <c r="F28" s="195" t="s">
        <v>725</v>
      </c>
      <c r="G28" s="195" t="s">
        <v>726</v>
      </c>
      <c r="H28" s="195" t="s">
        <v>727</v>
      </c>
      <c r="I28" s="195" t="s">
        <v>728</v>
      </c>
      <c r="J28" s="194" t="s">
        <v>637</v>
      </c>
      <c r="K28" s="194" t="s">
        <v>241</v>
      </c>
      <c r="L28" s="194" t="s">
        <v>638</v>
      </c>
      <c r="M28" s="194"/>
      <c r="N28" s="196" t="s">
        <v>639</v>
      </c>
      <c r="O28" s="196"/>
      <c r="P28" s="196" t="s">
        <v>26</v>
      </c>
      <c r="Q28" s="196" t="s">
        <v>640</v>
      </c>
      <c r="R28" s="196"/>
      <c r="S28" s="196"/>
      <c r="T28" s="196"/>
      <c r="U28" s="196"/>
      <c r="V28" s="196"/>
      <c r="W28" s="196"/>
      <c r="X28" s="196"/>
      <c r="Y28" s="196"/>
      <c r="Z28" s="196"/>
      <c r="AA28" s="196"/>
      <c r="AB28" s="197"/>
      <c r="AC28" s="197"/>
      <c r="AD28" s="197"/>
      <c r="AE28" s="197"/>
      <c r="AF28" s="197"/>
      <c r="AG28" s="197"/>
      <c r="AH28" s="197"/>
      <c r="AI28" s="197"/>
      <c r="AJ28" s="197"/>
      <c r="AK28" s="197"/>
      <c r="AL28" s="197"/>
      <c r="AM28" s="198" t="str">
        <f aca="false">IF($A28="","",IF(OR($N28="Yes",$S28="Yes",$X28="Yes",$AC28="Yes",$AH28="Yes"),"Yes","No"))</f>
        <v>Yes</v>
      </c>
      <c r="AN28" s="198" t="str">
        <f aca="false">IF($A27="","",IFERROR(IF($AI27&lt;&gt;"",$AI27,IF($AD27&lt;&gt;"",$AD27,IF($Y27&lt;&gt;"",$Y27,IF($T27&lt;&gt;"",$T27,IF($O27&lt;&gt;"",$O27,""))))),""))</f>
        <v/>
      </c>
      <c r="AO28" s="198" t="str">
        <f aca="false">IFERROR(IF($AJ28&lt;&gt;"",$AJ28,IF($AE28&lt;&gt;"",$AE28,IF($Z28&lt;&gt;"",$Z28,IF($U28&lt;&gt;"",$U28,IF($P28&lt;&gt;"",$P28,""))))),"")</f>
        <v>Block</v>
      </c>
      <c r="AP28" s="199" t="s">
        <v>729</v>
      </c>
    </row>
    <row r="29" customFormat="false" ht="60" hidden="false" customHeight="true" outlineLevel="0" collapsed="false">
      <c r="A29" s="194" t="str">
        <f aca="false">IF(C29="","",$C$2&amp;"."&amp;COUNTA($C$8:C29)&amp;"")</f>
        <v>TC_01.20</v>
      </c>
      <c r="B29" s="194" t="s">
        <v>502</v>
      </c>
      <c r="C29" s="194" t="s">
        <v>724</v>
      </c>
      <c r="D29" s="194" t="s">
        <v>42</v>
      </c>
      <c r="E29" s="194" t="s">
        <v>158</v>
      </c>
      <c r="F29" s="195" t="s">
        <v>730</v>
      </c>
      <c r="G29" s="195" t="s">
        <v>731</v>
      </c>
      <c r="H29" s="195" t="s">
        <v>732</v>
      </c>
      <c r="I29" s="195" t="s">
        <v>728</v>
      </c>
      <c r="J29" s="194" t="s">
        <v>637</v>
      </c>
      <c r="K29" s="194" t="s">
        <v>241</v>
      </c>
      <c r="L29" s="194" t="s">
        <v>638</v>
      </c>
      <c r="M29" s="194"/>
      <c r="N29" s="196" t="s">
        <v>639</v>
      </c>
      <c r="O29" s="196"/>
      <c r="P29" s="196" t="s">
        <v>22</v>
      </c>
      <c r="Q29" s="196" t="s">
        <v>640</v>
      </c>
      <c r="R29" s="196"/>
      <c r="S29" s="196"/>
      <c r="T29" s="196"/>
      <c r="U29" s="196"/>
      <c r="V29" s="196"/>
      <c r="W29" s="196"/>
      <c r="X29" s="196"/>
      <c r="Y29" s="196"/>
      <c r="Z29" s="196"/>
      <c r="AA29" s="196"/>
      <c r="AB29" s="197"/>
      <c r="AC29" s="197"/>
      <c r="AD29" s="197"/>
      <c r="AE29" s="197"/>
      <c r="AF29" s="197"/>
      <c r="AG29" s="197"/>
      <c r="AH29" s="197"/>
      <c r="AI29" s="197"/>
      <c r="AJ29" s="197"/>
      <c r="AK29" s="197"/>
      <c r="AL29" s="197"/>
      <c r="AM29" s="198" t="str">
        <f aca="false">IF($A29="","",IF(OR($N29="Yes",$S29="Yes",$X29="Yes",$AC29="Yes",$AH29="Yes"),"Yes","No"))</f>
        <v>Yes</v>
      </c>
      <c r="AN29" s="198" t="str">
        <f aca="false">IF($A28="","",IFERROR(IF($AI28&lt;&gt;"",$AI28,IF($AD28&lt;&gt;"",$AD28,IF($Y28&lt;&gt;"",$Y28,IF($T28&lt;&gt;"",$T28,IF($O28&lt;&gt;"",$O28,""))))),""))</f>
        <v/>
      </c>
      <c r="AO29" s="198" t="str">
        <f aca="false">IFERROR(IF($AJ29&lt;&gt;"",$AJ29,IF($AE29&lt;&gt;"",$AE29,IF($Z29&lt;&gt;"",$Z29,IF($U29&lt;&gt;"",$U29,IF($P29&lt;&gt;"",$P29,""))))),"")</f>
        <v>Pass</v>
      </c>
      <c r="AP29" s="199" t="s">
        <v>733</v>
      </c>
    </row>
    <row r="30" customFormat="false" ht="15.75" hidden="false" customHeight="true" outlineLevel="0" collapsed="false">
      <c r="A30" s="194" t="str">
        <f aca="false">IF(C30="","",$C$2&amp;"."&amp;COUNTA($C$8:C30)&amp;"")</f>
        <v>TC_01.21</v>
      </c>
      <c r="B30" s="194" t="s">
        <v>712</v>
      </c>
      <c r="C30" s="194" t="s">
        <v>713</v>
      </c>
      <c r="D30" s="194" t="s">
        <v>40</v>
      </c>
      <c r="E30" s="194" t="s">
        <v>157</v>
      </c>
      <c r="F30" s="195" t="s">
        <v>734</v>
      </c>
      <c r="G30" s="195" t="s">
        <v>735</v>
      </c>
      <c r="H30" s="195" t="s">
        <v>736</v>
      </c>
      <c r="I30" s="195" t="s">
        <v>737</v>
      </c>
      <c r="J30" s="194" t="s">
        <v>637</v>
      </c>
      <c r="K30" s="194" t="s">
        <v>241</v>
      </c>
      <c r="L30" s="194" t="s">
        <v>638</v>
      </c>
      <c r="M30" s="194"/>
      <c r="N30" s="196" t="s">
        <v>639</v>
      </c>
      <c r="O30" s="196"/>
      <c r="P30" s="196" t="s">
        <v>26</v>
      </c>
      <c r="Q30" s="196" t="s">
        <v>640</v>
      </c>
      <c r="R30" s="196"/>
      <c r="S30" s="196"/>
      <c r="T30" s="196"/>
      <c r="U30" s="196"/>
      <c r="V30" s="196"/>
      <c r="W30" s="196"/>
      <c r="X30" s="196"/>
      <c r="Y30" s="196"/>
      <c r="Z30" s="196"/>
      <c r="AA30" s="196"/>
      <c r="AB30" s="197"/>
      <c r="AC30" s="197"/>
      <c r="AD30" s="197"/>
      <c r="AE30" s="197"/>
      <c r="AF30" s="197"/>
      <c r="AG30" s="197"/>
      <c r="AH30" s="197"/>
      <c r="AI30" s="197"/>
      <c r="AJ30" s="197"/>
      <c r="AK30" s="197"/>
      <c r="AL30" s="197"/>
      <c r="AM30" s="198" t="str">
        <f aca="false">IF($A30="","",IF(OR($N30="Yes",$S30="Yes",$X30="Yes",$AC30="Yes",$AH30="Yes"),"Yes","No"))</f>
        <v>Yes</v>
      </c>
      <c r="AN30" s="198" t="str">
        <f aca="false">IF($A29="","",IFERROR(IF($AI29&lt;&gt;"",$AI29,IF($AD29&lt;&gt;"",$AD29,IF($Y29&lt;&gt;"",$Y29,IF($T29&lt;&gt;"",$T29,IF($O29&lt;&gt;"",$O29,""))))),""))</f>
        <v/>
      </c>
      <c r="AO30" s="198" t="str">
        <f aca="false">IFERROR(IF($AJ30&lt;&gt;"",$AJ30,IF($AE30&lt;&gt;"",$AE30,IF($Z30&lt;&gt;"",$Z30,IF($U30&lt;&gt;"",$U30,IF($P30&lt;&gt;"",$P30,""))))),"")</f>
        <v>Block</v>
      </c>
      <c r="AP30" s="199" t="s">
        <v>738</v>
      </c>
    </row>
    <row r="31" customFormat="false" ht="15" hidden="false" customHeight="true" outlineLevel="0" collapsed="false">
      <c r="A31" s="194"/>
      <c r="B31" s="194"/>
      <c r="C31" s="194"/>
      <c r="D31" s="194"/>
      <c r="E31" s="194"/>
      <c r="F31" s="195"/>
      <c r="G31" s="195"/>
      <c r="H31" s="195"/>
      <c r="I31" s="195"/>
      <c r="J31" s="194"/>
      <c r="K31" s="194"/>
      <c r="L31" s="194"/>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c r="AN31" s="198"/>
      <c r="AO31" s="198"/>
      <c r="AP31" s="199"/>
    </row>
    <row r="32" customFormat="false" ht="15" hidden="false" customHeight="true" outlineLevel="0" collapsed="false">
      <c r="A32" s="194"/>
      <c r="B32" s="194"/>
      <c r="C32" s="194"/>
      <c r="D32" s="194"/>
      <c r="E32" s="194"/>
      <c r="F32" s="195"/>
      <c r="G32" s="195"/>
      <c r="H32" s="195"/>
      <c r="I32" s="195"/>
      <c r="J32" s="194"/>
      <c r="K32" s="194"/>
      <c r="L32" s="194"/>
      <c r="M32" s="194"/>
      <c r="N32" s="196"/>
      <c r="O32" s="196"/>
      <c r="P32" s="196"/>
      <c r="Q32" s="196"/>
      <c r="R32" s="196"/>
      <c r="S32" s="196"/>
      <c r="T32" s="196"/>
      <c r="U32" s="196"/>
      <c r="V32" s="196"/>
      <c r="W32" s="196"/>
      <c r="X32" s="196"/>
      <c r="Y32" s="196"/>
      <c r="Z32" s="196"/>
      <c r="AA32" s="196"/>
      <c r="AB32" s="197"/>
      <c r="AC32" s="197"/>
      <c r="AD32" s="197"/>
      <c r="AE32" s="197"/>
      <c r="AF32" s="197"/>
      <c r="AG32" s="197"/>
      <c r="AH32" s="197"/>
      <c r="AI32" s="197"/>
      <c r="AJ32" s="197"/>
      <c r="AK32" s="197"/>
      <c r="AL32" s="197"/>
      <c r="AM32" s="198"/>
      <c r="AN32" s="198"/>
      <c r="AO32" s="198"/>
      <c r="AP32" s="199"/>
    </row>
    <row r="33" customFormat="false" ht="15" hidden="false" customHeight="true" outlineLevel="0" collapsed="false">
      <c r="A33" s="194"/>
      <c r="B33" s="194"/>
      <c r="C33" s="194"/>
      <c r="D33" s="194"/>
      <c r="E33" s="194"/>
      <c r="F33" s="195"/>
      <c r="G33" s="195"/>
      <c r="H33" s="195"/>
      <c r="I33" s="195"/>
      <c r="J33" s="194"/>
      <c r="K33" s="194"/>
      <c r="L33" s="194"/>
      <c r="M33" s="194"/>
      <c r="N33" s="196"/>
      <c r="O33" s="196"/>
      <c r="P33" s="196"/>
      <c r="Q33" s="196"/>
      <c r="R33" s="196"/>
      <c r="S33" s="196"/>
      <c r="T33" s="196"/>
      <c r="U33" s="196"/>
      <c r="V33" s="196"/>
      <c r="W33" s="196"/>
      <c r="X33" s="196"/>
      <c r="Y33" s="196"/>
      <c r="Z33" s="196"/>
      <c r="AA33" s="196"/>
      <c r="AB33" s="197"/>
      <c r="AC33" s="197"/>
      <c r="AD33" s="197"/>
      <c r="AE33" s="197"/>
      <c r="AF33" s="197"/>
      <c r="AG33" s="197"/>
      <c r="AH33" s="197"/>
      <c r="AI33" s="197"/>
      <c r="AJ33" s="197"/>
      <c r="AK33" s="197"/>
      <c r="AL33" s="197"/>
      <c r="AM33" s="198"/>
      <c r="AN33" s="198"/>
      <c r="AO33" s="198"/>
      <c r="AP33" s="199"/>
    </row>
    <row r="34" customFormat="false" ht="15" hidden="false" customHeight="true" outlineLevel="0" collapsed="false">
      <c r="A34" s="194"/>
      <c r="B34" s="194"/>
      <c r="C34" s="194"/>
      <c r="D34" s="194"/>
      <c r="E34" s="194"/>
      <c r="F34" s="195"/>
      <c r="G34" s="195"/>
      <c r="H34" s="195"/>
      <c r="I34" s="195"/>
      <c r="J34" s="194"/>
      <c r="K34" s="194"/>
      <c r="L34" s="194"/>
      <c r="M34" s="194"/>
      <c r="N34" s="196"/>
      <c r="O34" s="196"/>
      <c r="P34" s="196"/>
      <c r="Q34" s="196"/>
      <c r="R34" s="196"/>
      <c r="S34" s="196"/>
      <c r="T34" s="196"/>
      <c r="U34" s="196"/>
      <c r="V34" s="196"/>
      <c r="W34" s="196"/>
      <c r="X34" s="196"/>
      <c r="Y34" s="196"/>
      <c r="Z34" s="196"/>
      <c r="AA34" s="196"/>
      <c r="AB34" s="197"/>
      <c r="AC34" s="197"/>
      <c r="AD34" s="197"/>
      <c r="AE34" s="197"/>
      <c r="AF34" s="197"/>
      <c r="AG34" s="197"/>
      <c r="AH34" s="197"/>
      <c r="AI34" s="197"/>
      <c r="AJ34" s="197"/>
      <c r="AK34" s="197"/>
      <c r="AL34" s="197"/>
      <c r="AM34" s="198"/>
      <c r="AN34" s="198"/>
      <c r="AO34" s="198"/>
      <c r="AP34" s="199"/>
    </row>
    <row r="35" customFormat="false" ht="15" hidden="false" customHeight="true" outlineLevel="0" collapsed="false">
      <c r="A35" s="194"/>
      <c r="B35" s="194"/>
      <c r="C35" s="194"/>
      <c r="D35" s="194"/>
      <c r="E35" s="194"/>
      <c r="F35" s="195"/>
      <c r="G35" s="195"/>
      <c r="H35" s="195"/>
      <c r="I35" s="195"/>
      <c r="J35" s="194"/>
      <c r="K35" s="194"/>
      <c r="L35" s="194"/>
      <c r="M35" s="194"/>
      <c r="N35" s="196"/>
      <c r="O35" s="196"/>
      <c r="P35" s="196"/>
      <c r="Q35" s="196"/>
      <c r="R35" s="196"/>
      <c r="S35" s="196"/>
      <c r="T35" s="196"/>
      <c r="U35" s="196"/>
      <c r="V35" s="196"/>
      <c r="W35" s="196"/>
      <c r="X35" s="196"/>
      <c r="Y35" s="196"/>
      <c r="Z35" s="196"/>
      <c r="AA35" s="196"/>
      <c r="AB35" s="197"/>
      <c r="AC35" s="197"/>
      <c r="AD35" s="197"/>
      <c r="AE35" s="197"/>
      <c r="AF35" s="197"/>
      <c r="AG35" s="197"/>
      <c r="AH35" s="197"/>
      <c r="AI35" s="197"/>
      <c r="AJ35" s="197"/>
      <c r="AK35" s="197"/>
      <c r="AL35" s="197"/>
      <c r="AM35" s="198"/>
      <c r="AN35" s="198"/>
      <c r="AO35" s="198"/>
      <c r="AP35" s="199"/>
    </row>
    <row r="36" customFormat="false" ht="15" hidden="false" customHeight="true" outlineLevel="0" collapsed="false">
      <c r="A36" s="194"/>
      <c r="B36" s="194"/>
      <c r="C36" s="194"/>
      <c r="D36" s="194"/>
      <c r="E36" s="194"/>
      <c r="F36" s="195"/>
      <c r="G36" s="195"/>
      <c r="H36" s="195"/>
      <c r="I36" s="195"/>
      <c r="J36" s="194"/>
      <c r="K36" s="194"/>
      <c r="L36" s="194"/>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c r="AN36" s="198"/>
      <c r="AO36" s="198"/>
      <c r="AP36" s="199"/>
    </row>
    <row r="37" customFormat="false" ht="15" hidden="false" customHeight="true" outlineLevel="0" collapsed="false">
      <c r="A37" s="194"/>
      <c r="B37" s="194"/>
      <c r="C37" s="194"/>
      <c r="D37" s="194"/>
      <c r="E37" s="194"/>
      <c r="F37" s="195"/>
      <c r="G37" s="195"/>
      <c r="H37" s="195"/>
      <c r="I37" s="195"/>
      <c r="J37" s="194"/>
      <c r="K37" s="194"/>
      <c r="L37" s="194"/>
      <c r="M37" s="194"/>
      <c r="N37" s="196"/>
      <c r="O37" s="196"/>
      <c r="P37" s="196"/>
      <c r="Q37" s="196"/>
      <c r="R37" s="196"/>
      <c r="S37" s="196"/>
      <c r="T37" s="196"/>
      <c r="U37" s="196"/>
      <c r="V37" s="196"/>
      <c r="W37" s="196"/>
      <c r="X37" s="196"/>
      <c r="Y37" s="196"/>
      <c r="Z37" s="196"/>
      <c r="AA37" s="196"/>
      <c r="AB37" s="197"/>
      <c r="AC37" s="197"/>
      <c r="AD37" s="197"/>
      <c r="AE37" s="197"/>
      <c r="AF37" s="197"/>
      <c r="AG37" s="197"/>
      <c r="AH37" s="197"/>
      <c r="AI37" s="197"/>
      <c r="AJ37" s="197"/>
      <c r="AK37" s="197"/>
      <c r="AL37" s="197"/>
      <c r="AM37" s="198"/>
      <c r="AN37" s="198"/>
      <c r="AO37" s="198"/>
      <c r="AP37" s="199"/>
    </row>
    <row r="38" customFormat="false" ht="15" hidden="false" customHeight="true" outlineLevel="0" collapsed="false">
      <c r="A38" s="194"/>
      <c r="B38" s="194"/>
      <c r="C38" s="194"/>
      <c r="D38" s="194"/>
      <c r="E38" s="194"/>
      <c r="F38" s="195"/>
      <c r="G38" s="195"/>
      <c r="H38" s="195"/>
      <c r="I38" s="195"/>
      <c r="J38" s="194"/>
      <c r="K38" s="194"/>
      <c r="L38" s="194"/>
      <c r="M38" s="194"/>
      <c r="N38" s="196"/>
      <c r="O38" s="196"/>
      <c r="P38" s="196"/>
      <c r="Q38" s="196"/>
      <c r="R38" s="196"/>
      <c r="S38" s="196"/>
      <c r="T38" s="196"/>
      <c r="U38" s="196"/>
      <c r="V38" s="196"/>
      <c r="W38" s="196"/>
      <c r="X38" s="196"/>
      <c r="Y38" s="196"/>
      <c r="Z38" s="196"/>
      <c r="AA38" s="196"/>
      <c r="AB38" s="197"/>
      <c r="AC38" s="197"/>
      <c r="AD38" s="197"/>
      <c r="AE38" s="197"/>
      <c r="AF38" s="197"/>
      <c r="AG38" s="197"/>
      <c r="AH38" s="197"/>
      <c r="AI38" s="197"/>
      <c r="AJ38" s="197"/>
      <c r="AK38" s="197"/>
      <c r="AL38" s="197"/>
      <c r="AM38" s="198"/>
      <c r="AN38" s="198"/>
      <c r="AO38" s="198"/>
      <c r="AP38" s="199"/>
    </row>
    <row r="39" customFormat="false" ht="15" hidden="false" customHeight="true" outlineLevel="0" collapsed="false">
      <c r="A39" s="194"/>
      <c r="B39" s="194"/>
      <c r="C39" s="194"/>
      <c r="D39" s="194"/>
      <c r="E39" s="194"/>
      <c r="F39" s="195"/>
      <c r="G39" s="195"/>
      <c r="H39" s="195"/>
      <c r="I39" s="195"/>
      <c r="J39" s="194"/>
      <c r="K39" s="194"/>
      <c r="L39" s="194"/>
      <c r="M39" s="194"/>
      <c r="N39" s="196"/>
      <c r="O39" s="196"/>
      <c r="P39" s="196"/>
      <c r="Q39" s="196"/>
      <c r="R39" s="196"/>
      <c r="S39" s="196"/>
      <c r="T39" s="196"/>
      <c r="U39" s="196"/>
      <c r="V39" s="196"/>
      <c r="W39" s="196"/>
      <c r="X39" s="196"/>
      <c r="Y39" s="196"/>
      <c r="Z39" s="196"/>
      <c r="AA39" s="196"/>
      <c r="AB39" s="197"/>
      <c r="AC39" s="197"/>
      <c r="AD39" s="197"/>
      <c r="AE39" s="197"/>
      <c r="AF39" s="197"/>
      <c r="AG39" s="197"/>
      <c r="AH39" s="197"/>
      <c r="AI39" s="197"/>
      <c r="AJ39" s="197"/>
      <c r="AK39" s="197"/>
      <c r="AL39" s="197"/>
      <c r="AM39" s="198"/>
      <c r="AN39" s="198"/>
      <c r="AO39" s="198"/>
      <c r="AP39" s="199"/>
    </row>
    <row r="40" customFormat="false" ht="15" hidden="false" customHeight="true" outlineLevel="0" collapsed="false">
      <c r="A40" s="194"/>
      <c r="B40" s="194"/>
      <c r="C40" s="194"/>
      <c r="D40" s="194"/>
      <c r="E40" s="194"/>
      <c r="F40" s="195"/>
      <c r="G40" s="195"/>
      <c r="H40" s="195"/>
      <c r="I40" s="195"/>
      <c r="J40" s="194"/>
      <c r="K40" s="194"/>
      <c r="L40" s="194"/>
      <c r="M40" s="194"/>
      <c r="N40" s="196"/>
      <c r="O40" s="196"/>
      <c r="P40" s="196"/>
      <c r="Q40" s="196"/>
      <c r="R40" s="196"/>
      <c r="S40" s="196"/>
      <c r="T40" s="196"/>
      <c r="U40" s="196"/>
      <c r="V40" s="196"/>
      <c r="W40" s="196"/>
      <c r="X40" s="196"/>
      <c r="Y40" s="196"/>
      <c r="Z40" s="196"/>
      <c r="AA40" s="196"/>
      <c r="AB40" s="197"/>
      <c r="AC40" s="197"/>
      <c r="AD40" s="197"/>
      <c r="AE40" s="197"/>
      <c r="AF40" s="197"/>
      <c r="AG40" s="197"/>
      <c r="AH40" s="197"/>
      <c r="AI40" s="197"/>
      <c r="AJ40" s="197"/>
      <c r="AK40" s="197"/>
      <c r="AL40" s="197"/>
      <c r="AM40" s="198"/>
      <c r="AN40" s="198"/>
      <c r="AO40" s="198"/>
      <c r="AP40" s="199"/>
    </row>
    <row r="41" customFormat="false" ht="15" hidden="false" customHeight="true" outlineLevel="0" collapsed="false">
      <c r="A41" s="194"/>
      <c r="B41" s="194"/>
      <c r="C41" s="194"/>
      <c r="D41" s="194"/>
      <c r="E41" s="194"/>
      <c r="F41" s="195"/>
      <c r="G41" s="195"/>
      <c r="H41" s="195"/>
      <c r="I41" s="195"/>
      <c r="J41" s="194"/>
      <c r="K41" s="194"/>
      <c r="L41" s="194"/>
      <c r="M41" s="194"/>
      <c r="N41" s="196"/>
      <c r="O41" s="196"/>
      <c r="P41" s="196"/>
      <c r="Q41" s="196"/>
      <c r="R41" s="196"/>
      <c r="S41" s="196"/>
      <c r="T41" s="196"/>
      <c r="U41" s="196"/>
      <c r="V41" s="196"/>
      <c r="W41" s="196"/>
      <c r="X41" s="196"/>
      <c r="Y41" s="196"/>
      <c r="Z41" s="196"/>
      <c r="AA41" s="196"/>
      <c r="AB41" s="197"/>
      <c r="AC41" s="197"/>
      <c r="AD41" s="197"/>
      <c r="AE41" s="197"/>
      <c r="AF41" s="197"/>
      <c r="AG41" s="197"/>
      <c r="AH41" s="197"/>
      <c r="AI41" s="197"/>
      <c r="AJ41" s="197"/>
      <c r="AK41" s="197"/>
      <c r="AL41" s="197"/>
      <c r="AM41" s="198"/>
      <c r="AN41" s="198"/>
      <c r="AO41" s="198"/>
      <c r="AP41" s="199"/>
    </row>
    <row r="42" customFormat="false" ht="15" hidden="false" customHeight="true" outlineLevel="0" collapsed="false">
      <c r="A42" s="194"/>
      <c r="B42" s="194"/>
      <c r="C42" s="194"/>
      <c r="D42" s="194"/>
      <c r="E42" s="194"/>
      <c r="F42" s="195"/>
      <c r="G42" s="195"/>
      <c r="H42" s="195"/>
      <c r="I42" s="195"/>
      <c r="J42" s="194"/>
      <c r="K42" s="194"/>
      <c r="L42" s="194"/>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c r="AN42" s="198"/>
      <c r="AO42" s="198"/>
      <c r="AP42" s="199"/>
    </row>
    <row r="43" customFormat="false" ht="15" hidden="false" customHeight="true" outlineLevel="0" collapsed="false">
      <c r="A43" s="194"/>
      <c r="B43" s="194"/>
      <c r="C43" s="194"/>
      <c r="D43" s="194"/>
      <c r="E43" s="194"/>
      <c r="F43" s="195"/>
      <c r="G43" s="195"/>
      <c r="H43" s="195"/>
      <c r="I43" s="195"/>
      <c r="J43" s="194"/>
      <c r="K43" s="194"/>
      <c r="L43" s="194"/>
      <c r="M43" s="194"/>
      <c r="N43" s="196"/>
      <c r="O43" s="196"/>
      <c r="P43" s="196"/>
      <c r="Q43" s="196"/>
      <c r="R43" s="196"/>
      <c r="S43" s="196"/>
      <c r="T43" s="196"/>
      <c r="U43" s="196"/>
      <c r="V43" s="196"/>
      <c r="W43" s="196"/>
      <c r="X43" s="196"/>
      <c r="Y43" s="196"/>
      <c r="Z43" s="196"/>
      <c r="AA43" s="196"/>
      <c r="AB43" s="197"/>
      <c r="AC43" s="197"/>
      <c r="AD43" s="197"/>
      <c r="AE43" s="197"/>
      <c r="AF43" s="197"/>
      <c r="AG43" s="197"/>
      <c r="AH43" s="197"/>
      <c r="AI43" s="197"/>
      <c r="AJ43" s="197"/>
      <c r="AK43" s="197"/>
      <c r="AL43" s="197"/>
      <c r="AM43" s="198"/>
      <c r="AN43" s="198"/>
      <c r="AO43" s="198"/>
      <c r="AP43" s="199"/>
    </row>
    <row r="44" customFormat="false" ht="15" hidden="false" customHeight="true" outlineLevel="0" collapsed="false">
      <c r="A44" s="194"/>
      <c r="B44" s="194"/>
      <c r="C44" s="194"/>
      <c r="D44" s="194"/>
      <c r="E44" s="194"/>
      <c r="F44" s="195"/>
      <c r="G44" s="195"/>
      <c r="H44" s="195"/>
      <c r="I44" s="195"/>
      <c r="J44" s="194"/>
      <c r="K44" s="194"/>
      <c r="L44" s="194"/>
      <c r="M44" s="194"/>
      <c r="N44" s="196"/>
      <c r="O44" s="196"/>
      <c r="P44" s="196"/>
      <c r="Q44" s="196"/>
      <c r="R44" s="196"/>
      <c r="S44" s="196"/>
      <c r="T44" s="196"/>
      <c r="U44" s="196"/>
      <c r="V44" s="196"/>
      <c r="W44" s="196"/>
      <c r="X44" s="196"/>
      <c r="Y44" s="196"/>
      <c r="Z44" s="196"/>
      <c r="AA44" s="196"/>
      <c r="AB44" s="197"/>
      <c r="AC44" s="197"/>
      <c r="AD44" s="197"/>
      <c r="AE44" s="197"/>
      <c r="AF44" s="197"/>
      <c r="AG44" s="197"/>
      <c r="AH44" s="197"/>
      <c r="AI44" s="197"/>
      <c r="AJ44" s="197"/>
      <c r="AK44" s="197"/>
      <c r="AL44" s="197"/>
      <c r="AM44" s="198"/>
      <c r="AN44" s="198"/>
      <c r="AO44" s="198"/>
      <c r="AP44" s="199"/>
    </row>
    <row r="45" customFormat="false" ht="15" hidden="false" customHeight="true" outlineLevel="0" collapsed="false">
      <c r="A45" s="194"/>
      <c r="B45" s="194"/>
      <c r="C45" s="194"/>
      <c r="D45" s="194"/>
      <c r="E45" s="194"/>
      <c r="F45" s="195"/>
      <c r="G45" s="195"/>
      <c r="H45" s="195"/>
      <c r="I45" s="195"/>
      <c r="J45" s="194"/>
      <c r="K45" s="194"/>
      <c r="L45" s="194"/>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c r="AN45" s="198"/>
      <c r="AO45" s="198"/>
      <c r="AP45" s="199"/>
    </row>
    <row r="46" customFormat="false" ht="15" hidden="false" customHeight="true" outlineLevel="0" collapsed="false">
      <c r="A46" s="194"/>
      <c r="B46" s="194"/>
      <c r="C46" s="194"/>
      <c r="D46" s="194"/>
      <c r="E46" s="194"/>
      <c r="F46" s="195"/>
      <c r="G46" s="195"/>
      <c r="H46" s="195"/>
      <c r="I46" s="195"/>
      <c r="J46" s="194"/>
      <c r="K46" s="194"/>
      <c r="L46" s="194"/>
      <c r="M46" s="194"/>
      <c r="N46" s="196"/>
      <c r="O46" s="196"/>
      <c r="P46" s="196"/>
      <c r="Q46" s="196"/>
      <c r="R46" s="196"/>
      <c r="S46" s="196"/>
      <c r="T46" s="196"/>
      <c r="U46" s="196"/>
      <c r="V46" s="196"/>
      <c r="W46" s="196"/>
      <c r="X46" s="196"/>
      <c r="Y46" s="196"/>
      <c r="Z46" s="196"/>
      <c r="AA46" s="196"/>
      <c r="AB46" s="197"/>
      <c r="AC46" s="197"/>
      <c r="AD46" s="197"/>
      <c r="AE46" s="197"/>
      <c r="AF46" s="197"/>
      <c r="AG46" s="197"/>
      <c r="AH46" s="197"/>
      <c r="AI46" s="197"/>
      <c r="AJ46" s="197"/>
      <c r="AK46" s="197"/>
      <c r="AL46" s="197"/>
      <c r="AM46" s="198"/>
      <c r="AN46" s="198"/>
      <c r="AO46" s="198"/>
      <c r="AP46" s="199"/>
    </row>
    <row r="47" customFormat="false" ht="15" hidden="false" customHeight="true" outlineLevel="0" collapsed="false">
      <c r="A47" s="194"/>
      <c r="B47" s="194"/>
      <c r="C47" s="194"/>
      <c r="D47" s="194"/>
      <c r="E47" s="194"/>
      <c r="F47" s="195"/>
      <c r="G47" s="195"/>
      <c r="H47" s="195"/>
      <c r="I47" s="195"/>
      <c r="J47" s="194"/>
      <c r="K47" s="194"/>
      <c r="L47" s="194"/>
      <c r="M47" s="194"/>
      <c r="N47" s="196"/>
      <c r="O47" s="196"/>
      <c r="P47" s="196"/>
      <c r="Q47" s="196"/>
      <c r="R47" s="196"/>
      <c r="S47" s="196"/>
      <c r="T47" s="196"/>
      <c r="U47" s="196"/>
      <c r="V47" s="196"/>
      <c r="W47" s="196"/>
      <c r="X47" s="196"/>
      <c r="Y47" s="196"/>
      <c r="Z47" s="196"/>
      <c r="AA47" s="196"/>
      <c r="AB47" s="197"/>
      <c r="AC47" s="197"/>
      <c r="AD47" s="197"/>
      <c r="AE47" s="197"/>
      <c r="AF47" s="197"/>
      <c r="AG47" s="197"/>
      <c r="AH47" s="197"/>
      <c r="AI47" s="197"/>
      <c r="AJ47" s="197"/>
      <c r="AK47" s="197"/>
      <c r="AL47" s="197"/>
      <c r="AM47" s="198"/>
      <c r="AN47" s="198"/>
      <c r="AO47" s="198"/>
      <c r="AP47" s="199"/>
    </row>
    <row r="48" customFormat="false" ht="15" hidden="false" customHeight="true" outlineLevel="0" collapsed="false">
      <c r="A48" s="194"/>
      <c r="B48" s="194"/>
      <c r="C48" s="194"/>
      <c r="D48" s="194"/>
      <c r="E48" s="194"/>
      <c r="F48" s="195"/>
      <c r="G48" s="195"/>
      <c r="H48" s="195"/>
      <c r="I48" s="195"/>
      <c r="J48" s="194"/>
      <c r="K48" s="194"/>
      <c r="L48" s="194"/>
      <c r="M48" s="194"/>
      <c r="N48" s="196"/>
      <c r="O48" s="196"/>
      <c r="P48" s="196"/>
      <c r="Q48" s="196"/>
      <c r="R48" s="196"/>
      <c r="S48" s="196"/>
      <c r="T48" s="196"/>
      <c r="U48" s="196"/>
      <c r="V48" s="196"/>
      <c r="W48" s="196"/>
      <c r="X48" s="196"/>
      <c r="Y48" s="196"/>
      <c r="Z48" s="196"/>
      <c r="AA48" s="196"/>
      <c r="AB48" s="197"/>
      <c r="AC48" s="197"/>
      <c r="AD48" s="197"/>
      <c r="AE48" s="197"/>
      <c r="AF48" s="197"/>
      <c r="AG48" s="197"/>
      <c r="AH48" s="197"/>
      <c r="AI48" s="197"/>
      <c r="AJ48" s="197"/>
      <c r="AK48" s="197"/>
      <c r="AL48" s="197"/>
      <c r="AM48" s="198"/>
      <c r="AN48" s="198"/>
      <c r="AO48" s="198"/>
      <c r="AP48" s="199"/>
    </row>
    <row r="49" customFormat="false" ht="15" hidden="false" customHeight="true" outlineLevel="0" collapsed="false">
      <c r="A49" s="194"/>
      <c r="B49" s="194"/>
      <c r="C49" s="194"/>
      <c r="D49" s="194"/>
      <c r="E49" s="194"/>
      <c r="F49" s="195"/>
      <c r="G49" s="195"/>
      <c r="H49" s="195"/>
      <c r="I49" s="195"/>
      <c r="J49" s="194"/>
      <c r="K49" s="194"/>
      <c r="L49" s="194"/>
      <c r="M49" s="194"/>
      <c r="N49" s="196"/>
      <c r="O49" s="196"/>
      <c r="P49" s="196"/>
      <c r="Q49" s="196"/>
      <c r="R49" s="196"/>
      <c r="S49" s="196"/>
      <c r="T49" s="196"/>
      <c r="U49" s="196"/>
      <c r="V49" s="196"/>
      <c r="W49" s="196"/>
      <c r="X49" s="196"/>
      <c r="Y49" s="196"/>
      <c r="Z49" s="196"/>
      <c r="AA49" s="196"/>
      <c r="AB49" s="197"/>
      <c r="AC49" s="197"/>
      <c r="AD49" s="197"/>
      <c r="AE49" s="197"/>
      <c r="AF49" s="197"/>
      <c r="AG49" s="197"/>
      <c r="AH49" s="197"/>
      <c r="AI49" s="197"/>
      <c r="AJ49" s="197"/>
      <c r="AK49" s="197"/>
      <c r="AL49" s="197"/>
      <c r="AM49" s="198"/>
      <c r="AN49" s="198"/>
      <c r="AO49" s="198"/>
      <c r="AP49" s="199"/>
    </row>
    <row r="50" customFormat="false" ht="15" hidden="false" customHeight="true" outlineLevel="0" collapsed="false">
      <c r="A50" s="194"/>
      <c r="B50" s="194"/>
      <c r="C50" s="194"/>
      <c r="D50" s="194"/>
      <c r="E50" s="194"/>
      <c r="F50" s="195"/>
      <c r="G50" s="195"/>
      <c r="H50" s="195"/>
      <c r="I50" s="195"/>
      <c r="J50" s="194"/>
      <c r="K50" s="194"/>
      <c r="L50" s="194"/>
      <c r="M50" s="194"/>
      <c r="N50" s="196"/>
      <c r="O50" s="196"/>
      <c r="P50" s="196"/>
      <c r="Q50" s="196"/>
      <c r="R50" s="196"/>
      <c r="S50" s="196"/>
      <c r="T50" s="196"/>
      <c r="U50" s="196"/>
      <c r="V50" s="196"/>
      <c r="W50" s="196"/>
      <c r="X50" s="196"/>
      <c r="Y50" s="196"/>
      <c r="Z50" s="196"/>
      <c r="AA50" s="196"/>
      <c r="AB50" s="197"/>
      <c r="AC50" s="197"/>
      <c r="AD50" s="197"/>
      <c r="AE50" s="197"/>
      <c r="AF50" s="197"/>
      <c r="AG50" s="197"/>
      <c r="AH50" s="197"/>
      <c r="AI50" s="197"/>
      <c r="AJ50" s="197"/>
      <c r="AK50" s="197"/>
      <c r="AL50" s="197"/>
      <c r="AM50" s="198"/>
      <c r="AN50" s="198"/>
      <c r="AO50" s="198"/>
      <c r="AP50" s="199"/>
    </row>
    <row r="51" customFormat="false" ht="15" hidden="false" customHeight="true" outlineLevel="0" collapsed="false">
      <c r="A51" s="194"/>
      <c r="B51" s="194"/>
      <c r="C51" s="194"/>
      <c r="D51" s="194"/>
      <c r="E51" s="194"/>
      <c r="F51" s="195"/>
      <c r="G51" s="195"/>
      <c r="H51" s="195"/>
      <c r="I51" s="195"/>
      <c r="J51" s="194"/>
      <c r="K51" s="194"/>
      <c r="L51" s="194"/>
      <c r="M51" s="194"/>
      <c r="N51" s="196"/>
      <c r="O51" s="196"/>
      <c r="P51" s="196"/>
      <c r="Q51" s="196"/>
      <c r="R51" s="196"/>
      <c r="S51" s="196"/>
      <c r="T51" s="196"/>
      <c r="U51" s="196"/>
      <c r="V51" s="196"/>
      <c r="W51" s="196"/>
      <c r="X51" s="196"/>
      <c r="Y51" s="196"/>
      <c r="Z51" s="196"/>
      <c r="AA51" s="196"/>
      <c r="AB51" s="197"/>
      <c r="AC51" s="197"/>
      <c r="AD51" s="197"/>
      <c r="AE51" s="197"/>
      <c r="AF51" s="197"/>
      <c r="AG51" s="197"/>
      <c r="AH51" s="197"/>
      <c r="AI51" s="197"/>
      <c r="AJ51" s="197"/>
      <c r="AK51" s="197"/>
      <c r="AL51" s="197"/>
      <c r="AM51" s="198"/>
      <c r="AN51" s="198"/>
      <c r="AO51" s="198"/>
      <c r="AP51" s="199"/>
    </row>
    <row r="52" customFormat="false" ht="15" hidden="false" customHeight="true" outlineLevel="0" collapsed="false">
      <c r="A52" s="194"/>
      <c r="B52" s="194"/>
      <c r="C52" s="194"/>
      <c r="D52" s="194"/>
      <c r="E52" s="194"/>
      <c r="F52" s="195"/>
      <c r="G52" s="195"/>
      <c r="H52" s="195"/>
      <c r="I52" s="195"/>
      <c r="J52" s="194"/>
      <c r="K52" s="194"/>
      <c r="L52" s="194"/>
      <c r="M52" s="194"/>
      <c r="N52" s="196"/>
      <c r="O52" s="196"/>
      <c r="P52" s="196"/>
      <c r="Q52" s="196"/>
      <c r="R52" s="196"/>
      <c r="S52" s="196"/>
      <c r="T52" s="196"/>
      <c r="U52" s="196"/>
      <c r="V52" s="196"/>
      <c r="W52" s="196"/>
      <c r="X52" s="196"/>
      <c r="Y52" s="196"/>
      <c r="Z52" s="196"/>
      <c r="AA52" s="196"/>
      <c r="AB52" s="197"/>
      <c r="AC52" s="197"/>
      <c r="AD52" s="197"/>
      <c r="AE52" s="197"/>
      <c r="AF52" s="197"/>
      <c r="AG52" s="197"/>
      <c r="AH52" s="197"/>
      <c r="AI52" s="197"/>
      <c r="AJ52" s="197"/>
      <c r="AK52" s="197"/>
      <c r="AL52" s="197"/>
      <c r="AM52" s="198"/>
      <c r="AN52" s="198"/>
      <c r="AO52" s="198"/>
      <c r="AP52" s="199"/>
    </row>
    <row r="53" customFormat="false" ht="15" hidden="false" customHeight="true" outlineLevel="0" collapsed="false">
      <c r="A53" s="194"/>
      <c r="B53" s="194"/>
      <c r="C53" s="194"/>
      <c r="D53" s="194"/>
      <c r="E53" s="194"/>
      <c r="F53" s="195"/>
      <c r="G53" s="195"/>
      <c r="H53" s="195"/>
      <c r="I53" s="195"/>
      <c r="J53" s="194"/>
      <c r="K53" s="194"/>
      <c r="L53" s="194"/>
      <c r="M53" s="194"/>
      <c r="N53" s="196"/>
      <c r="O53" s="196"/>
      <c r="P53" s="196"/>
      <c r="Q53" s="196"/>
      <c r="R53" s="196"/>
      <c r="S53" s="196"/>
      <c r="T53" s="196"/>
      <c r="U53" s="196"/>
      <c r="V53" s="196"/>
      <c r="W53" s="196"/>
      <c r="X53" s="196"/>
      <c r="Y53" s="196"/>
      <c r="Z53" s="196"/>
      <c r="AA53" s="196"/>
      <c r="AB53" s="197"/>
      <c r="AC53" s="197"/>
      <c r="AD53" s="197"/>
      <c r="AE53" s="197"/>
      <c r="AF53" s="197"/>
      <c r="AG53" s="197"/>
      <c r="AH53" s="197"/>
      <c r="AI53" s="197"/>
      <c r="AJ53" s="197"/>
      <c r="AK53" s="197"/>
      <c r="AL53" s="197"/>
      <c r="AM53" s="198"/>
      <c r="AN53" s="198"/>
      <c r="AO53" s="198"/>
      <c r="AP53" s="199"/>
    </row>
    <row r="54" customFormat="false" ht="15" hidden="false" customHeight="true" outlineLevel="0" collapsed="false">
      <c r="A54" s="194"/>
      <c r="B54" s="194"/>
      <c r="C54" s="194"/>
      <c r="D54" s="194"/>
      <c r="E54" s="194"/>
      <c r="F54" s="195"/>
      <c r="G54" s="195"/>
      <c r="H54" s="195"/>
      <c r="I54" s="195"/>
      <c r="J54" s="194"/>
      <c r="K54" s="194"/>
      <c r="L54" s="194"/>
      <c r="M54" s="194"/>
      <c r="N54" s="196"/>
      <c r="O54" s="196"/>
      <c r="P54" s="196"/>
      <c r="Q54" s="196"/>
      <c r="R54" s="196"/>
      <c r="S54" s="196"/>
      <c r="T54" s="196"/>
      <c r="U54" s="196"/>
      <c r="V54" s="196"/>
      <c r="W54" s="196"/>
      <c r="X54" s="196"/>
      <c r="Y54" s="196"/>
      <c r="Z54" s="196"/>
      <c r="AA54" s="196"/>
      <c r="AB54" s="197"/>
      <c r="AC54" s="197"/>
      <c r="AD54" s="197"/>
      <c r="AE54" s="197"/>
      <c r="AF54" s="197"/>
      <c r="AG54" s="197"/>
      <c r="AH54" s="197"/>
      <c r="AI54" s="197"/>
      <c r="AJ54" s="197"/>
      <c r="AK54" s="197"/>
      <c r="AL54" s="197"/>
      <c r="AM54" s="198"/>
      <c r="AN54" s="198"/>
      <c r="AO54" s="198"/>
      <c r="AP54" s="199"/>
    </row>
    <row r="55" customFormat="false" ht="15" hidden="false" customHeight="true" outlineLevel="0" collapsed="false">
      <c r="A55" s="194"/>
      <c r="B55" s="194"/>
      <c r="C55" s="194"/>
      <c r="D55" s="194"/>
      <c r="E55" s="194"/>
      <c r="F55" s="195"/>
      <c r="G55" s="195"/>
      <c r="H55" s="195"/>
      <c r="I55" s="195"/>
      <c r="J55" s="194"/>
      <c r="K55" s="194"/>
      <c r="L55" s="194"/>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c r="AN55" s="198"/>
      <c r="AO55" s="198"/>
      <c r="AP55" s="199"/>
    </row>
    <row r="56" customFormat="false" ht="15" hidden="false" customHeight="true" outlineLevel="0" collapsed="false">
      <c r="A56" s="194"/>
      <c r="B56" s="194"/>
      <c r="C56" s="194"/>
      <c r="D56" s="194"/>
      <c r="E56" s="194"/>
      <c r="F56" s="195"/>
      <c r="G56" s="195"/>
      <c r="H56" s="195"/>
      <c r="I56" s="195"/>
      <c r="J56" s="194"/>
      <c r="K56" s="194"/>
      <c r="L56" s="194"/>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c r="AN56" s="198"/>
      <c r="AO56" s="198"/>
      <c r="AP56" s="199"/>
    </row>
    <row r="57" customFormat="false" ht="15" hidden="false" customHeight="true" outlineLevel="0" collapsed="false">
      <c r="A57" s="194"/>
      <c r="B57" s="194"/>
      <c r="C57" s="194"/>
      <c r="D57" s="194"/>
      <c r="E57" s="194"/>
      <c r="F57" s="195"/>
      <c r="G57" s="195"/>
      <c r="H57" s="195"/>
      <c r="I57" s="195"/>
      <c r="J57" s="194"/>
      <c r="K57" s="194"/>
      <c r="L57" s="194"/>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c r="AN57" s="198"/>
      <c r="AO57" s="198"/>
      <c r="AP57" s="199"/>
    </row>
    <row r="58" customFormat="false" ht="15" hidden="false" customHeight="true" outlineLevel="0" collapsed="false">
      <c r="A58" s="194"/>
      <c r="B58" s="194"/>
      <c r="C58" s="194"/>
      <c r="D58" s="194"/>
      <c r="E58" s="194"/>
      <c r="F58" s="194"/>
      <c r="G58" s="194"/>
      <c r="H58" s="194"/>
      <c r="I58" s="194"/>
      <c r="J58" s="194"/>
      <c r="K58" s="194"/>
      <c r="L58" s="194"/>
      <c r="M58" s="194"/>
      <c r="N58" s="194"/>
      <c r="O58" s="194"/>
      <c r="P58" s="194"/>
      <c r="Q58" s="194"/>
      <c r="R58" s="201"/>
      <c r="S58" s="201"/>
      <c r="T58" s="201"/>
      <c r="U58" s="201"/>
      <c r="V58" s="201"/>
      <c r="W58" s="201"/>
      <c r="X58" s="201"/>
      <c r="Y58" s="201"/>
      <c r="Z58" s="201"/>
      <c r="AA58" s="201"/>
      <c r="AM58" s="202"/>
      <c r="AN58" s="202"/>
    </row>
    <row r="59" customFormat="false" ht="15" hidden="false" customHeight="true" outlineLevel="0" collapsed="false">
      <c r="A59" s="194"/>
      <c r="B59" s="194"/>
      <c r="C59" s="194"/>
      <c r="D59" s="194"/>
      <c r="E59" s="194"/>
      <c r="F59" s="194"/>
      <c r="G59" s="194"/>
      <c r="H59" s="194"/>
      <c r="I59" s="194"/>
      <c r="J59" s="194"/>
      <c r="K59" s="194"/>
      <c r="L59" s="194"/>
      <c r="M59" s="194"/>
      <c r="N59" s="194"/>
      <c r="O59" s="194"/>
      <c r="P59" s="194"/>
      <c r="Q59" s="194"/>
      <c r="R59" s="201"/>
      <c r="S59" s="201"/>
      <c r="T59" s="201"/>
      <c r="U59" s="201"/>
      <c r="V59" s="201"/>
      <c r="W59" s="201"/>
      <c r="X59" s="201"/>
      <c r="Y59" s="201"/>
      <c r="Z59" s="201"/>
      <c r="AA59" s="201"/>
      <c r="AM59" s="202"/>
      <c r="AN59" s="202"/>
    </row>
    <row r="60" customFormat="false" ht="15" hidden="false" customHeight="true" outlineLevel="0" collapsed="false">
      <c r="A60" s="194"/>
      <c r="B60" s="194"/>
      <c r="C60" s="194"/>
      <c r="D60" s="194"/>
      <c r="E60" s="194"/>
      <c r="F60" s="194"/>
      <c r="G60" s="194"/>
      <c r="H60" s="194"/>
      <c r="I60" s="194"/>
      <c r="J60" s="194"/>
      <c r="K60" s="194"/>
      <c r="L60" s="194"/>
      <c r="M60" s="194"/>
      <c r="N60" s="194"/>
      <c r="O60" s="194"/>
      <c r="P60" s="194"/>
      <c r="Q60" s="194"/>
      <c r="R60" s="201"/>
      <c r="S60" s="201"/>
      <c r="T60" s="201"/>
      <c r="U60" s="201"/>
      <c r="V60" s="201"/>
      <c r="W60" s="201"/>
      <c r="X60" s="201"/>
      <c r="Y60" s="201"/>
      <c r="Z60" s="201"/>
      <c r="AA60" s="201"/>
      <c r="AM60" s="202"/>
      <c r="AN60" s="202"/>
    </row>
    <row r="61" customFormat="false" ht="15" hidden="false" customHeight="true" outlineLevel="0" collapsed="false">
      <c r="A61" s="194"/>
      <c r="B61" s="194"/>
      <c r="C61" s="194"/>
      <c r="D61" s="194"/>
      <c r="E61" s="194"/>
      <c r="F61" s="194"/>
      <c r="G61" s="194"/>
      <c r="H61" s="194"/>
      <c r="I61" s="194"/>
      <c r="J61" s="194"/>
      <c r="K61" s="194"/>
      <c r="L61" s="194"/>
      <c r="M61" s="194"/>
      <c r="N61" s="194"/>
      <c r="O61" s="194"/>
      <c r="P61" s="194"/>
      <c r="Q61" s="194"/>
      <c r="R61" s="201"/>
      <c r="S61" s="201"/>
      <c r="T61" s="201"/>
      <c r="U61" s="201"/>
      <c r="V61" s="201"/>
      <c r="W61" s="201"/>
      <c r="X61" s="201"/>
      <c r="Y61" s="201"/>
      <c r="Z61" s="201"/>
      <c r="AA61" s="201"/>
      <c r="AM61" s="202"/>
      <c r="AN61" s="202"/>
    </row>
    <row r="62" customFormat="false" ht="15" hidden="false" customHeight="true" outlineLevel="0" collapsed="false">
      <c r="A62" s="194"/>
      <c r="B62" s="194"/>
      <c r="C62" s="194"/>
      <c r="D62" s="194"/>
      <c r="E62" s="194"/>
      <c r="F62" s="194"/>
      <c r="G62" s="194"/>
      <c r="H62" s="194"/>
      <c r="I62" s="194"/>
      <c r="J62" s="194"/>
      <c r="K62" s="194"/>
      <c r="L62" s="194"/>
      <c r="M62" s="194"/>
      <c r="N62" s="194"/>
      <c r="O62" s="194"/>
      <c r="P62" s="194"/>
      <c r="Q62" s="194"/>
      <c r="R62" s="201"/>
      <c r="S62" s="201"/>
      <c r="T62" s="201"/>
      <c r="U62" s="201"/>
      <c r="V62" s="201"/>
      <c r="W62" s="201"/>
      <c r="X62" s="201"/>
      <c r="Y62" s="201"/>
      <c r="Z62" s="201"/>
      <c r="AA62" s="201"/>
      <c r="AM62" s="202"/>
      <c r="AN62" s="202"/>
    </row>
    <row r="63" customFormat="false" ht="15" hidden="false" customHeight="true" outlineLevel="0" collapsed="false">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Q63" s="1"/>
    </row>
    <row r="64" customFormat="false" ht="15" hidden="false" customHeight="true" outlineLevel="0" collapsed="false">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Q64" s="1"/>
    </row>
    <row r="65" customFormat="false" ht="15" hidden="false" customHeight="true" outlineLevel="0" collapsed="false">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Q65" s="1"/>
    </row>
    <row r="66" customFormat="false" ht="15" hidden="false" customHeight="true" outlineLevel="0" collapsed="false">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Q66" s="1"/>
    </row>
    <row r="67" customFormat="false" ht="15" hidden="false" customHeight="true" outlineLevel="0" collapsed="false">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Q67" s="1"/>
    </row>
    <row r="68" customFormat="false" ht="15" hidden="false" customHeight="true" outlineLevel="0" collapsed="false">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Q68" s="1"/>
    </row>
    <row r="69" customFormat="false" ht="15" hidden="false" customHeight="true" outlineLevel="0" collapsed="false">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Q69" s="1"/>
    </row>
    <row r="70" customFormat="false" ht="15" hidden="false" customHeight="true" outlineLevel="0" collapsed="false">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Q70" s="1"/>
    </row>
    <row r="71" customFormat="false" ht="15" hidden="false" customHeight="true" outlineLevel="0" collapsed="false">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Q71" s="1"/>
    </row>
    <row r="72" customFormat="false" ht="15" hidden="false" customHeight="true" outlineLevel="0" collapsed="false">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Q72" s="1"/>
    </row>
    <row r="73" customFormat="false" ht="15" hidden="false" customHeight="true" outlineLevel="0" collapsed="false">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Q73" s="1"/>
    </row>
    <row r="74" customFormat="false" ht="15" hidden="false" customHeight="true" outlineLevel="0" collapsed="false">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Q74" s="1"/>
    </row>
    <row r="75" customFormat="false" ht="15" hidden="false" customHeight="true" outlineLevel="0" collapsed="false">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Q75" s="1"/>
    </row>
    <row r="76" customFormat="false" ht="15" hidden="false" customHeight="true" outlineLevel="0" collapsed="false">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Q76" s="1"/>
    </row>
    <row r="77" customFormat="false" ht="15" hidden="false" customHeight="true" outlineLevel="0" collapsed="false">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Q77" s="1"/>
    </row>
    <row r="78" customFormat="false" ht="15" hidden="false" customHeight="true" outlineLevel="0" collapsed="false">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Q78" s="1"/>
    </row>
    <row r="79" customFormat="false" ht="15" hidden="false" customHeight="true" outlineLevel="0" collapsed="false">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Q79" s="1"/>
    </row>
    <row r="80" customFormat="false" ht="15" hidden="false" customHeight="true" outlineLevel="0" collapsed="false">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Q80" s="1"/>
    </row>
    <row r="81" customFormat="false" ht="15" hidden="false" customHeight="true" outlineLevel="0" collapsed="false">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Q81" s="1"/>
    </row>
    <row r="82" customFormat="false" ht="15" hidden="false" customHeight="true" outlineLevel="0" collapsed="false">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Q82" s="1"/>
    </row>
    <row r="83" customFormat="false" ht="15" hidden="false" customHeight="true" outlineLevel="0" collapsed="false">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Q83" s="1"/>
    </row>
    <row r="84" customFormat="false" ht="15" hidden="false" customHeight="true" outlineLevel="0" collapsed="false">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Q84" s="1"/>
    </row>
    <row r="85" customFormat="false" ht="15" hidden="false" customHeight="true" outlineLevel="0" collapsed="false">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Q85" s="1"/>
    </row>
    <row r="86" customFormat="false" ht="15" hidden="false" customHeight="true" outlineLevel="0" collapsed="false">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Q86" s="1"/>
    </row>
    <row r="87" customFormat="false" ht="15" hidden="false" customHeight="true" outlineLevel="0" collapsed="false">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Q87" s="1"/>
    </row>
    <row r="88" customFormat="false" ht="15" hidden="false" customHeight="true" outlineLevel="0" collapsed="false">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Q88" s="1"/>
    </row>
    <row r="89" customFormat="false" ht="15" hidden="false" customHeight="true" outlineLevel="0" collapsed="false">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Q89" s="1"/>
    </row>
    <row r="90" customFormat="false" ht="15" hidden="false" customHeight="true" outlineLevel="0" collapsed="false">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Q90" s="1"/>
    </row>
    <row r="91" customFormat="false" ht="15" hidden="false" customHeight="true" outlineLevel="0" collapsed="false">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Q91" s="1"/>
    </row>
    <row r="92" customFormat="false" ht="15" hidden="false" customHeight="true" outlineLevel="0" collapsed="false">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Q92" s="1"/>
    </row>
    <row r="93" customFormat="false" ht="15" hidden="false" customHeight="true" outlineLevel="0" collapsed="false">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Q93" s="1"/>
    </row>
    <row r="94" customFormat="false" ht="15" hidden="false" customHeight="true" outlineLevel="0" collapsed="false">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Q94" s="1"/>
    </row>
    <row r="95" customFormat="false" ht="15" hidden="false" customHeight="true" outlineLevel="0" collapsed="false">
      <c r="AQ95" s="1"/>
    </row>
    <row r="96" customFormat="false" ht="15" hidden="false" customHeight="true" outlineLevel="0" collapsed="false">
      <c r="AQ96" s="1"/>
    </row>
    <row r="97" customFormat="false" ht="15" hidden="false" customHeight="true" outlineLevel="0" collapsed="false">
      <c r="AQ97" s="1"/>
    </row>
    <row r="98" customFormat="false" ht="15" hidden="false" customHeight="true" outlineLevel="0" collapsed="false">
      <c r="AQ98" s="1"/>
    </row>
    <row r="99" customFormat="false" ht="15" hidden="false" customHeight="true" outlineLevel="0" collapsed="false">
      <c r="AQ99" s="1"/>
    </row>
    <row r="100" customFormat="false" ht="15" hidden="false" customHeight="true" outlineLevel="0" collapsed="false">
      <c r="AQ100" s="1"/>
    </row>
    <row r="101" customFormat="false" ht="15" hidden="false" customHeight="true" outlineLevel="0" collapsed="false">
      <c r="AQ101" s="1"/>
    </row>
    <row r="102" customFormat="false" ht="15" hidden="false" customHeight="true" outlineLevel="0" collapsed="false">
      <c r="AQ102" s="1"/>
    </row>
    <row r="103" customFormat="false" ht="15" hidden="false" customHeight="true" outlineLevel="0" collapsed="false">
      <c r="AQ103" s="1"/>
    </row>
    <row r="104" customFormat="false" ht="15" hidden="false" customHeight="true" outlineLevel="0" collapsed="false">
      <c r="AQ104" s="1"/>
    </row>
    <row r="105" customFormat="false" ht="15" hidden="false" customHeight="true" outlineLevel="0" collapsed="false">
      <c r="AQ105" s="1"/>
    </row>
    <row r="106" customFormat="false" ht="15" hidden="false" customHeight="true" outlineLevel="0" collapsed="false">
      <c r="AQ106" s="1"/>
    </row>
    <row r="107" customFormat="false" ht="15" hidden="false" customHeight="true" outlineLevel="0" collapsed="false">
      <c r="AQ107" s="1"/>
    </row>
    <row r="108" customFormat="false" ht="15" hidden="false" customHeight="true" outlineLevel="0" collapsed="false">
      <c r="AQ108" s="1"/>
    </row>
    <row r="109" customFormat="false" ht="15" hidden="false" customHeight="true" outlineLevel="0" collapsed="false">
      <c r="AQ109" s="1"/>
    </row>
    <row r="110" customFormat="false" ht="15" hidden="false" customHeight="true" outlineLevel="0" collapsed="false">
      <c r="AQ110" s="1"/>
    </row>
    <row r="111" customFormat="false" ht="15" hidden="false" customHeight="true" outlineLevel="0" collapsed="false">
      <c r="AQ111" s="1"/>
    </row>
    <row r="112" customFormat="false" ht="15" hidden="false" customHeight="true" outlineLevel="0" collapsed="false">
      <c r="AQ112" s="1"/>
    </row>
    <row r="113" customFormat="false" ht="15" hidden="false" customHeight="true" outlineLevel="0" collapsed="false">
      <c r="AQ113" s="1"/>
    </row>
    <row r="114" customFormat="false" ht="15" hidden="false" customHeight="true" outlineLevel="0" collapsed="false">
      <c r="AQ114" s="1"/>
    </row>
    <row r="115" customFormat="false" ht="15" hidden="false" customHeight="true" outlineLevel="0" collapsed="false">
      <c r="AQ115" s="1"/>
    </row>
    <row r="116" customFormat="false" ht="15" hidden="false" customHeight="true" outlineLevel="0" collapsed="false">
      <c r="AQ116" s="1"/>
    </row>
    <row r="117" customFormat="false" ht="15" hidden="false" customHeight="true" outlineLevel="0" collapsed="false">
      <c r="AQ117" s="1"/>
    </row>
    <row r="118" customFormat="false" ht="15" hidden="false" customHeight="true" outlineLevel="0" collapsed="false">
      <c r="AQ118" s="1"/>
    </row>
    <row r="119" customFormat="false" ht="15" hidden="false" customHeight="true" outlineLevel="0" collapsed="false">
      <c r="AQ119" s="1"/>
    </row>
    <row r="120" customFormat="false" ht="15" hidden="false" customHeight="true" outlineLevel="0" collapsed="false">
      <c r="AQ120" s="1"/>
    </row>
    <row r="121" customFormat="false" ht="15" hidden="false" customHeight="true" outlineLevel="0" collapsed="false">
      <c r="AQ121" s="1"/>
    </row>
    <row r="122" customFormat="false" ht="15" hidden="false" customHeight="true" outlineLevel="0" collapsed="false">
      <c r="AQ122" s="1"/>
    </row>
    <row r="123" customFormat="false" ht="15" hidden="false" customHeight="true" outlineLevel="0" collapsed="false">
      <c r="AQ123" s="1"/>
    </row>
    <row r="124" customFormat="false" ht="15" hidden="false" customHeight="true" outlineLevel="0" collapsed="false">
      <c r="AQ124" s="1"/>
    </row>
    <row r="125" customFormat="false" ht="15" hidden="false" customHeight="true" outlineLevel="0" collapsed="false">
      <c r="AQ125" s="1"/>
    </row>
    <row r="126" customFormat="false" ht="15" hidden="false" customHeight="true" outlineLevel="0" collapsed="false">
      <c r="AQ126" s="1"/>
    </row>
    <row r="127" customFormat="false" ht="15" hidden="false" customHeight="true" outlineLevel="0" collapsed="false">
      <c r="AQ127" s="1"/>
    </row>
    <row r="128" customFormat="false" ht="15" hidden="false" customHeight="true" outlineLevel="0" collapsed="false">
      <c r="AQ128" s="1"/>
    </row>
    <row r="129" customFormat="false" ht="15" hidden="false" customHeight="true" outlineLevel="0" collapsed="false">
      <c r="AQ129" s="1"/>
    </row>
    <row r="130" customFormat="false" ht="15" hidden="false" customHeight="true" outlineLevel="0" collapsed="false">
      <c r="AQ130" s="1"/>
    </row>
    <row r="131" customFormat="false" ht="15" hidden="false" customHeight="true" outlineLevel="0" collapsed="false">
      <c r="AQ131" s="1"/>
    </row>
    <row r="132" customFormat="false" ht="15" hidden="false" customHeight="true" outlineLevel="0" collapsed="false">
      <c r="AQ132" s="1"/>
    </row>
    <row r="133" customFormat="false" ht="15" hidden="false" customHeight="true" outlineLevel="0" collapsed="false">
      <c r="AQ133" s="1"/>
    </row>
    <row r="134" customFormat="false" ht="15" hidden="false" customHeight="true" outlineLevel="0" collapsed="false">
      <c r="AQ134" s="1"/>
    </row>
    <row r="135" customFormat="false" ht="15" hidden="false" customHeight="true" outlineLevel="0" collapsed="false">
      <c r="AQ135" s="1"/>
    </row>
    <row r="136" customFormat="false" ht="15" hidden="false" customHeight="true" outlineLevel="0" collapsed="false">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217" customFormat="false" ht="15" hidden="false" customHeight="true" outlineLevel="0" collapsed="false">
      <c r="AQ217" s="1"/>
    </row>
    <row r="218" customFormat="false" ht="15" hidden="false" customHeight="true" outlineLevel="0" collapsed="false">
      <c r="AQ218" s="1"/>
    </row>
    <row r="219" customFormat="false" ht="15" hidden="false" customHeight="true" outlineLevel="0" collapsed="false">
      <c r="AQ219" s="1"/>
    </row>
    <row r="220" customFormat="false" ht="15" hidden="false" customHeight="true" outlineLevel="0" collapsed="false">
      <c r="AQ220" s="1"/>
    </row>
    <row r="221" customFormat="false" ht="15" hidden="false" customHeight="true" outlineLevel="0" collapsed="false">
      <c r="AQ221" s="1"/>
    </row>
    <row r="222" customFormat="false" ht="15" hidden="false" customHeight="true" outlineLevel="0" collapsed="false">
      <c r="AQ222"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22">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9:I9"/>
    <mergeCell ref="B16:I16"/>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true" showOutlineSymbols="true" defaultGridColor="true" view="normal" topLeftCell="A16" colorId="64" zoomScale="65" zoomScaleNormal="65" zoomScalePageLayoutView="100" workbookViewId="0">
      <pane xSplit="1" ySplit="0" topLeftCell="G16" activePane="topRight" state="frozen"/>
      <selection pane="topLeft" activeCell="A16" activeCellId="0" sqref="A16"/>
      <selection pane="topRight" activeCell="P16" activeCellId="0" sqref="P16"/>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196</v>
      </c>
      <c r="D2" s="183"/>
      <c r="E2" s="183"/>
    </row>
    <row r="3" customFormat="false" ht="15" hidden="false" customHeight="true" outlineLevel="0" collapsed="false">
      <c r="A3" s="182" t="s">
        <v>610</v>
      </c>
      <c r="B3" s="182"/>
      <c r="C3" s="183" t="s">
        <v>197</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30" hidden="false" customHeight="true" outlineLevel="0" collapsed="false">
      <c r="A7" s="191" t="s">
        <v>197</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60" hidden="false" customHeight="true" outlineLevel="0" collapsed="false">
      <c r="A8" s="194"/>
      <c r="B8" s="200" t="s">
        <v>739</v>
      </c>
      <c r="C8" s="200"/>
      <c r="D8" s="200"/>
      <c r="E8" s="200"/>
      <c r="F8" s="200"/>
      <c r="G8" s="200"/>
      <c r="H8" s="200"/>
      <c r="I8" s="200"/>
      <c r="J8" s="194"/>
      <c r="K8" s="194"/>
      <c r="L8" s="194"/>
      <c r="M8" s="194"/>
      <c r="N8" s="196"/>
      <c r="O8" s="196"/>
      <c r="P8" s="196"/>
      <c r="Q8" s="196"/>
      <c r="R8" s="196"/>
      <c r="S8" s="196"/>
      <c r="T8" s="196"/>
      <c r="U8" s="196"/>
      <c r="V8" s="196"/>
      <c r="W8" s="196"/>
      <c r="X8" s="196"/>
      <c r="Y8" s="196"/>
      <c r="Z8" s="196"/>
      <c r="AA8" s="196"/>
      <c r="AB8" s="197"/>
      <c r="AC8" s="197"/>
      <c r="AD8" s="197"/>
      <c r="AE8" s="197"/>
      <c r="AF8" s="197"/>
      <c r="AG8" s="197"/>
      <c r="AH8" s="197"/>
      <c r="AI8" s="197"/>
      <c r="AJ8" s="197"/>
      <c r="AK8" s="197"/>
      <c r="AL8" s="197"/>
      <c r="AM8" s="198"/>
      <c r="AN8" s="198"/>
      <c r="AO8" s="198"/>
      <c r="AP8" s="199"/>
    </row>
    <row r="9" customFormat="false" ht="60" hidden="false" customHeight="true" outlineLevel="0" collapsed="false">
      <c r="A9" s="194" t="str">
        <f aca="false">IF(C9="","",$C$2&amp;"."&amp;COUNTA($C$8:C9)&amp;"")</f>
        <v>TC_02.1</v>
      </c>
      <c r="B9" s="194" t="s">
        <v>487</v>
      </c>
      <c r="C9" s="194" t="s">
        <v>676</v>
      </c>
      <c r="D9" s="194" t="s">
        <v>40</v>
      </c>
      <c r="E9" s="194" t="s">
        <v>157</v>
      </c>
      <c r="F9" s="195" t="s">
        <v>740</v>
      </c>
      <c r="G9" s="195" t="s">
        <v>741</v>
      </c>
      <c r="H9" s="195" t="s">
        <v>742</v>
      </c>
      <c r="I9" s="195" t="s">
        <v>743</v>
      </c>
      <c r="J9" s="194" t="s">
        <v>637</v>
      </c>
      <c r="K9" s="194" t="s">
        <v>241</v>
      </c>
      <c r="L9" s="194" t="s">
        <v>638</v>
      </c>
      <c r="M9" s="194"/>
      <c r="N9" s="196" t="s">
        <v>639</v>
      </c>
      <c r="O9" s="196"/>
      <c r="P9" s="196" t="s">
        <v>24</v>
      </c>
      <c r="Q9" s="196" t="s">
        <v>640</v>
      </c>
      <c r="R9" s="196" t="s">
        <v>477</v>
      </c>
      <c r="S9" s="196" t="s">
        <v>639</v>
      </c>
      <c r="T9" s="196"/>
      <c r="U9" s="196" t="s">
        <v>24</v>
      </c>
      <c r="V9" s="196" t="s">
        <v>640</v>
      </c>
      <c r="W9" s="196" t="s">
        <v>477</v>
      </c>
      <c r="X9" s="196" t="s">
        <v>639</v>
      </c>
      <c r="Y9" s="196"/>
      <c r="Z9" s="196" t="s">
        <v>24</v>
      </c>
      <c r="AA9" s="196" t="s">
        <v>640</v>
      </c>
      <c r="AB9" s="197" t="s">
        <v>744</v>
      </c>
      <c r="AC9" s="197"/>
      <c r="AD9" s="197"/>
      <c r="AE9" s="197"/>
      <c r="AF9" s="197"/>
      <c r="AG9" s="197"/>
      <c r="AH9" s="197"/>
      <c r="AI9" s="197"/>
      <c r="AJ9" s="197"/>
      <c r="AK9" s="197"/>
      <c r="AL9" s="197"/>
      <c r="AM9" s="198" t="str">
        <f aca="false">IF($A9="","",IF(OR($N9="Yes",$S9="Yes",$X9="Yes",$AC9="Yes",$AH9="Yes"),"Yes","No"))</f>
        <v>Yes</v>
      </c>
      <c r="AN9" s="198" t="str">
        <f aca="false">IF($A9="","",IFERROR(IF($AI9&lt;&gt;"",$AI9,IF($AD9&lt;&gt;"",$AD9,IF($Y9&lt;&gt;"",$Y9,IF($T9&lt;&gt;"",$T9,IF($O9&lt;&gt;"",$O9,""))))),""))</f>
        <v/>
      </c>
      <c r="AO9" s="198" t="str">
        <f aca="false">IFERROR(IF($AJ9&lt;&gt;"",$AJ9,IF($AE9&lt;&gt;"",$AE9,IF($Z9&lt;&gt;"",$Z9,IF($U9&lt;&gt;"",$U9,IF($P9&lt;&gt;"",$P9,""))))),"")</f>
        <v>Fail</v>
      </c>
      <c r="AP9" s="199"/>
    </row>
    <row r="10" customFormat="false" ht="60" hidden="false" customHeight="true" outlineLevel="0" collapsed="false">
      <c r="A10" s="194" t="str">
        <f aca="false">IF(C10="","",$C$2&amp;"."&amp;COUNTA($C$8:C10)&amp;"")</f>
        <v>TC_02.2</v>
      </c>
      <c r="B10" s="194" t="s">
        <v>490</v>
      </c>
      <c r="C10" s="194" t="s">
        <v>676</v>
      </c>
      <c r="D10" s="194" t="s">
        <v>42</v>
      </c>
      <c r="E10" s="194" t="s">
        <v>157</v>
      </c>
      <c r="F10" s="195" t="s">
        <v>745</v>
      </c>
      <c r="G10" s="195" t="s">
        <v>746</v>
      </c>
      <c r="H10" s="195" t="s">
        <v>747</v>
      </c>
      <c r="I10" s="195" t="s">
        <v>748</v>
      </c>
      <c r="J10" s="194" t="s">
        <v>637</v>
      </c>
      <c r="K10" s="194" t="s">
        <v>241</v>
      </c>
      <c r="L10" s="194" t="s">
        <v>638</v>
      </c>
      <c r="M10" s="194"/>
      <c r="N10" s="196" t="s">
        <v>639</v>
      </c>
      <c r="O10" s="196"/>
      <c r="P10" s="196" t="s">
        <v>24</v>
      </c>
      <c r="Q10" s="196" t="s">
        <v>640</v>
      </c>
      <c r="R10" s="196" t="s">
        <v>477</v>
      </c>
      <c r="S10" s="196" t="s">
        <v>639</v>
      </c>
      <c r="T10" s="196"/>
      <c r="U10" s="196" t="s">
        <v>24</v>
      </c>
      <c r="V10" s="196" t="s">
        <v>640</v>
      </c>
      <c r="W10" s="196" t="s">
        <v>477</v>
      </c>
      <c r="X10" s="196" t="s">
        <v>639</v>
      </c>
      <c r="Y10" s="196"/>
      <c r="Z10" s="196" t="s">
        <v>24</v>
      </c>
      <c r="AA10" s="196" t="s">
        <v>640</v>
      </c>
      <c r="AB10" s="197" t="s">
        <v>744</v>
      </c>
      <c r="AC10" s="197"/>
      <c r="AD10" s="197"/>
      <c r="AE10" s="197"/>
      <c r="AF10" s="197"/>
      <c r="AG10" s="197"/>
      <c r="AH10" s="197"/>
      <c r="AI10" s="197"/>
      <c r="AJ10" s="197"/>
      <c r="AK10" s="197"/>
      <c r="AL10" s="197"/>
      <c r="AM10" s="198" t="str">
        <f aca="false">IF($A10="","",IF(OR($N10="Yes",$S10="Yes",$X10="Yes",$AC10="Yes",$AH10="Yes"),"Yes","No"))</f>
        <v>Yes</v>
      </c>
      <c r="AN10" s="198" t="str">
        <f aca="false">IF($A10="","",IFERROR(IF($AI10&lt;&gt;"",$AI10,IF($AD10&lt;&gt;"",$AD10,IF($Y10&lt;&gt;"",$Y10,IF($T10&lt;&gt;"",$T10,IF($O10&lt;&gt;"",$O10,""))))),""))</f>
        <v/>
      </c>
      <c r="AO10" s="198" t="str">
        <f aca="false">IFERROR(IF($AJ10&lt;&gt;"",$AJ10,IF($AE10&lt;&gt;"",$AE10,IF($Z10&lt;&gt;"",$Z10,IF($U10&lt;&gt;"",$U10,IF($P10&lt;&gt;"",$P10,""))))),"")</f>
        <v>Fail</v>
      </c>
      <c r="AP10" s="199"/>
    </row>
    <row r="11" customFormat="false" ht="15" hidden="false" customHeight="true" outlineLevel="0" collapsed="false">
      <c r="A11" s="194"/>
      <c r="B11" s="200" t="s">
        <v>749</v>
      </c>
      <c r="C11" s="200"/>
      <c r="D11" s="200"/>
      <c r="E11" s="200"/>
      <c r="F11" s="200"/>
      <c r="G11" s="200"/>
      <c r="H11" s="200"/>
      <c r="I11" s="200"/>
      <c r="J11" s="194"/>
      <c r="K11" s="194"/>
      <c r="L11" s="194"/>
      <c r="M11" s="194"/>
      <c r="N11" s="196"/>
      <c r="O11" s="196"/>
      <c r="P11" s="196"/>
      <c r="Q11" s="196"/>
      <c r="R11" s="196"/>
      <c r="S11" s="196"/>
      <c r="T11" s="196"/>
      <c r="U11" s="196"/>
      <c r="V11" s="196"/>
      <c r="W11" s="196"/>
      <c r="X11" s="196"/>
      <c r="Y11" s="196"/>
      <c r="Z11" s="196"/>
      <c r="AA11" s="196"/>
      <c r="AB11" s="197"/>
      <c r="AC11" s="197"/>
      <c r="AD11" s="197"/>
      <c r="AE11" s="197"/>
      <c r="AF11" s="197"/>
      <c r="AG11" s="197"/>
      <c r="AH11" s="197"/>
      <c r="AI11" s="197"/>
      <c r="AJ11" s="197"/>
      <c r="AK11" s="197"/>
      <c r="AL11" s="197"/>
      <c r="AM11" s="198"/>
      <c r="AN11" s="198"/>
      <c r="AO11" s="198"/>
      <c r="AP11" s="199"/>
    </row>
    <row r="12" customFormat="false" ht="60" hidden="false" customHeight="true" outlineLevel="0" collapsed="false">
      <c r="A12" s="194" t="str">
        <f aca="false">IF(C12="","",$C$2&amp;"."&amp;COUNTA($C$8:C12)&amp;"")</f>
        <v>TC_02.3</v>
      </c>
      <c r="B12" s="194" t="s">
        <v>493</v>
      </c>
      <c r="C12" s="194" t="s">
        <v>750</v>
      </c>
      <c r="D12" s="194" t="s">
        <v>42</v>
      </c>
      <c r="E12" s="194" t="s">
        <v>157</v>
      </c>
      <c r="F12" s="195" t="s">
        <v>751</v>
      </c>
      <c r="G12" s="195" t="s">
        <v>752</v>
      </c>
      <c r="H12" s="195" t="s">
        <v>753</v>
      </c>
      <c r="I12" s="195" t="s">
        <v>754</v>
      </c>
      <c r="J12" s="194" t="s">
        <v>637</v>
      </c>
      <c r="K12" s="194" t="s">
        <v>241</v>
      </c>
      <c r="L12" s="194" t="s">
        <v>638</v>
      </c>
      <c r="M12" s="194"/>
      <c r="N12" s="196" t="s">
        <v>639</v>
      </c>
      <c r="O12" s="196"/>
      <c r="P12" s="196" t="s">
        <v>24</v>
      </c>
      <c r="Q12" s="196" t="s">
        <v>640</v>
      </c>
      <c r="R12" s="196" t="s">
        <v>477</v>
      </c>
      <c r="S12" s="196" t="s">
        <v>639</v>
      </c>
      <c r="T12" s="196"/>
      <c r="U12" s="196" t="s">
        <v>24</v>
      </c>
      <c r="V12" s="196" t="s">
        <v>640</v>
      </c>
      <c r="W12" s="196" t="s">
        <v>477</v>
      </c>
      <c r="X12" s="196" t="s">
        <v>639</v>
      </c>
      <c r="Y12" s="196"/>
      <c r="Z12" s="196" t="s">
        <v>24</v>
      </c>
      <c r="AA12" s="196" t="s">
        <v>640</v>
      </c>
      <c r="AB12" s="197" t="s">
        <v>744</v>
      </c>
      <c r="AC12" s="197"/>
      <c r="AD12" s="197"/>
      <c r="AE12" s="197"/>
      <c r="AF12" s="197"/>
      <c r="AG12" s="197"/>
      <c r="AH12" s="197"/>
      <c r="AI12" s="197"/>
      <c r="AJ12" s="197"/>
      <c r="AK12" s="197"/>
      <c r="AL12" s="197"/>
      <c r="AM12" s="198" t="str">
        <f aca="false">IF($A12="","",IF(OR($N12="Yes",$S12="Yes",$X12="Yes",$AC12="Yes",$AH12="Yes"),"Yes","No"))</f>
        <v>Yes</v>
      </c>
      <c r="AN12" s="198" t="str">
        <f aca="false">IF($A12="","",IFERROR(IF($AI12&lt;&gt;"",$AI12,IF($AD12&lt;&gt;"",$AD12,IF($Y12&lt;&gt;"",$Y12,IF($T12&lt;&gt;"",$T12,IF($O12&lt;&gt;"",$O12,""))))),""))</f>
        <v/>
      </c>
      <c r="AO12" s="198" t="str">
        <f aca="false">IFERROR(IF($AJ12&lt;&gt;"",$AJ12,IF($AE12&lt;&gt;"",$AE12,IF($Z12&lt;&gt;"",$Z12,IF($U12&lt;&gt;"",$U12,IF($P12&lt;&gt;"",$P12,""))))),"")</f>
        <v>Fail</v>
      </c>
      <c r="AP12" s="199" t="s">
        <v>675</v>
      </c>
    </row>
    <row r="13" customFormat="false" ht="60" hidden="false" customHeight="true" outlineLevel="0" collapsed="false">
      <c r="A13" s="194" t="str">
        <f aca="false">IF(C13="","",$C$2&amp;"."&amp;COUNTA($C$8:C13)&amp;"")</f>
        <v>TC_02.4</v>
      </c>
      <c r="B13" s="194" t="s">
        <v>493</v>
      </c>
      <c r="C13" s="194" t="s">
        <v>755</v>
      </c>
      <c r="D13" s="194" t="s">
        <v>40</v>
      </c>
      <c r="E13" s="194" t="s">
        <v>157</v>
      </c>
      <c r="F13" s="195" t="s">
        <v>756</v>
      </c>
      <c r="G13" s="195" t="s">
        <v>757</v>
      </c>
      <c r="H13" s="195" t="s">
        <v>758</v>
      </c>
      <c r="I13" s="195" t="s">
        <v>759</v>
      </c>
      <c r="J13" s="194" t="s">
        <v>637</v>
      </c>
      <c r="K13" s="194" t="s">
        <v>241</v>
      </c>
      <c r="L13" s="194" t="s">
        <v>638</v>
      </c>
      <c r="M13" s="194"/>
      <c r="N13" s="196" t="s">
        <v>639</v>
      </c>
      <c r="O13" s="196"/>
      <c r="P13" s="196" t="s">
        <v>22</v>
      </c>
      <c r="Q13" s="196" t="s">
        <v>640</v>
      </c>
      <c r="R13" s="196"/>
      <c r="S13" s="196" t="s">
        <v>639</v>
      </c>
      <c r="T13" s="196"/>
      <c r="U13" s="196" t="s">
        <v>22</v>
      </c>
      <c r="V13" s="196" t="s">
        <v>640</v>
      </c>
      <c r="W13" s="196"/>
      <c r="X13" s="196"/>
      <c r="Y13" s="196"/>
      <c r="Z13" s="196"/>
      <c r="AA13" s="196"/>
      <c r="AB13" s="197"/>
      <c r="AC13" s="197"/>
      <c r="AD13" s="197"/>
      <c r="AE13" s="197"/>
      <c r="AF13" s="197"/>
      <c r="AG13" s="197"/>
      <c r="AH13" s="197"/>
      <c r="AI13" s="197"/>
      <c r="AJ13" s="197"/>
      <c r="AK13" s="197"/>
      <c r="AL13" s="197"/>
      <c r="AM13" s="198" t="str">
        <f aca="false">IF($A13="","",IF(OR($N13="Yes",$S13="Yes",$X13="Yes",$AC13="Yes",$AH13="Yes"),"Yes","No"))</f>
        <v>Yes</v>
      </c>
      <c r="AN13" s="198" t="str">
        <f aca="false">IF($A13="","",IFERROR(IF($AI13&lt;&gt;"",$AI13,IF($AD13&lt;&gt;"",$AD13,IF($Y13&lt;&gt;"",$Y13,IF($T13&lt;&gt;"",$T13,IF($O13&lt;&gt;"",$O13,""))))),""))</f>
        <v/>
      </c>
      <c r="AO13" s="198" t="str">
        <f aca="false">IFERROR(IF($AJ13&lt;&gt;"",$AJ13,IF($AE13&lt;&gt;"",$AE13,IF($Z13&lt;&gt;"",$Z13,IF($U13&lt;&gt;"",$U13,IF($P13&lt;&gt;"",$P13,""))))),"")</f>
        <v>Pass</v>
      </c>
      <c r="AP13" s="199" t="s">
        <v>760</v>
      </c>
    </row>
    <row r="14" customFormat="false" ht="60" hidden="false" customHeight="true" outlineLevel="0" collapsed="false">
      <c r="A14" s="194" t="str">
        <f aca="false">IF(C14="","",$C$2&amp;"."&amp;COUNTA($C$8:C14)&amp;"")</f>
        <v>TC_02.5</v>
      </c>
      <c r="B14" s="194" t="s">
        <v>493</v>
      </c>
      <c r="C14" s="194" t="s">
        <v>755</v>
      </c>
      <c r="D14" s="194" t="s">
        <v>42</v>
      </c>
      <c r="E14" s="194" t="s">
        <v>157</v>
      </c>
      <c r="F14" s="195" t="s">
        <v>761</v>
      </c>
      <c r="G14" s="195" t="s">
        <v>762</v>
      </c>
      <c r="H14" s="195" t="s">
        <v>763</v>
      </c>
      <c r="I14" s="195" t="s">
        <v>764</v>
      </c>
      <c r="J14" s="194" t="s">
        <v>637</v>
      </c>
      <c r="K14" s="194" t="s">
        <v>241</v>
      </c>
      <c r="L14" s="194" t="s">
        <v>638</v>
      </c>
      <c r="M14" s="194"/>
      <c r="N14" s="196" t="s">
        <v>639</v>
      </c>
      <c r="O14" s="196"/>
      <c r="P14" s="196" t="s">
        <v>22</v>
      </c>
      <c r="Q14" s="196" t="s">
        <v>640</v>
      </c>
      <c r="R14" s="196"/>
      <c r="S14" s="196" t="s">
        <v>639</v>
      </c>
      <c r="T14" s="196"/>
      <c r="U14" s="196" t="s">
        <v>26</v>
      </c>
      <c r="V14" s="196" t="s">
        <v>640</v>
      </c>
      <c r="W14" s="196"/>
      <c r="X14" s="196" t="s">
        <v>639</v>
      </c>
      <c r="Y14" s="196"/>
      <c r="Z14" s="196" t="s">
        <v>22</v>
      </c>
      <c r="AA14" s="196" t="s">
        <v>640</v>
      </c>
      <c r="AB14" s="197"/>
      <c r="AC14" s="197"/>
      <c r="AD14" s="197"/>
      <c r="AE14" s="197"/>
      <c r="AF14" s="197"/>
      <c r="AG14" s="197"/>
      <c r="AH14" s="197"/>
      <c r="AI14" s="197"/>
      <c r="AJ14" s="197"/>
      <c r="AK14" s="197"/>
      <c r="AL14" s="197"/>
      <c r="AM14" s="198" t="str">
        <f aca="false">IF($A14="","",IF(OR($N14="Yes",$S14="Yes",$X14="Yes",$AC14="Yes",$AH14="Yes"),"Yes","No"))</f>
        <v>Yes</v>
      </c>
      <c r="AN14" s="198" t="str">
        <f aca="false">IF($A14="","",IFERROR(IF($AI14&lt;&gt;"",$AI14,IF($AD14&lt;&gt;"",$AD14,IF($Y14&lt;&gt;"",$Y14,IF($T14&lt;&gt;"",$T14,IF($O14&lt;&gt;"",$O14,""))))),""))</f>
        <v/>
      </c>
      <c r="AO14" s="198" t="str">
        <f aca="false">IFERROR(IF($AJ14&lt;&gt;"",$AJ14,IF($AE14&lt;&gt;"",$AE14,IF($Z14&lt;&gt;"",$Z14,IF($U14&lt;&gt;"",$U14,IF($P14&lt;&gt;"",$P14,""))))),"")</f>
        <v>Pass</v>
      </c>
      <c r="AP14" s="199" t="s">
        <v>765</v>
      </c>
    </row>
    <row r="15" customFormat="false" ht="15" hidden="false" customHeight="true" outlineLevel="0" collapsed="false">
      <c r="A15" s="194" t="str">
        <f aca="false">IF(C15="","",$C$2&amp;"."&amp;COUNTA($C$8:C15)&amp;"")</f>
        <v>TC_02.6</v>
      </c>
      <c r="B15" s="194" t="s">
        <v>493</v>
      </c>
      <c r="C15" s="194" t="s">
        <v>755</v>
      </c>
      <c r="D15" s="194" t="s">
        <v>42</v>
      </c>
      <c r="E15" s="194" t="s">
        <v>158</v>
      </c>
      <c r="F15" s="195" t="s">
        <v>766</v>
      </c>
      <c r="G15" s="195" t="s">
        <v>767</v>
      </c>
      <c r="H15" s="195" t="s">
        <v>763</v>
      </c>
      <c r="I15" s="195" t="s">
        <v>768</v>
      </c>
      <c r="J15" s="194" t="s">
        <v>637</v>
      </c>
      <c r="K15" s="194" t="s">
        <v>241</v>
      </c>
      <c r="L15" s="194" t="s">
        <v>638</v>
      </c>
      <c r="M15" s="194"/>
      <c r="N15" s="196" t="s">
        <v>639</v>
      </c>
      <c r="O15" s="196"/>
      <c r="P15" s="196" t="s">
        <v>26</v>
      </c>
      <c r="Q15" s="196" t="s">
        <v>640</v>
      </c>
      <c r="R15" s="196"/>
      <c r="S15" s="196" t="s">
        <v>639</v>
      </c>
      <c r="T15" s="196"/>
      <c r="U15" s="196" t="s">
        <v>22</v>
      </c>
      <c r="V15" s="196" t="s">
        <v>640</v>
      </c>
      <c r="W15" s="196"/>
      <c r="X15" s="196"/>
      <c r="Y15" s="196"/>
      <c r="Z15" s="196"/>
      <c r="AA15" s="196"/>
      <c r="AB15" s="197"/>
      <c r="AC15" s="197"/>
      <c r="AD15" s="197"/>
      <c r="AE15" s="197"/>
      <c r="AF15" s="197"/>
      <c r="AG15" s="197"/>
      <c r="AH15" s="197"/>
      <c r="AI15" s="197"/>
      <c r="AJ15" s="197"/>
      <c r="AK15" s="197"/>
      <c r="AL15" s="197"/>
      <c r="AM15" s="198" t="str">
        <f aca="false">IF($A15="","",IF(OR($N15="Yes",$S15="Yes",$X15="Yes",$AC15="Yes",$AH15="Yes"),"Yes","No"))</f>
        <v>Yes</v>
      </c>
      <c r="AN15" s="198" t="str">
        <f aca="false">IF($A15="","",IFERROR(IF($AI15&lt;&gt;"",$AI15,IF($AD15&lt;&gt;"",$AD15,IF($Y15&lt;&gt;"",$Y15,IF($T15&lt;&gt;"",$T15,IF($O15&lt;&gt;"",$O15,""))))),""))</f>
        <v/>
      </c>
      <c r="AO15" s="198" t="str">
        <f aca="false">IFERROR(IF($AJ15&lt;&gt;"",$AJ15,IF($AE15&lt;&gt;"",$AE15,IF($Z15&lt;&gt;"",$Z15,IF($U15&lt;&gt;"",$U15,IF($P15&lt;&gt;"",$P15,""))))),"")</f>
        <v>Pass</v>
      </c>
      <c r="AP15" s="199" t="s">
        <v>769</v>
      </c>
    </row>
    <row r="16" customFormat="false" ht="60" hidden="false" customHeight="true" outlineLevel="0" collapsed="false">
      <c r="A16" s="194" t="str">
        <f aca="false">IF(C16="","",$C$2&amp;"."&amp;COUNTA($C$8:C16)&amp;"")</f>
        <v>TC_02.7</v>
      </c>
      <c r="B16" s="194" t="s">
        <v>493</v>
      </c>
      <c r="C16" s="194" t="s">
        <v>755</v>
      </c>
      <c r="D16" s="194" t="s">
        <v>42</v>
      </c>
      <c r="E16" s="194" t="s">
        <v>158</v>
      </c>
      <c r="F16" s="195" t="s">
        <v>770</v>
      </c>
      <c r="G16" s="195" t="s">
        <v>771</v>
      </c>
      <c r="H16" s="195" t="s">
        <v>772</v>
      </c>
      <c r="I16" s="195" t="s">
        <v>773</v>
      </c>
      <c r="J16" s="194" t="s">
        <v>637</v>
      </c>
      <c r="K16" s="194" t="s">
        <v>241</v>
      </c>
      <c r="L16" s="194" t="s">
        <v>638</v>
      </c>
      <c r="M16" s="194"/>
      <c r="N16" s="196" t="s">
        <v>639</v>
      </c>
      <c r="O16" s="196"/>
      <c r="P16" s="196" t="s">
        <v>26</v>
      </c>
      <c r="Q16" s="196" t="s">
        <v>640</v>
      </c>
      <c r="R16" s="196"/>
      <c r="S16" s="196" t="s">
        <v>639</v>
      </c>
      <c r="T16" s="196"/>
      <c r="U16" s="196" t="s">
        <v>26</v>
      </c>
      <c r="V16" s="196" t="s">
        <v>640</v>
      </c>
      <c r="W16" s="196"/>
      <c r="X16" s="196" t="s">
        <v>639</v>
      </c>
      <c r="Y16" s="196"/>
      <c r="Z16" s="196" t="s">
        <v>26</v>
      </c>
      <c r="AA16" s="196" t="s">
        <v>640</v>
      </c>
      <c r="AB16" s="197"/>
      <c r="AC16" s="197"/>
      <c r="AD16" s="197"/>
      <c r="AE16" s="197"/>
      <c r="AF16" s="197"/>
      <c r="AG16" s="197"/>
      <c r="AH16" s="197"/>
      <c r="AI16" s="197"/>
      <c r="AJ16" s="197"/>
      <c r="AK16" s="197"/>
      <c r="AL16" s="197"/>
      <c r="AM16" s="198" t="str">
        <f aca="false">IF($A16="","",IF(OR($N16="Yes",$S16="Yes",$X16="Yes",$AC16="Yes",$AH16="Yes"),"Yes","No"))</f>
        <v>Yes</v>
      </c>
      <c r="AN16" s="198" t="str">
        <f aca="false">IF($A16="","",IFERROR(IF($AI16&lt;&gt;"",$AI16,IF($AD16&lt;&gt;"",$AD16,IF($Y16&lt;&gt;"",$Y16,IF($T16&lt;&gt;"",$T16,IF($O16&lt;&gt;"",$O16,""))))),""))</f>
        <v/>
      </c>
      <c r="AO16" s="198" t="str">
        <f aca="false">IFERROR(IF($AJ16&lt;&gt;"",$AJ16,IF($AE16&lt;&gt;"",$AE16,IF($Z16&lt;&gt;"",$Z16,IF($U16&lt;&gt;"",$U16,IF($P16&lt;&gt;"",$P16,""))))),"")</f>
        <v>Block</v>
      </c>
      <c r="AP16" s="199" t="s">
        <v>774</v>
      </c>
    </row>
    <row r="17" customFormat="false" ht="60" hidden="false" customHeight="true" outlineLevel="0" collapsed="false">
      <c r="A17" s="194"/>
      <c r="B17" s="200" t="s">
        <v>775</v>
      </c>
      <c r="C17" s="200"/>
      <c r="D17" s="200"/>
      <c r="E17" s="200"/>
      <c r="F17" s="200"/>
      <c r="G17" s="200"/>
      <c r="H17" s="200"/>
      <c r="I17" s="200"/>
      <c r="J17" s="194"/>
      <c r="K17" s="194"/>
      <c r="L17" s="194"/>
      <c r="M17" s="194"/>
      <c r="N17" s="196"/>
      <c r="O17" s="196"/>
      <c r="P17" s="196"/>
      <c r="Q17" s="196"/>
      <c r="R17" s="196"/>
      <c r="S17" s="196"/>
      <c r="T17" s="196"/>
      <c r="U17" s="196"/>
      <c r="V17" s="196"/>
      <c r="W17" s="196"/>
      <c r="X17" s="196"/>
      <c r="Y17" s="196"/>
      <c r="Z17" s="196"/>
      <c r="AA17" s="196"/>
      <c r="AB17" s="197"/>
      <c r="AC17" s="197"/>
      <c r="AD17" s="197"/>
      <c r="AE17" s="197"/>
      <c r="AF17" s="197"/>
      <c r="AG17" s="197"/>
      <c r="AH17" s="197"/>
      <c r="AI17" s="197"/>
      <c r="AJ17" s="197"/>
      <c r="AK17" s="197"/>
      <c r="AL17" s="197"/>
      <c r="AM17" s="198"/>
      <c r="AN17" s="198"/>
      <c r="AO17" s="198"/>
      <c r="AP17" s="199"/>
    </row>
    <row r="18" customFormat="false" ht="30" hidden="false" customHeight="true" outlineLevel="0" collapsed="false">
      <c r="A18" s="194" t="str">
        <f aca="false">IF(C18="","",$C$2&amp;"."&amp;COUNTA($C$8:C18)&amp;"")</f>
        <v>TC_02.8</v>
      </c>
      <c r="B18" s="194" t="s">
        <v>493</v>
      </c>
      <c r="C18" s="194" t="s">
        <v>776</v>
      </c>
      <c r="D18" s="194" t="s">
        <v>40</v>
      </c>
      <c r="E18" s="194" t="s">
        <v>158</v>
      </c>
      <c r="F18" s="195" t="s">
        <v>777</v>
      </c>
      <c r="G18" s="195" t="s">
        <v>741</v>
      </c>
      <c r="H18" s="195" t="s">
        <v>778</v>
      </c>
      <c r="I18" s="195" t="s">
        <v>779</v>
      </c>
      <c r="J18" s="194" t="s">
        <v>637</v>
      </c>
      <c r="K18" s="194" t="s">
        <v>241</v>
      </c>
      <c r="L18" s="194" t="s">
        <v>638</v>
      </c>
      <c r="M18" s="194"/>
      <c r="N18" s="196" t="s">
        <v>639</v>
      </c>
      <c r="O18" s="196"/>
      <c r="P18" s="196" t="s">
        <v>22</v>
      </c>
      <c r="Q18" s="196" t="s">
        <v>640</v>
      </c>
      <c r="R18" s="196"/>
      <c r="S18" s="196" t="s">
        <v>639</v>
      </c>
      <c r="T18" s="196"/>
      <c r="U18" s="196" t="s">
        <v>22</v>
      </c>
      <c r="V18" s="196" t="s">
        <v>640</v>
      </c>
      <c r="W18" s="196"/>
      <c r="X18" s="196"/>
      <c r="Y18" s="196"/>
      <c r="Z18" s="196"/>
      <c r="AA18" s="196"/>
      <c r="AB18" s="197"/>
      <c r="AC18" s="197"/>
      <c r="AD18" s="197"/>
      <c r="AE18" s="197"/>
      <c r="AF18" s="197"/>
      <c r="AG18" s="197"/>
      <c r="AH18" s="197"/>
      <c r="AI18" s="197"/>
      <c r="AJ18" s="197"/>
      <c r="AK18" s="197"/>
      <c r="AL18" s="197"/>
      <c r="AM18" s="198" t="str">
        <f aca="false">IF($A18="","",IF(OR($N18="Yes",$S18="Yes",$X18="Yes",$AC18="Yes",$AH18="Yes"),"Yes","No"))</f>
        <v>Yes</v>
      </c>
      <c r="AN18" s="198" t="str">
        <f aca="false">IF($A18="","",IFERROR(IF($AI18&lt;&gt;"",$AI18,IF($AD18&lt;&gt;"",$AD18,IF($Y18&lt;&gt;"",$Y18,IF($T18&lt;&gt;"",$T18,IF($O18&lt;&gt;"",$O18,""))))),""))</f>
        <v/>
      </c>
      <c r="AO18" s="198" t="str">
        <f aca="false">IFERROR(IF($AJ18&lt;&gt;"",$AJ18,IF($AE18&lt;&gt;"",$AE18,IF($Z18&lt;&gt;"",$Z18,IF($U18&lt;&gt;"",$U18,IF($P18&lt;&gt;"",$P18,""))))),"")</f>
        <v>Pass</v>
      </c>
      <c r="AP18" s="199"/>
    </row>
    <row r="19" customFormat="false" ht="60" hidden="false" customHeight="true" outlineLevel="0" collapsed="false">
      <c r="A19" s="194" t="str">
        <f aca="false">IF(C19="","",$C$2&amp;"."&amp;COUNTA($C$8:C19)&amp;"")</f>
        <v>TC_02.9</v>
      </c>
      <c r="B19" s="194" t="s">
        <v>493</v>
      </c>
      <c r="C19" s="194" t="s">
        <v>780</v>
      </c>
      <c r="D19" s="194" t="s">
        <v>40</v>
      </c>
      <c r="E19" s="194" t="s">
        <v>158</v>
      </c>
      <c r="F19" s="195" t="s">
        <v>781</v>
      </c>
      <c r="G19" s="195" t="s">
        <v>782</v>
      </c>
      <c r="H19" s="195" t="s">
        <v>783</v>
      </c>
      <c r="I19" s="195" t="s">
        <v>784</v>
      </c>
      <c r="J19" s="194" t="s">
        <v>637</v>
      </c>
      <c r="K19" s="194" t="s">
        <v>241</v>
      </c>
      <c r="L19" s="194" t="s">
        <v>638</v>
      </c>
      <c r="M19" s="194"/>
      <c r="N19" s="196" t="s">
        <v>639</v>
      </c>
      <c r="O19" s="196"/>
      <c r="P19" s="196" t="s">
        <v>22</v>
      </c>
      <c r="Q19" s="196" t="s">
        <v>640</v>
      </c>
      <c r="R19" s="196"/>
      <c r="S19" s="196" t="s">
        <v>639</v>
      </c>
      <c r="T19" s="196"/>
      <c r="U19" s="196" t="s">
        <v>22</v>
      </c>
      <c r="V19" s="196" t="s">
        <v>640</v>
      </c>
      <c r="W19" s="196"/>
      <c r="X19" s="196"/>
      <c r="Y19" s="196"/>
      <c r="Z19" s="196"/>
      <c r="AA19" s="196"/>
      <c r="AB19" s="197"/>
      <c r="AC19" s="197"/>
      <c r="AD19" s="197"/>
      <c r="AE19" s="197"/>
      <c r="AF19" s="197"/>
      <c r="AG19" s="197"/>
      <c r="AH19" s="197"/>
      <c r="AI19" s="197"/>
      <c r="AJ19" s="197"/>
      <c r="AK19" s="197"/>
      <c r="AL19" s="197"/>
      <c r="AM19" s="198" t="str">
        <f aca="false">IF($A19="","",IF(OR($N19="Yes",$S19="Yes",$X19="Yes",$AC19="Yes",$AH19="Yes"),"Yes","No"))</f>
        <v>Yes</v>
      </c>
      <c r="AN19" s="198" t="str">
        <f aca="false">IF($A19="","",IFERROR(IF($AI19&lt;&gt;"",$AI19,IF($AD19&lt;&gt;"",$AD19,IF($Y19&lt;&gt;"",$Y19,IF($T19&lt;&gt;"",$T19,IF($O19&lt;&gt;"",$O19,""))))),""))</f>
        <v/>
      </c>
      <c r="AO19" s="198" t="str">
        <f aca="false">IFERROR(IF($AJ19&lt;&gt;"",$AJ19,IF($AE19&lt;&gt;"",$AE19,IF($Z19&lt;&gt;"",$Z19,IF($U19&lt;&gt;"",$U19,IF($P19&lt;&gt;"",$P19,""))))),"")</f>
        <v>Pass</v>
      </c>
      <c r="AP19" s="199" t="s">
        <v>785</v>
      </c>
    </row>
    <row r="20" customFormat="false" ht="60" hidden="false" customHeight="true" outlineLevel="0" collapsed="false">
      <c r="A20" s="194"/>
      <c r="B20" s="200" t="s">
        <v>786</v>
      </c>
      <c r="C20" s="200"/>
      <c r="D20" s="200"/>
      <c r="E20" s="200"/>
      <c r="F20" s="200"/>
      <c r="G20" s="200"/>
      <c r="H20" s="200"/>
      <c r="I20" s="200"/>
      <c r="J20" s="194"/>
      <c r="K20" s="194"/>
      <c r="L20" s="194"/>
      <c r="M20" s="194"/>
      <c r="N20" s="196"/>
      <c r="O20" s="196"/>
      <c r="P20" s="196"/>
      <c r="Q20" s="196"/>
      <c r="R20" s="196"/>
      <c r="S20" s="196"/>
      <c r="T20" s="196"/>
      <c r="U20" s="196"/>
      <c r="V20" s="196"/>
      <c r="W20" s="196"/>
      <c r="X20" s="196"/>
      <c r="Y20" s="196"/>
      <c r="Z20" s="196"/>
      <c r="AA20" s="196"/>
      <c r="AB20" s="197"/>
      <c r="AC20" s="197"/>
      <c r="AD20" s="197"/>
      <c r="AE20" s="197"/>
      <c r="AF20" s="197"/>
      <c r="AG20" s="197"/>
      <c r="AH20" s="197"/>
      <c r="AI20" s="197"/>
      <c r="AJ20" s="197"/>
      <c r="AK20" s="197"/>
      <c r="AL20" s="197"/>
      <c r="AM20" s="198"/>
      <c r="AN20" s="198"/>
      <c r="AO20" s="198"/>
      <c r="AP20" s="199"/>
    </row>
    <row r="21" customFormat="false" ht="15" hidden="false" customHeight="true" outlineLevel="0" collapsed="false">
      <c r="A21" s="194" t="str">
        <f aca="false">IF(C21="","",$C$2&amp;"."&amp;COUNTA($C$8:C21)&amp;"")</f>
        <v>TC_02.10</v>
      </c>
      <c r="B21" s="194" t="s">
        <v>496</v>
      </c>
      <c r="C21" s="194" t="s">
        <v>676</v>
      </c>
      <c r="D21" s="194" t="s">
        <v>40</v>
      </c>
      <c r="E21" s="194" t="s">
        <v>158</v>
      </c>
      <c r="F21" s="195" t="s">
        <v>787</v>
      </c>
      <c r="G21" s="195" t="s">
        <v>752</v>
      </c>
      <c r="H21" s="195" t="s">
        <v>788</v>
      </c>
      <c r="I21" s="195" t="s">
        <v>789</v>
      </c>
      <c r="J21" s="194" t="s">
        <v>637</v>
      </c>
      <c r="K21" s="194" t="s">
        <v>241</v>
      </c>
      <c r="L21" s="194" t="s">
        <v>638</v>
      </c>
      <c r="M21" s="194"/>
      <c r="N21" s="196" t="s">
        <v>639</v>
      </c>
      <c r="O21" s="196"/>
      <c r="P21" s="196" t="s">
        <v>22</v>
      </c>
      <c r="Q21" s="196" t="s">
        <v>640</v>
      </c>
      <c r="R21" s="196"/>
      <c r="S21" s="196" t="s">
        <v>639</v>
      </c>
      <c r="T21" s="196"/>
      <c r="U21" s="196" t="s">
        <v>22</v>
      </c>
      <c r="V21" s="196" t="s">
        <v>640</v>
      </c>
      <c r="W21" s="196"/>
      <c r="X21" s="196"/>
      <c r="Y21" s="196"/>
      <c r="Z21" s="196"/>
      <c r="AA21" s="196"/>
      <c r="AB21" s="197"/>
      <c r="AC21" s="197"/>
      <c r="AD21" s="197"/>
      <c r="AE21" s="197"/>
      <c r="AF21" s="197"/>
      <c r="AG21" s="197"/>
      <c r="AH21" s="197"/>
      <c r="AI21" s="197"/>
      <c r="AJ21" s="197"/>
      <c r="AK21" s="197"/>
      <c r="AL21" s="197"/>
      <c r="AM21" s="198" t="str">
        <f aca="false">IF($A21="","",IF(OR($N21="Yes",$S21="Yes",$X21="Yes",$AC21="Yes",$AH21="Yes"),"Yes","No"))</f>
        <v>Yes</v>
      </c>
      <c r="AN21" s="198" t="str">
        <f aca="false">IF($A21="","",IFERROR(IF($AI21&lt;&gt;"",$AI21,IF($AD21&lt;&gt;"",$AD21,IF($Y21&lt;&gt;"",$Y21,IF($T21&lt;&gt;"",$T21,IF($O21&lt;&gt;"",$O21,""))))),""))</f>
        <v/>
      </c>
      <c r="AO21" s="198" t="str">
        <f aca="false">IFERROR(IF($AJ21&lt;&gt;"",$AJ21,IF($AE21&lt;&gt;"",$AE21,IF($Z21&lt;&gt;"",$Z21,IF($U21&lt;&gt;"",$U21,IF($P21&lt;&gt;"",$P21,""))))),"")</f>
        <v>Pass</v>
      </c>
      <c r="AP21" s="199" t="s">
        <v>790</v>
      </c>
    </row>
    <row r="22" customFormat="false" ht="60" hidden="false" customHeight="true" outlineLevel="0" collapsed="false">
      <c r="A22" s="194"/>
      <c r="B22" s="200" t="s">
        <v>791</v>
      </c>
      <c r="C22" s="200"/>
      <c r="D22" s="200"/>
      <c r="E22" s="200"/>
      <c r="F22" s="200"/>
      <c r="G22" s="200"/>
      <c r="H22" s="200"/>
      <c r="I22" s="200"/>
      <c r="J22" s="194"/>
      <c r="K22" s="194"/>
      <c r="L22" s="194"/>
      <c r="M22" s="194"/>
      <c r="N22" s="196"/>
      <c r="O22" s="196"/>
      <c r="P22" s="196"/>
      <c r="Q22" s="196"/>
      <c r="R22" s="196"/>
      <c r="S22" s="196"/>
      <c r="T22" s="196"/>
      <c r="U22" s="196"/>
      <c r="V22" s="196"/>
      <c r="W22" s="196"/>
      <c r="X22" s="196"/>
      <c r="Y22" s="196"/>
      <c r="Z22" s="196"/>
      <c r="AA22" s="196"/>
      <c r="AB22" s="197"/>
      <c r="AC22" s="197"/>
      <c r="AD22" s="197"/>
      <c r="AE22" s="197"/>
      <c r="AF22" s="197"/>
      <c r="AG22" s="197"/>
      <c r="AH22" s="197"/>
      <c r="AI22" s="197"/>
      <c r="AJ22" s="197"/>
      <c r="AK22" s="197"/>
      <c r="AL22" s="197"/>
      <c r="AM22" s="198"/>
      <c r="AN22" s="198"/>
      <c r="AO22" s="198"/>
      <c r="AP22" s="199"/>
    </row>
    <row r="23" customFormat="false" ht="60" hidden="false" customHeight="true" outlineLevel="0" collapsed="false">
      <c r="A23" s="194" t="str">
        <f aca="false">IF(C23="","",$C$2&amp;"."&amp;COUNTA($C$8:C23)&amp;"")</f>
        <v>TC_02.11</v>
      </c>
      <c r="B23" s="194" t="s">
        <v>505</v>
      </c>
      <c r="C23" s="194" t="s">
        <v>713</v>
      </c>
      <c r="D23" s="194" t="s">
        <v>42</v>
      </c>
      <c r="E23" s="194" t="s">
        <v>158</v>
      </c>
      <c r="F23" s="195" t="s">
        <v>792</v>
      </c>
      <c r="G23" s="195" t="s">
        <v>793</v>
      </c>
      <c r="H23" s="195" t="s">
        <v>794</v>
      </c>
      <c r="I23" s="195" t="s">
        <v>795</v>
      </c>
      <c r="J23" s="194" t="s">
        <v>637</v>
      </c>
      <c r="K23" s="194" t="s">
        <v>241</v>
      </c>
      <c r="L23" s="194" t="s">
        <v>638</v>
      </c>
      <c r="M23" s="194"/>
      <c r="N23" s="196" t="s">
        <v>639</v>
      </c>
      <c r="O23" s="196"/>
      <c r="P23" s="196" t="s">
        <v>24</v>
      </c>
      <c r="Q23" s="196" t="s">
        <v>640</v>
      </c>
      <c r="R23" s="196"/>
      <c r="S23" s="196" t="s">
        <v>639</v>
      </c>
      <c r="T23" s="196"/>
      <c r="U23" s="196" t="s">
        <v>26</v>
      </c>
      <c r="V23" s="196" t="s">
        <v>640</v>
      </c>
      <c r="W23" s="196"/>
      <c r="X23" s="196" t="s">
        <v>639</v>
      </c>
      <c r="Y23" s="196"/>
      <c r="Z23" s="196" t="s">
        <v>22</v>
      </c>
      <c r="AA23" s="196" t="s">
        <v>640</v>
      </c>
      <c r="AB23" s="197"/>
      <c r="AC23" s="197"/>
      <c r="AD23" s="197"/>
      <c r="AE23" s="197"/>
      <c r="AF23" s="197"/>
      <c r="AG23" s="197"/>
      <c r="AH23" s="197"/>
      <c r="AI23" s="197"/>
      <c r="AJ23" s="197"/>
      <c r="AK23" s="197"/>
      <c r="AL23" s="197"/>
      <c r="AM23" s="198" t="str">
        <f aca="false">IF($A23="","",IF(OR($N23="Yes",$S23="Yes",$X23="Yes",$AC23="Yes",$AH23="Yes"),"Yes","No"))</f>
        <v>Yes</v>
      </c>
      <c r="AN23" s="198" t="str">
        <f aca="false">IF($A23="","",IFERROR(IF($AI23&lt;&gt;"",$AI23,IF($AD23&lt;&gt;"",$AD23,IF($Y23&lt;&gt;"",$Y23,IF($T23&lt;&gt;"",$T23,IF($O23&lt;&gt;"",$O23,""))))),""))</f>
        <v/>
      </c>
      <c r="AO23" s="198" t="str">
        <f aca="false">IFERROR(IF($AJ23&lt;&gt;"",$AJ23,IF($AE23&lt;&gt;"",$AE23,IF($Z23&lt;&gt;"",$Z23,IF($U23&lt;&gt;"",$U23,IF($P23&lt;&gt;"",$P23,""))))),"")</f>
        <v>Pass</v>
      </c>
      <c r="AP23" s="199" t="s">
        <v>796</v>
      </c>
    </row>
    <row r="24" customFormat="false" ht="60" hidden="false" customHeight="true" outlineLevel="0" collapsed="false">
      <c r="A24" s="194" t="str">
        <f aca="false">IF(C24="","",$C$2&amp;"."&amp;COUNTA($C$8:C24)&amp;"")</f>
        <v>TC_02.12</v>
      </c>
      <c r="B24" s="194" t="s">
        <v>505</v>
      </c>
      <c r="C24" s="194" t="s">
        <v>797</v>
      </c>
      <c r="D24" s="194" t="s">
        <v>40</v>
      </c>
      <c r="E24" s="194" t="s">
        <v>158</v>
      </c>
      <c r="F24" s="195" t="s">
        <v>798</v>
      </c>
      <c r="G24" s="195" t="s">
        <v>799</v>
      </c>
      <c r="H24" s="195" t="s">
        <v>800</v>
      </c>
      <c r="I24" s="195" t="s">
        <v>801</v>
      </c>
      <c r="J24" s="194" t="s">
        <v>637</v>
      </c>
      <c r="K24" s="194" t="s">
        <v>241</v>
      </c>
      <c r="L24" s="194" t="s">
        <v>638</v>
      </c>
      <c r="M24" s="194"/>
      <c r="N24" s="196" t="s">
        <v>639</v>
      </c>
      <c r="O24" s="196"/>
      <c r="P24" s="196" t="s">
        <v>26</v>
      </c>
      <c r="Q24" s="196" t="s">
        <v>640</v>
      </c>
      <c r="R24" s="196"/>
      <c r="S24" s="196" t="s">
        <v>639</v>
      </c>
      <c r="T24" s="196"/>
      <c r="U24" s="196" t="s">
        <v>22</v>
      </c>
      <c r="V24" s="196" t="s">
        <v>640</v>
      </c>
      <c r="W24" s="196"/>
      <c r="X24" s="196"/>
      <c r="Y24" s="196"/>
      <c r="Z24" s="196"/>
      <c r="AA24" s="196"/>
      <c r="AB24" s="197"/>
      <c r="AC24" s="197"/>
      <c r="AD24" s="197"/>
      <c r="AE24" s="197"/>
      <c r="AF24" s="197"/>
      <c r="AG24" s="197"/>
      <c r="AH24" s="197"/>
      <c r="AI24" s="197"/>
      <c r="AJ24" s="197"/>
      <c r="AK24" s="197"/>
      <c r="AL24" s="197"/>
      <c r="AM24" s="198" t="str">
        <f aca="false">IF($A24="","",IF(OR($N24="Yes",$S24="Yes",$X24="Yes",$AC24="Yes",$AH24="Yes"),"Yes","No"))</f>
        <v>Yes</v>
      </c>
      <c r="AN24" s="198" t="str">
        <f aca="false">IF($A24="","",IFERROR(IF($AI24&lt;&gt;"",$AI24,IF($AD24&lt;&gt;"",$AD24,IF($Y24&lt;&gt;"",$Y24,IF($T24&lt;&gt;"",$T24,IF($O24&lt;&gt;"",$O24,""))))),""))</f>
        <v/>
      </c>
      <c r="AO24" s="198" t="str">
        <f aca="false">IFERROR(IF($AJ24&lt;&gt;"",$AJ24,IF($AE24&lt;&gt;"",$AE24,IF($Z24&lt;&gt;"",$Z24,IF($U24&lt;&gt;"",$U24,IF($P24&lt;&gt;"",$P24,""))))),"")</f>
        <v>Pass</v>
      </c>
      <c r="AP24" s="199" t="s">
        <v>802</v>
      </c>
    </row>
    <row r="25" customFormat="false" ht="15.75" hidden="false" customHeight="true" outlineLevel="0" collapsed="false">
      <c r="A25" s="194" t="str">
        <f aca="false">IF(C25="","",$C$2&amp;"."&amp;COUNTA($C$8:C25)&amp;"")</f>
        <v>TC_02.13</v>
      </c>
      <c r="B25" s="194" t="s">
        <v>505</v>
      </c>
      <c r="C25" s="194" t="s">
        <v>803</v>
      </c>
      <c r="D25" s="194" t="s">
        <v>40</v>
      </c>
      <c r="E25" s="194" t="s">
        <v>158</v>
      </c>
      <c r="F25" s="195" t="s">
        <v>804</v>
      </c>
      <c r="G25" s="195" t="s">
        <v>805</v>
      </c>
      <c r="H25" s="195" t="s">
        <v>806</v>
      </c>
      <c r="I25" s="195" t="s">
        <v>807</v>
      </c>
      <c r="J25" s="194" t="s">
        <v>637</v>
      </c>
      <c r="K25" s="194" t="s">
        <v>241</v>
      </c>
      <c r="L25" s="194" t="s">
        <v>638</v>
      </c>
      <c r="M25" s="194"/>
      <c r="N25" s="196" t="s">
        <v>639</v>
      </c>
      <c r="O25" s="196"/>
      <c r="P25" s="196" t="s">
        <v>26</v>
      </c>
      <c r="Q25" s="196" t="s">
        <v>640</v>
      </c>
      <c r="R25" s="196"/>
      <c r="S25" s="196" t="s">
        <v>639</v>
      </c>
      <c r="T25" s="196"/>
      <c r="U25" s="196" t="s">
        <v>26</v>
      </c>
      <c r="V25" s="196" t="s">
        <v>640</v>
      </c>
      <c r="W25" s="196"/>
      <c r="X25" s="196" t="s">
        <v>639</v>
      </c>
      <c r="Y25" s="196"/>
      <c r="Z25" s="196" t="s">
        <v>22</v>
      </c>
      <c r="AA25" s="196" t="s">
        <v>640</v>
      </c>
      <c r="AB25" s="197"/>
      <c r="AC25" s="197"/>
      <c r="AD25" s="197"/>
      <c r="AE25" s="197"/>
      <c r="AF25" s="197"/>
      <c r="AG25" s="197"/>
      <c r="AH25" s="197"/>
      <c r="AI25" s="197"/>
      <c r="AJ25" s="197"/>
      <c r="AK25" s="197"/>
      <c r="AL25" s="197"/>
      <c r="AM25" s="198" t="str">
        <f aca="false">IF($A25="","",IF(OR($N25="Yes",$S25="Yes",$X25="Yes",$AC25="Yes",$AH25="Yes"),"Yes","No"))</f>
        <v>Yes</v>
      </c>
      <c r="AN25" s="198" t="str">
        <f aca="false">IF($A25="","",IFERROR(IF($AI25&lt;&gt;"",$AI25,IF($AD25&lt;&gt;"",$AD25,IF($Y25&lt;&gt;"",$Y25,IF($T25&lt;&gt;"",$T25,IF($O25&lt;&gt;"",$O25,""))))),""))</f>
        <v/>
      </c>
      <c r="AO25" s="198" t="str">
        <f aca="false">IFERROR(IF($AJ25&lt;&gt;"",$AJ25,IF($AE25&lt;&gt;"",$AE25,IF($Z25&lt;&gt;"",$Z25,IF($U25&lt;&gt;"",$U25,IF($P25&lt;&gt;"",$P25,""))))),"")</f>
        <v>Pass</v>
      </c>
      <c r="AP25" s="199" t="s">
        <v>808</v>
      </c>
    </row>
    <row r="26" customFormat="false" ht="60" hidden="false" customHeight="true" outlineLevel="0" collapsed="false">
      <c r="A26" s="194" t="str">
        <f aca="false">IF(C26="","",$C$2&amp;"."&amp;COUNTA($C$8:C26)&amp;"")</f>
        <v>TC_02.14</v>
      </c>
      <c r="B26" s="194" t="s">
        <v>505</v>
      </c>
      <c r="C26" s="194" t="s">
        <v>803</v>
      </c>
      <c r="D26" s="194" t="s">
        <v>42</v>
      </c>
      <c r="E26" s="194" t="s">
        <v>158</v>
      </c>
      <c r="F26" s="195" t="s">
        <v>809</v>
      </c>
      <c r="G26" s="195" t="s">
        <v>810</v>
      </c>
      <c r="H26" s="195" t="s">
        <v>811</v>
      </c>
      <c r="I26" s="195" t="s">
        <v>812</v>
      </c>
      <c r="J26" s="194" t="s">
        <v>637</v>
      </c>
      <c r="K26" s="194" t="s">
        <v>241</v>
      </c>
      <c r="L26" s="194" t="s">
        <v>638</v>
      </c>
      <c r="M26" s="194"/>
      <c r="N26" s="196" t="s">
        <v>639</v>
      </c>
      <c r="O26" s="196"/>
      <c r="P26" s="196" t="s">
        <v>26</v>
      </c>
      <c r="Q26" s="196" t="s">
        <v>640</v>
      </c>
      <c r="R26" s="196"/>
      <c r="S26" s="196" t="s">
        <v>639</v>
      </c>
      <c r="T26" s="196"/>
      <c r="U26" s="196" t="s">
        <v>26</v>
      </c>
      <c r="V26" s="196" t="s">
        <v>640</v>
      </c>
      <c r="W26" s="196"/>
      <c r="X26" s="196" t="s">
        <v>639</v>
      </c>
      <c r="Y26" s="196"/>
      <c r="Z26" s="196" t="s">
        <v>26</v>
      </c>
      <c r="AA26" s="196" t="s">
        <v>640</v>
      </c>
      <c r="AB26" s="197"/>
      <c r="AC26" s="197"/>
      <c r="AD26" s="197"/>
      <c r="AE26" s="197"/>
      <c r="AF26" s="197"/>
      <c r="AG26" s="197"/>
      <c r="AH26" s="197"/>
      <c r="AI26" s="197"/>
      <c r="AJ26" s="197"/>
      <c r="AK26" s="197"/>
      <c r="AL26" s="197"/>
      <c r="AM26" s="198" t="str">
        <f aca="false">IF($A26="","",IF(OR($N26="Yes",$S26="Yes",$X26="Yes",$AC26="Yes",$AH26="Yes"),"Yes","No"))</f>
        <v>Yes</v>
      </c>
      <c r="AN26" s="198" t="str">
        <f aca="false">IF($A26="","",IFERROR(IF($AI26&lt;&gt;"",$AI26,IF($AD26&lt;&gt;"",$AD26,IF($Y26&lt;&gt;"",$Y26,IF($T26&lt;&gt;"",$T26,IF($O26&lt;&gt;"",$O26,""))))),""))</f>
        <v/>
      </c>
      <c r="AO26" s="198" t="str">
        <f aca="false">IFERROR(IF($AJ26&lt;&gt;"",$AJ26,IF($AE26&lt;&gt;"",$AE26,IF($Z26&lt;&gt;"",$Z26,IF($U26&lt;&gt;"",$U26,IF($P26&lt;&gt;"",$P26,""))))),"")</f>
        <v>Block</v>
      </c>
      <c r="AP26" s="199" t="s">
        <v>813</v>
      </c>
    </row>
    <row r="27" customFormat="false" ht="60" hidden="false" customHeight="true" outlineLevel="0" collapsed="false">
      <c r="A27" s="194" t="str">
        <f aca="false">IF(C27="","",$C$2&amp;"."&amp;COUNTA($C$8:C27)&amp;"")</f>
        <v>TC_02.15</v>
      </c>
      <c r="B27" s="194" t="s">
        <v>505</v>
      </c>
      <c r="C27" s="194" t="s">
        <v>803</v>
      </c>
      <c r="D27" s="194" t="s">
        <v>42</v>
      </c>
      <c r="E27" s="194" t="s">
        <v>158</v>
      </c>
      <c r="F27" s="195" t="s">
        <v>814</v>
      </c>
      <c r="G27" s="195" t="s">
        <v>815</v>
      </c>
      <c r="H27" s="195" t="s">
        <v>816</v>
      </c>
      <c r="I27" s="195" t="s">
        <v>817</v>
      </c>
      <c r="J27" s="194" t="s">
        <v>637</v>
      </c>
      <c r="K27" s="194" t="s">
        <v>241</v>
      </c>
      <c r="L27" s="194" t="s">
        <v>638</v>
      </c>
      <c r="M27" s="194"/>
      <c r="N27" s="196" t="s">
        <v>639</v>
      </c>
      <c r="O27" s="196"/>
      <c r="P27" s="196" t="s">
        <v>22</v>
      </c>
      <c r="Q27" s="196" t="s">
        <v>640</v>
      </c>
      <c r="R27" s="196"/>
      <c r="S27" s="196" t="s">
        <v>639</v>
      </c>
      <c r="T27" s="196"/>
      <c r="U27" s="196" t="s">
        <v>22</v>
      </c>
      <c r="V27" s="196" t="s">
        <v>640</v>
      </c>
      <c r="W27" s="196"/>
      <c r="X27" s="196"/>
      <c r="Y27" s="196"/>
      <c r="Z27" s="196"/>
      <c r="AA27" s="196"/>
      <c r="AB27" s="197"/>
      <c r="AC27" s="197"/>
      <c r="AD27" s="197"/>
      <c r="AE27" s="197"/>
      <c r="AF27" s="197"/>
      <c r="AG27" s="197"/>
      <c r="AH27" s="197"/>
      <c r="AI27" s="197"/>
      <c r="AJ27" s="197"/>
      <c r="AK27" s="197"/>
      <c r="AL27" s="197"/>
      <c r="AM27" s="198" t="str">
        <f aca="false">IF($A27="","",IF(OR($N27="Yes",$S27="Yes",$X27="Yes",$AC27="Yes",$AH27="Yes"),"Yes","No"))</f>
        <v>Yes</v>
      </c>
      <c r="AN27" s="198" t="str">
        <f aca="false">IF($A27="","",IFERROR(IF($AI27&lt;&gt;"",$AI27,IF($AD27&lt;&gt;"",$AD27,IF($Y27&lt;&gt;"",$Y27,IF($T27&lt;&gt;"",$T27,IF($O27&lt;&gt;"",$O27,""))))),""))</f>
        <v/>
      </c>
      <c r="AO27" s="198" t="str">
        <f aca="false">IFERROR(IF($AJ27&lt;&gt;"",$AJ27,IF($AE27&lt;&gt;"",$AE27,IF($Z27&lt;&gt;"",$Z27,IF($U27&lt;&gt;"",$U27,IF($P27&lt;&gt;"",$P27,""))))),"")</f>
        <v>Pass</v>
      </c>
      <c r="AP27" s="199"/>
    </row>
    <row r="28" customFormat="false" ht="60" hidden="false" customHeight="true" outlineLevel="0" collapsed="false">
      <c r="A28" s="194" t="str">
        <f aca="false">IF(C28="","",$C$2&amp;"."&amp;COUNTA($C$8:C28)&amp;"")</f>
        <v>TC_02.16</v>
      </c>
      <c r="B28" s="194" t="s">
        <v>505</v>
      </c>
      <c r="C28" s="194" t="s">
        <v>803</v>
      </c>
      <c r="D28" s="194" t="s">
        <v>42</v>
      </c>
      <c r="E28" s="194" t="s">
        <v>157</v>
      </c>
      <c r="F28" s="195" t="s">
        <v>818</v>
      </c>
      <c r="G28" s="195" t="s">
        <v>819</v>
      </c>
      <c r="H28" s="195" t="s">
        <v>820</v>
      </c>
      <c r="I28" s="195" t="s">
        <v>821</v>
      </c>
      <c r="J28" s="194" t="s">
        <v>637</v>
      </c>
      <c r="K28" s="194" t="s">
        <v>241</v>
      </c>
      <c r="L28" s="194" t="s">
        <v>638</v>
      </c>
      <c r="M28" s="194"/>
      <c r="N28" s="196" t="s">
        <v>639</v>
      </c>
      <c r="O28" s="196"/>
      <c r="P28" s="196" t="s">
        <v>26</v>
      </c>
      <c r="Q28" s="196" t="s">
        <v>640</v>
      </c>
      <c r="R28" s="196"/>
      <c r="S28" s="196" t="s">
        <v>639</v>
      </c>
      <c r="T28" s="196"/>
      <c r="U28" s="196" t="s">
        <v>22</v>
      </c>
      <c r="V28" s="196" t="s">
        <v>640</v>
      </c>
      <c r="W28" s="196"/>
      <c r="X28" s="196"/>
      <c r="Y28" s="196"/>
      <c r="Z28" s="196"/>
      <c r="AA28" s="196"/>
      <c r="AB28" s="197"/>
      <c r="AC28" s="197"/>
      <c r="AD28" s="197"/>
      <c r="AE28" s="197"/>
      <c r="AF28" s="197"/>
      <c r="AG28" s="197"/>
      <c r="AH28" s="197"/>
      <c r="AI28" s="197"/>
      <c r="AJ28" s="197"/>
      <c r="AK28" s="197"/>
      <c r="AL28" s="197"/>
      <c r="AM28" s="198" t="str">
        <f aca="false">IF($A28="","",IF(OR($N28="Yes",$S28="Yes",$X28="Yes",$AC28="Yes",$AH28="Yes"),"Yes","No"))</f>
        <v>Yes</v>
      </c>
      <c r="AN28" s="198" t="str">
        <f aca="false">IF($A28="","",IFERROR(IF($AI28&lt;&gt;"",$AI28,IF($AD28&lt;&gt;"",$AD28,IF($Y28&lt;&gt;"",$Y28,IF($T28&lt;&gt;"",$T28,IF($O28&lt;&gt;"",$O28,""))))),""))</f>
        <v/>
      </c>
      <c r="AO28" s="198" t="str">
        <f aca="false">IFERROR(IF($AJ28&lt;&gt;"",$AJ28,IF($AE28&lt;&gt;"",$AE28,IF($Z28&lt;&gt;"",$Z28,IF($U28&lt;&gt;"",$U28,IF($P28&lt;&gt;"",$P28,""))))),"")</f>
        <v>Pass</v>
      </c>
      <c r="AP28" s="199" t="s">
        <v>822</v>
      </c>
    </row>
    <row r="29" customFormat="false" ht="60" hidden="false" customHeight="true" outlineLevel="0" collapsed="false">
      <c r="A29" s="194" t="str">
        <f aca="false">IF(C29="","",$C$2&amp;"."&amp;COUNTA($C$8:C29)&amp;"")</f>
        <v>TC_02.17</v>
      </c>
      <c r="B29" s="194" t="s">
        <v>505</v>
      </c>
      <c r="C29" s="194" t="s">
        <v>803</v>
      </c>
      <c r="D29" s="194" t="s">
        <v>40</v>
      </c>
      <c r="E29" s="194" t="s">
        <v>157</v>
      </c>
      <c r="F29" s="195" t="s">
        <v>823</v>
      </c>
      <c r="G29" s="195" t="s">
        <v>824</v>
      </c>
      <c r="H29" s="195" t="s">
        <v>825</v>
      </c>
      <c r="I29" s="195" t="s">
        <v>826</v>
      </c>
      <c r="J29" s="194" t="s">
        <v>637</v>
      </c>
      <c r="K29" s="194" t="s">
        <v>241</v>
      </c>
      <c r="L29" s="194" t="s">
        <v>638</v>
      </c>
      <c r="M29" s="194"/>
      <c r="N29" s="196" t="s">
        <v>639</v>
      </c>
      <c r="O29" s="196"/>
      <c r="P29" s="196" t="s">
        <v>26</v>
      </c>
      <c r="Q29" s="196" t="s">
        <v>640</v>
      </c>
      <c r="R29" s="196"/>
      <c r="S29" s="196" t="s">
        <v>639</v>
      </c>
      <c r="T29" s="196"/>
      <c r="U29" s="196" t="s">
        <v>26</v>
      </c>
      <c r="V29" s="196" t="s">
        <v>640</v>
      </c>
      <c r="W29" s="196"/>
      <c r="X29" s="196" t="s">
        <v>639</v>
      </c>
      <c r="Y29" s="196"/>
      <c r="Z29" s="196" t="s">
        <v>22</v>
      </c>
      <c r="AA29" s="196" t="s">
        <v>640</v>
      </c>
      <c r="AB29" s="197"/>
      <c r="AC29" s="197"/>
      <c r="AD29" s="197"/>
      <c r="AE29" s="197"/>
      <c r="AF29" s="197"/>
      <c r="AG29" s="197"/>
      <c r="AH29" s="197"/>
      <c r="AI29" s="197"/>
      <c r="AJ29" s="197"/>
      <c r="AK29" s="197"/>
      <c r="AL29" s="197"/>
      <c r="AM29" s="198" t="str">
        <f aca="false">IF($A29="","",IF(OR($N29="Yes",$S29="Yes",$X29="Yes",$AC29="Yes",$AH29="Yes"),"Yes","No"))</f>
        <v>Yes</v>
      </c>
      <c r="AN29" s="198" t="str">
        <f aca="false">IF($A29="","",IFERROR(IF($AI29&lt;&gt;"",$AI29,IF($AD29&lt;&gt;"",$AD29,IF($Y29&lt;&gt;"",$Y29,IF($T29&lt;&gt;"",$T29,IF($O29&lt;&gt;"",$O29,""))))),""))</f>
        <v/>
      </c>
      <c r="AO29" s="198" t="str">
        <f aca="false">IFERROR(IF($AJ29&lt;&gt;"",$AJ29,IF($AE29&lt;&gt;"",$AE29,IF($Z29&lt;&gt;"",$Z29,IF($U29&lt;&gt;"",$U29,IF($P29&lt;&gt;"",$P29,""))))),"")</f>
        <v>Pass</v>
      </c>
      <c r="AP29" s="199" t="s">
        <v>827</v>
      </c>
    </row>
    <row r="30" customFormat="false" ht="15" hidden="false" customHeight="true" outlineLevel="0" collapsed="false">
      <c r="A30" s="194"/>
      <c r="B30" s="194"/>
      <c r="C30" s="194"/>
      <c r="D30" s="194"/>
      <c r="E30" s="194"/>
      <c r="F30" s="195"/>
      <c r="G30" s="195"/>
      <c r="H30" s="195"/>
      <c r="I30" s="195"/>
      <c r="J30" s="194"/>
      <c r="K30" s="194"/>
      <c r="L30" s="194"/>
      <c r="M30" s="194"/>
      <c r="N30" s="196"/>
      <c r="O30" s="196"/>
      <c r="P30" s="196"/>
      <c r="Q30" s="196"/>
      <c r="R30" s="196"/>
      <c r="S30" s="196"/>
      <c r="T30" s="196"/>
      <c r="U30" s="196"/>
      <c r="V30" s="196"/>
      <c r="W30" s="196"/>
      <c r="X30" s="196"/>
      <c r="Y30" s="196"/>
      <c r="Z30" s="196"/>
      <c r="AA30" s="196"/>
      <c r="AB30" s="197"/>
      <c r="AC30" s="197"/>
      <c r="AD30" s="197"/>
      <c r="AE30" s="197"/>
      <c r="AF30" s="197"/>
      <c r="AG30" s="197"/>
      <c r="AH30" s="197"/>
      <c r="AI30" s="197"/>
      <c r="AJ30" s="197"/>
      <c r="AK30" s="197"/>
      <c r="AL30" s="197"/>
      <c r="AM30" s="198"/>
      <c r="AN30" s="198"/>
      <c r="AO30" s="198"/>
      <c r="AP30" s="199"/>
    </row>
    <row r="31" customFormat="false" ht="15" hidden="false" customHeight="true" outlineLevel="0" collapsed="false">
      <c r="A31" s="194"/>
      <c r="B31" s="194"/>
      <c r="C31" s="194"/>
      <c r="D31" s="194"/>
      <c r="E31" s="194"/>
      <c r="F31" s="195"/>
      <c r="G31" s="195"/>
      <c r="H31" s="195"/>
      <c r="I31" s="195"/>
      <c r="J31" s="194"/>
      <c r="K31" s="194"/>
      <c r="L31" s="194"/>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c r="AN31" s="198"/>
      <c r="AO31" s="198"/>
      <c r="AP31" s="199"/>
    </row>
    <row r="32" customFormat="false" ht="15" hidden="false" customHeight="true" outlineLevel="0" collapsed="false">
      <c r="A32" s="194"/>
      <c r="B32" s="194"/>
      <c r="C32" s="194"/>
      <c r="D32" s="194"/>
      <c r="E32" s="194"/>
      <c r="F32" s="195"/>
      <c r="G32" s="195"/>
      <c r="H32" s="195"/>
      <c r="I32" s="195"/>
      <c r="J32" s="194"/>
      <c r="K32" s="194"/>
      <c r="L32" s="194"/>
      <c r="M32" s="194"/>
      <c r="N32" s="196"/>
      <c r="O32" s="196"/>
      <c r="P32" s="196"/>
      <c r="Q32" s="196"/>
      <c r="R32" s="196"/>
      <c r="S32" s="196"/>
      <c r="T32" s="196"/>
      <c r="U32" s="196"/>
      <c r="V32" s="196"/>
      <c r="W32" s="196"/>
      <c r="X32" s="196"/>
      <c r="Y32" s="196"/>
      <c r="Z32" s="196"/>
      <c r="AA32" s="196"/>
      <c r="AB32" s="197"/>
      <c r="AC32" s="197"/>
      <c r="AD32" s="197"/>
      <c r="AE32" s="197"/>
      <c r="AF32" s="197"/>
      <c r="AG32" s="197"/>
      <c r="AH32" s="197"/>
      <c r="AI32" s="197"/>
      <c r="AJ32" s="197"/>
      <c r="AK32" s="197"/>
      <c r="AL32" s="197"/>
      <c r="AM32" s="198"/>
      <c r="AN32" s="198"/>
      <c r="AO32" s="198"/>
      <c r="AP32" s="199"/>
    </row>
    <row r="33" customFormat="false" ht="15" hidden="false" customHeight="true" outlineLevel="0" collapsed="false">
      <c r="A33" s="194"/>
      <c r="B33" s="194"/>
      <c r="C33" s="194"/>
      <c r="D33" s="194"/>
      <c r="E33" s="194"/>
      <c r="F33" s="195"/>
      <c r="G33" s="195"/>
      <c r="H33" s="195"/>
      <c r="I33" s="195"/>
      <c r="J33" s="194"/>
      <c r="K33" s="194"/>
      <c r="L33" s="194"/>
      <c r="M33" s="194"/>
      <c r="N33" s="196"/>
      <c r="O33" s="196"/>
      <c r="P33" s="196"/>
      <c r="Q33" s="196"/>
      <c r="R33" s="196"/>
      <c r="S33" s="196"/>
      <c r="T33" s="196"/>
      <c r="U33" s="196"/>
      <c r="V33" s="196"/>
      <c r="W33" s="196"/>
      <c r="X33" s="196"/>
      <c r="Y33" s="196"/>
      <c r="Z33" s="196"/>
      <c r="AA33" s="196"/>
      <c r="AB33" s="197"/>
      <c r="AC33" s="197"/>
      <c r="AD33" s="197"/>
      <c r="AE33" s="197"/>
      <c r="AF33" s="197"/>
      <c r="AG33" s="197"/>
      <c r="AH33" s="197"/>
      <c r="AI33" s="197"/>
      <c r="AJ33" s="197"/>
      <c r="AK33" s="197"/>
      <c r="AL33" s="197"/>
      <c r="AM33" s="198"/>
      <c r="AN33" s="198"/>
      <c r="AO33" s="198"/>
      <c r="AP33" s="199"/>
    </row>
    <row r="34" customFormat="false" ht="15" hidden="false" customHeight="true" outlineLevel="0" collapsed="false">
      <c r="A34" s="194"/>
      <c r="B34" s="194"/>
      <c r="C34" s="194"/>
      <c r="D34" s="194"/>
      <c r="E34" s="194"/>
      <c r="F34" s="195"/>
      <c r="G34" s="195"/>
      <c r="H34" s="195"/>
      <c r="I34" s="195"/>
      <c r="J34" s="194"/>
      <c r="K34" s="194"/>
      <c r="L34" s="194"/>
      <c r="M34" s="194"/>
      <c r="N34" s="196"/>
      <c r="O34" s="196"/>
      <c r="P34" s="196"/>
      <c r="Q34" s="196"/>
      <c r="R34" s="196"/>
      <c r="S34" s="196"/>
      <c r="T34" s="196"/>
      <c r="U34" s="196"/>
      <c r="V34" s="196"/>
      <c r="W34" s="196"/>
      <c r="X34" s="196"/>
      <c r="Y34" s="196"/>
      <c r="Z34" s="196"/>
      <c r="AA34" s="196"/>
      <c r="AB34" s="197"/>
      <c r="AC34" s="197"/>
      <c r="AD34" s="197"/>
      <c r="AE34" s="197"/>
      <c r="AF34" s="197"/>
      <c r="AG34" s="197"/>
      <c r="AH34" s="197"/>
      <c r="AI34" s="197"/>
      <c r="AJ34" s="197"/>
      <c r="AK34" s="197"/>
      <c r="AL34" s="197"/>
      <c r="AM34" s="198"/>
      <c r="AN34" s="198"/>
      <c r="AO34" s="198"/>
      <c r="AP34" s="199"/>
    </row>
    <row r="35" customFormat="false" ht="15" hidden="false" customHeight="true" outlineLevel="0" collapsed="false">
      <c r="A35" s="194"/>
      <c r="B35" s="194"/>
      <c r="C35" s="194"/>
      <c r="D35" s="194"/>
      <c r="E35" s="194"/>
      <c r="F35" s="195"/>
      <c r="G35" s="195"/>
      <c r="H35" s="195"/>
      <c r="I35" s="195"/>
      <c r="J35" s="194"/>
      <c r="K35" s="194"/>
      <c r="L35" s="194"/>
      <c r="M35" s="194"/>
      <c r="N35" s="196"/>
      <c r="O35" s="196"/>
      <c r="P35" s="196"/>
      <c r="Q35" s="196"/>
      <c r="R35" s="196"/>
      <c r="S35" s="196"/>
      <c r="T35" s="196"/>
      <c r="U35" s="196"/>
      <c r="V35" s="196"/>
      <c r="W35" s="196"/>
      <c r="X35" s="196"/>
      <c r="Y35" s="196"/>
      <c r="Z35" s="196"/>
      <c r="AA35" s="196"/>
      <c r="AB35" s="197"/>
      <c r="AC35" s="197"/>
      <c r="AD35" s="197"/>
      <c r="AE35" s="197"/>
      <c r="AF35" s="197"/>
      <c r="AG35" s="197"/>
      <c r="AH35" s="197"/>
      <c r="AI35" s="197"/>
      <c r="AJ35" s="197"/>
      <c r="AK35" s="197"/>
      <c r="AL35" s="197"/>
      <c r="AM35" s="198"/>
      <c r="AN35" s="198"/>
      <c r="AO35" s="198"/>
      <c r="AP35" s="199"/>
    </row>
    <row r="36" customFormat="false" ht="15" hidden="false" customHeight="true" outlineLevel="0" collapsed="false">
      <c r="A36" s="194"/>
      <c r="B36" s="194"/>
      <c r="C36" s="194"/>
      <c r="D36" s="194"/>
      <c r="E36" s="194"/>
      <c r="F36" s="195"/>
      <c r="G36" s="195"/>
      <c r="H36" s="195"/>
      <c r="I36" s="195"/>
      <c r="J36" s="194"/>
      <c r="K36" s="194"/>
      <c r="L36" s="194"/>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c r="AN36" s="198"/>
      <c r="AO36" s="198"/>
      <c r="AP36" s="199"/>
    </row>
    <row r="37" customFormat="false" ht="15" hidden="false" customHeight="true" outlineLevel="0" collapsed="false">
      <c r="A37" s="194"/>
      <c r="B37" s="194"/>
      <c r="C37" s="194"/>
      <c r="D37" s="194"/>
      <c r="E37" s="194"/>
      <c r="F37" s="195"/>
      <c r="G37" s="195"/>
      <c r="H37" s="195"/>
      <c r="I37" s="195"/>
      <c r="J37" s="194"/>
      <c r="K37" s="194"/>
      <c r="L37" s="194"/>
      <c r="M37" s="194"/>
      <c r="N37" s="196"/>
      <c r="O37" s="196"/>
      <c r="P37" s="196"/>
      <c r="Q37" s="196"/>
      <c r="R37" s="196"/>
      <c r="S37" s="196"/>
      <c r="T37" s="196"/>
      <c r="U37" s="196"/>
      <c r="V37" s="196"/>
      <c r="W37" s="196"/>
      <c r="X37" s="196"/>
      <c r="Y37" s="196"/>
      <c r="Z37" s="196"/>
      <c r="AA37" s="196"/>
      <c r="AB37" s="197"/>
      <c r="AC37" s="197"/>
      <c r="AD37" s="197"/>
      <c r="AE37" s="197"/>
      <c r="AF37" s="197"/>
      <c r="AG37" s="197"/>
      <c r="AH37" s="197"/>
      <c r="AI37" s="197"/>
      <c r="AJ37" s="197"/>
      <c r="AK37" s="197"/>
      <c r="AL37" s="197"/>
      <c r="AM37" s="198"/>
      <c r="AN37" s="198"/>
      <c r="AO37" s="198"/>
      <c r="AP37" s="199"/>
    </row>
    <row r="38" customFormat="false" ht="15" hidden="false" customHeight="true" outlineLevel="0" collapsed="false">
      <c r="A38" s="194"/>
      <c r="B38" s="194"/>
      <c r="C38" s="194"/>
      <c r="D38" s="194"/>
      <c r="E38" s="194"/>
      <c r="F38" s="195"/>
      <c r="G38" s="195"/>
      <c r="H38" s="195"/>
      <c r="I38" s="195"/>
      <c r="J38" s="194"/>
      <c r="K38" s="194"/>
      <c r="L38" s="194"/>
      <c r="M38" s="194"/>
      <c r="N38" s="196"/>
      <c r="O38" s="196"/>
      <c r="P38" s="196"/>
      <c r="Q38" s="196"/>
      <c r="R38" s="196"/>
      <c r="S38" s="196"/>
      <c r="T38" s="196"/>
      <c r="U38" s="196"/>
      <c r="V38" s="196"/>
      <c r="W38" s="196"/>
      <c r="X38" s="196"/>
      <c r="Y38" s="196"/>
      <c r="Z38" s="196"/>
      <c r="AA38" s="196"/>
      <c r="AB38" s="197"/>
      <c r="AC38" s="197"/>
      <c r="AD38" s="197"/>
      <c r="AE38" s="197"/>
      <c r="AF38" s="197"/>
      <c r="AG38" s="197"/>
      <c r="AH38" s="197"/>
      <c r="AI38" s="197"/>
      <c r="AJ38" s="197"/>
      <c r="AK38" s="197"/>
      <c r="AL38" s="197"/>
      <c r="AM38" s="198"/>
      <c r="AN38" s="198"/>
      <c r="AO38" s="198"/>
      <c r="AP38" s="199"/>
    </row>
    <row r="39" customFormat="false" ht="15" hidden="false" customHeight="true" outlineLevel="0" collapsed="false">
      <c r="A39" s="194"/>
      <c r="B39" s="194"/>
      <c r="C39" s="194"/>
      <c r="D39" s="194"/>
      <c r="E39" s="194"/>
      <c r="F39" s="195"/>
      <c r="G39" s="195"/>
      <c r="H39" s="195"/>
      <c r="I39" s="195"/>
      <c r="J39" s="194"/>
      <c r="K39" s="194"/>
      <c r="L39" s="194"/>
      <c r="M39" s="194"/>
      <c r="N39" s="196"/>
      <c r="O39" s="196"/>
      <c r="P39" s="196"/>
      <c r="Q39" s="196"/>
      <c r="R39" s="196"/>
      <c r="S39" s="196"/>
      <c r="T39" s="196"/>
      <c r="U39" s="196"/>
      <c r="V39" s="196"/>
      <c r="W39" s="196"/>
      <c r="X39" s="196"/>
      <c r="Y39" s="196"/>
      <c r="Z39" s="196"/>
      <c r="AA39" s="196"/>
      <c r="AB39" s="197"/>
      <c r="AC39" s="197"/>
      <c r="AD39" s="197"/>
      <c r="AE39" s="197"/>
      <c r="AF39" s="197"/>
      <c r="AG39" s="197"/>
      <c r="AH39" s="197"/>
      <c r="AI39" s="197"/>
      <c r="AJ39" s="197"/>
      <c r="AK39" s="197"/>
      <c r="AL39" s="197"/>
      <c r="AM39" s="198"/>
      <c r="AN39" s="198"/>
      <c r="AO39" s="198"/>
      <c r="AP39" s="199"/>
    </row>
    <row r="40" customFormat="false" ht="15" hidden="false" customHeight="true" outlineLevel="0" collapsed="false">
      <c r="A40" s="194"/>
      <c r="B40" s="194"/>
      <c r="C40" s="194"/>
      <c r="D40" s="194"/>
      <c r="E40" s="194"/>
      <c r="F40" s="195"/>
      <c r="G40" s="195"/>
      <c r="H40" s="195"/>
      <c r="I40" s="195"/>
      <c r="J40" s="194"/>
      <c r="K40" s="194"/>
      <c r="L40" s="194"/>
      <c r="M40" s="194"/>
      <c r="N40" s="196"/>
      <c r="O40" s="196"/>
      <c r="P40" s="196"/>
      <c r="Q40" s="196"/>
      <c r="R40" s="196"/>
      <c r="S40" s="196"/>
      <c r="T40" s="196"/>
      <c r="U40" s="196"/>
      <c r="V40" s="196"/>
      <c r="W40" s="196"/>
      <c r="X40" s="196"/>
      <c r="Y40" s="196"/>
      <c r="Z40" s="196"/>
      <c r="AA40" s="196"/>
      <c r="AB40" s="197"/>
      <c r="AC40" s="197"/>
      <c r="AD40" s="197"/>
      <c r="AE40" s="197"/>
      <c r="AF40" s="197"/>
      <c r="AG40" s="197"/>
      <c r="AH40" s="197"/>
      <c r="AI40" s="197"/>
      <c r="AJ40" s="197"/>
      <c r="AK40" s="197"/>
      <c r="AL40" s="197"/>
      <c r="AM40" s="198"/>
      <c r="AN40" s="198"/>
      <c r="AO40" s="198"/>
      <c r="AP40" s="199"/>
    </row>
    <row r="41" customFormat="false" ht="15" hidden="false" customHeight="true" outlineLevel="0" collapsed="false">
      <c r="A41" s="194"/>
      <c r="B41" s="194"/>
      <c r="C41" s="194"/>
      <c r="D41" s="194"/>
      <c r="E41" s="194"/>
      <c r="F41" s="195"/>
      <c r="G41" s="195"/>
      <c r="H41" s="195"/>
      <c r="I41" s="195"/>
      <c r="J41" s="194"/>
      <c r="K41" s="194"/>
      <c r="L41" s="194"/>
      <c r="M41" s="194"/>
      <c r="N41" s="196"/>
      <c r="O41" s="196"/>
      <c r="P41" s="196"/>
      <c r="Q41" s="196"/>
      <c r="R41" s="196"/>
      <c r="S41" s="196"/>
      <c r="T41" s="196"/>
      <c r="U41" s="196"/>
      <c r="V41" s="196"/>
      <c r="W41" s="196"/>
      <c r="X41" s="196"/>
      <c r="Y41" s="196"/>
      <c r="Z41" s="196"/>
      <c r="AA41" s="196"/>
      <c r="AB41" s="197"/>
      <c r="AC41" s="197"/>
      <c r="AD41" s="197"/>
      <c r="AE41" s="197"/>
      <c r="AF41" s="197"/>
      <c r="AG41" s="197"/>
      <c r="AH41" s="197"/>
      <c r="AI41" s="197"/>
      <c r="AJ41" s="197"/>
      <c r="AK41" s="197"/>
      <c r="AL41" s="197"/>
      <c r="AM41" s="198"/>
      <c r="AN41" s="198"/>
      <c r="AO41" s="198"/>
      <c r="AP41" s="199"/>
    </row>
    <row r="42" customFormat="false" ht="15" hidden="false" customHeight="true" outlineLevel="0" collapsed="false">
      <c r="A42" s="194"/>
      <c r="B42" s="194"/>
      <c r="C42" s="194"/>
      <c r="D42" s="194"/>
      <c r="E42" s="194"/>
      <c r="F42" s="195"/>
      <c r="G42" s="195"/>
      <c r="H42" s="195"/>
      <c r="I42" s="195"/>
      <c r="J42" s="194"/>
      <c r="K42" s="194"/>
      <c r="L42" s="194"/>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c r="AN42" s="198"/>
      <c r="AO42" s="198"/>
      <c r="AP42" s="199"/>
    </row>
    <row r="43" customFormat="false" ht="15" hidden="false" customHeight="true" outlineLevel="0" collapsed="false">
      <c r="A43" s="194"/>
      <c r="B43" s="194"/>
      <c r="C43" s="194"/>
      <c r="D43" s="194"/>
      <c r="E43" s="194"/>
      <c r="F43" s="195"/>
      <c r="G43" s="195"/>
      <c r="H43" s="195"/>
      <c r="I43" s="195"/>
      <c r="J43" s="194"/>
      <c r="K43" s="194"/>
      <c r="L43" s="194"/>
      <c r="M43" s="194"/>
      <c r="N43" s="196"/>
      <c r="O43" s="196"/>
      <c r="P43" s="196"/>
      <c r="Q43" s="196"/>
      <c r="R43" s="196"/>
      <c r="S43" s="196"/>
      <c r="T43" s="196"/>
      <c r="U43" s="196"/>
      <c r="V43" s="196"/>
      <c r="W43" s="196"/>
      <c r="X43" s="196"/>
      <c r="Y43" s="196"/>
      <c r="Z43" s="196"/>
      <c r="AA43" s="196"/>
      <c r="AB43" s="197"/>
      <c r="AC43" s="197"/>
      <c r="AD43" s="197"/>
      <c r="AE43" s="197"/>
      <c r="AF43" s="197"/>
      <c r="AG43" s="197"/>
      <c r="AH43" s="197"/>
      <c r="AI43" s="197"/>
      <c r="AJ43" s="197"/>
      <c r="AK43" s="197"/>
      <c r="AL43" s="197"/>
      <c r="AM43" s="198"/>
      <c r="AN43" s="198"/>
      <c r="AO43" s="198"/>
      <c r="AP43" s="199"/>
    </row>
    <row r="44" customFormat="false" ht="15" hidden="false" customHeight="true" outlineLevel="0" collapsed="false">
      <c r="A44" s="194"/>
      <c r="B44" s="194"/>
      <c r="C44" s="194"/>
      <c r="D44" s="194"/>
      <c r="E44" s="194"/>
      <c r="F44" s="195"/>
      <c r="G44" s="195"/>
      <c r="H44" s="195"/>
      <c r="I44" s="195"/>
      <c r="J44" s="194"/>
      <c r="K44" s="194"/>
      <c r="L44" s="194"/>
      <c r="M44" s="194"/>
      <c r="N44" s="196"/>
      <c r="O44" s="196"/>
      <c r="P44" s="196"/>
      <c r="Q44" s="196"/>
      <c r="R44" s="196"/>
      <c r="S44" s="196"/>
      <c r="T44" s="196"/>
      <c r="U44" s="196"/>
      <c r="V44" s="196"/>
      <c r="W44" s="196"/>
      <c r="X44" s="196"/>
      <c r="Y44" s="196"/>
      <c r="Z44" s="196"/>
      <c r="AA44" s="196"/>
      <c r="AB44" s="197"/>
      <c r="AC44" s="197"/>
      <c r="AD44" s="197"/>
      <c r="AE44" s="197"/>
      <c r="AF44" s="197"/>
      <c r="AG44" s="197"/>
      <c r="AH44" s="197"/>
      <c r="AI44" s="197"/>
      <c r="AJ44" s="197"/>
      <c r="AK44" s="197"/>
      <c r="AL44" s="197"/>
      <c r="AM44" s="198"/>
      <c r="AN44" s="198"/>
      <c r="AO44" s="198"/>
      <c r="AP44" s="199"/>
    </row>
    <row r="45" customFormat="false" ht="15" hidden="false" customHeight="true" outlineLevel="0" collapsed="false">
      <c r="A45" s="194"/>
      <c r="B45" s="194"/>
      <c r="C45" s="194"/>
      <c r="D45" s="194"/>
      <c r="E45" s="194"/>
      <c r="F45" s="195"/>
      <c r="G45" s="195"/>
      <c r="H45" s="195"/>
      <c r="I45" s="195"/>
      <c r="J45" s="194"/>
      <c r="K45" s="194"/>
      <c r="L45" s="194"/>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c r="AN45" s="198"/>
      <c r="AO45" s="198"/>
      <c r="AP45" s="199"/>
    </row>
    <row r="46" customFormat="false" ht="15" hidden="false" customHeight="true" outlineLevel="0" collapsed="false">
      <c r="A46" s="194"/>
      <c r="B46" s="194"/>
      <c r="C46" s="194"/>
      <c r="D46" s="194"/>
      <c r="E46" s="194"/>
      <c r="F46" s="195"/>
      <c r="G46" s="195"/>
      <c r="H46" s="195"/>
      <c r="I46" s="195"/>
      <c r="J46" s="194"/>
      <c r="K46" s="194"/>
      <c r="L46" s="194"/>
      <c r="M46" s="194"/>
      <c r="N46" s="196"/>
      <c r="O46" s="196"/>
      <c r="P46" s="196"/>
      <c r="Q46" s="196"/>
      <c r="R46" s="196"/>
      <c r="S46" s="196"/>
      <c r="T46" s="196"/>
      <c r="U46" s="196"/>
      <c r="V46" s="196"/>
      <c r="W46" s="196"/>
      <c r="X46" s="196"/>
      <c r="Y46" s="196"/>
      <c r="Z46" s="196"/>
      <c r="AA46" s="196"/>
      <c r="AB46" s="197"/>
      <c r="AC46" s="197"/>
      <c r="AD46" s="197"/>
      <c r="AE46" s="197"/>
      <c r="AF46" s="197"/>
      <c r="AG46" s="197"/>
      <c r="AH46" s="197"/>
      <c r="AI46" s="197"/>
      <c r="AJ46" s="197"/>
      <c r="AK46" s="197"/>
      <c r="AL46" s="197"/>
      <c r="AM46" s="198"/>
      <c r="AN46" s="198"/>
      <c r="AO46" s="198"/>
      <c r="AP46" s="199"/>
    </row>
    <row r="47" customFormat="false" ht="15" hidden="false" customHeight="true" outlineLevel="0" collapsed="false">
      <c r="A47" s="194"/>
      <c r="B47" s="194"/>
      <c r="C47" s="194"/>
      <c r="D47" s="194"/>
      <c r="E47" s="194"/>
      <c r="F47" s="195"/>
      <c r="G47" s="195"/>
      <c r="H47" s="195"/>
      <c r="I47" s="195"/>
      <c r="J47" s="194"/>
      <c r="K47" s="194"/>
      <c r="L47" s="194"/>
      <c r="M47" s="194"/>
      <c r="N47" s="196"/>
      <c r="O47" s="196"/>
      <c r="P47" s="196"/>
      <c r="Q47" s="196"/>
      <c r="R47" s="196"/>
      <c r="S47" s="196"/>
      <c r="T47" s="196"/>
      <c r="U47" s="196"/>
      <c r="V47" s="196"/>
      <c r="W47" s="196"/>
      <c r="X47" s="196"/>
      <c r="Y47" s="196"/>
      <c r="Z47" s="196"/>
      <c r="AA47" s="196"/>
      <c r="AB47" s="197"/>
      <c r="AC47" s="197"/>
      <c r="AD47" s="197"/>
      <c r="AE47" s="197"/>
      <c r="AF47" s="197"/>
      <c r="AG47" s="197"/>
      <c r="AH47" s="197"/>
      <c r="AI47" s="197"/>
      <c r="AJ47" s="197"/>
      <c r="AK47" s="197"/>
      <c r="AL47" s="197"/>
      <c r="AM47" s="198"/>
      <c r="AN47" s="198"/>
      <c r="AO47" s="198"/>
      <c r="AP47" s="199"/>
    </row>
    <row r="48" customFormat="false" ht="15" hidden="false" customHeight="true" outlineLevel="0" collapsed="false">
      <c r="A48" s="194"/>
      <c r="B48" s="194"/>
      <c r="C48" s="194"/>
      <c r="D48" s="194"/>
      <c r="E48" s="194"/>
      <c r="F48" s="195"/>
      <c r="G48" s="195"/>
      <c r="H48" s="195"/>
      <c r="I48" s="195"/>
      <c r="J48" s="194"/>
      <c r="K48" s="194"/>
      <c r="L48" s="194"/>
      <c r="M48" s="194"/>
      <c r="N48" s="196"/>
      <c r="O48" s="196"/>
      <c r="P48" s="196"/>
      <c r="Q48" s="196"/>
      <c r="R48" s="196"/>
      <c r="S48" s="196"/>
      <c r="T48" s="196"/>
      <c r="U48" s="196"/>
      <c r="V48" s="196"/>
      <c r="W48" s="196"/>
      <c r="X48" s="196"/>
      <c r="Y48" s="196"/>
      <c r="Z48" s="196"/>
      <c r="AA48" s="196"/>
      <c r="AB48" s="197"/>
      <c r="AC48" s="197"/>
      <c r="AD48" s="197"/>
      <c r="AE48" s="197"/>
      <c r="AF48" s="197"/>
      <c r="AG48" s="197"/>
      <c r="AH48" s="197"/>
      <c r="AI48" s="197"/>
      <c r="AJ48" s="197"/>
      <c r="AK48" s="197"/>
      <c r="AL48" s="197"/>
      <c r="AM48" s="198"/>
      <c r="AN48" s="198"/>
      <c r="AO48" s="198"/>
      <c r="AP48" s="199"/>
    </row>
    <row r="49" customFormat="false" ht="15" hidden="false" customHeight="true" outlineLevel="0" collapsed="false">
      <c r="A49" s="194"/>
      <c r="B49" s="194"/>
      <c r="C49" s="194"/>
      <c r="D49" s="194"/>
      <c r="E49" s="194"/>
      <c r="F49" s="195"/>
      <c r="G49" s="195"/>
      <c r="H49" s="195"/>
      <c r="I49" s="195"/>
      <c r="J49" s="194"/>
      <c r="K49" s="194"/>
      <c r="L49" s="194"/>
      <c r="M49" s="194"/>
      <c r="N49" s="196"/>
      <c r="O49" s="196"/>
      <c r="P49" s="196"/>
      <c r="Q49" s="196"/>
      <c r="R49" s="196"/>
      <c r="S49" s="196"/>
      <c r="T49" s="196"/>
      <c r="U49" s="196"/>
      <c r="V49" s="196"/>
      <c r="W49" s="196"/>
      <c r="X49" s="196"/>
      <c r="Y49" s="196"/>
      <c r="Z49" s="196"/>
      <c r="AA49" s="196"/>
      <c r="AB49" s="197"/>
      <c r="AC49" s="197"/>
      <c r="AD49" s="197"/>
      <c r="AE49" s="197"/>
      <c r="AF49" s="197"/>
      <c r="AG49" s="197"/>
      <c r="AH49" s="197"/>
      <c r="AI49" s="197"/>
      <c r="AJ49" s="197"/>
      <c r="AK49" s="197"/>
      <c r="AL49" s="197"/>
      <c r="AM49" s="198"/>
      <c r="AN49" s="198"/>
      <c r="AO49" s="198"/>
      <c r="AP49" s="199"/>
    </row>
    <row r="50" customFormat="false" ht="15" hidden="false" customHeight="true" outlineLevel="0" collapsed="false">
      <c r="A50" s="194"/>
      <c r="B50" s="194"/>
      <c r="C50" s="194"/>
      <c r="D50" s="194"/>
      <c r="E50" s="194"/>
      <c r="F50" s="195"/>
      <c r="G50" s="195"/>
      <c r="H50" s="195"/>
      <c r="I50" s="195"/>
      <c r="J50" s="194"/>
      <c r="K50" s="194"/>
      <c r="L50" s="194"/>
      <c r="M50" s="194"/>
      <c r="N50" s="196"/>
      <c r="O50" s="196"/>
      <c r="P50" s="196"/>
      <c r="Q50" s="196"/>
      <c r="R50" s="196"/>
      <c r="S50" s="196"/>
      <c r="T50" s="196"/>
      <c r="U50" s="196"/>
      <c r="V50" s="196"/>
      <c r="W50" s="196"/>
      <c r="X50" s="196"/>
      <c r="Y50" s="196"/>
      <c r="Z50" s="196"/>
      <c r="AA50" s="196"/>
      <c r="AB50" s="197"/>
      <c r="AC50" s="197"/>
      <c r="AD50" s="197"/>
      <c r="AE50" s="197"/>
      <c r="AF50" s="197"/>
      <c r="AG50" s="197"/>
      <c r="AH50" s="197"/>
      <c r="AI50" s="197"/>
      <c r="AJ50" s="197"/>
      <c r="AK50" s="197"/>
      <c r="AL50" s="197"/>
      <c r="AM50" s="198"/>
      <c r="AN50" s="198"/>
      <c r="AO50" s="198"/>
      <c r="AP50" s="199"/>
    </row>
    <row r="51" customFormat="false" ht="15" hidden="false" customHeight="true" outlineLevel="0" collapsed="false">
      <c r="A51" s="194"/>
      <c r="B51" s="194"/>
      <c r="C51" s="194"/>
      <c r="D51" s="194"/>
      <c r="E51" s="194"/>
      <c r="F51" s="195"/>
      <c r="G51" s="195"/>
      <c r="H51" s="195"/>
      <c r="I51" s="195"/>
      <c r="J51" s="194"/>
      <c r="K51" s="194"/>
      <c r="L51" s="194"/>
      <c r="M51" s="194"/>
      <c r="N51" s="196"/>
      <c r="O51" s="196"/>
      <c r="P51" s="196"/>
      <c r="Q51" s="196"/>
      <c r="R51" s="196"/>
      <c r="S51" s="196"/>
      <c r="T51" s="196"/>
      <c r="U51" s="196"/>
      <c r="V51" s="196"/>
      <c r="W51" s="196"/>
      <c r="X51" s="196"/>
      <c r="Y51" s="196"/>
      <c r="Z51" s="196"/>
      <c r="AA51" s="196"/>
      <c r="AB51" s="197"/>
      <c r="AC51" s="197"/>
      <c r="AD51" s="197"/>
      <c r="AE51" s="197"/>
      <c r="AF51" s="197"/>
      <c r="AG51" s="197"/>
      <c r="AH51" s="197"/>
      <c r="AI51" s="197"/>
      <c r="AJ51" s="197"/>
      <c r="AK51" s="197"/>
      <c r="AL51" s="197"/>
      <c r="AM51" s="198"/>
      <c r="AN51" s="198"/>
      <c r="AO51" s="198"/>
      <c r="AP51" s="199"/>
    </row>
    <row r="52" customFormat="false" ht="15" hidden="false" customHeight="true" outlineLevel="0" collapsed="false">
      <c r="A52" s="194"/>
      <c r="B52" s="194"/>
      <c r="C52" s="194"/>
      <c r="D52" s="194"/>
      <c r="E52" s="194"/>
      <c r="F52" s="195"/>
      <c r="G52" s="195"/>
      <c r="H52" s="195"/>
      <c r="I52" s="195"/>
      <c r="J52" s="194"/>
      <c r="K52" s="194"/>
      <c r="L52" s="194"/>
      <c r="M52" s="194"/>
      <c r="N52" s="196"/>
      <c r="O52" s="196"/>
      <c r="P52" s="196"/>
      <c r="Q52" s="196"/>
      <c r="R52" s="196"/>
      <c r="S52" s="196"/>
      <c r="T52" s="196"/>
      <c r="U52" s="196"/>
      <c r="V52" s="196"/>
      <c r="W52" s="196"/>
      <c r="X52" s="196"/>
      <c r="Y52" s="196"/>
      <c r="Z52" s="196"/>
      <c r="AA52" s="196"/>
      <c r="AB52" s="197"/>
      <c r="AC52" s="197"/>
      <c r="AD52" s="197"/>
      <c r="AE52" s="197"/>
      <c r="AF52" s="197"/>
      <c r="AG52" s="197"/>
      <c r="AH52" s="197"/>
      <c r="AI52" s="197"/>
      <c r="AJ52" s="197"/>
      <c r="AK52" s="197"/>
      <c r="AL52" s="197"/>
      <c r="AM52" s="198"/>
      <c r="AN52" s="198"/>
      <c r="AO52" s="198"/>
      <c r="AP52" s="199"/>
    </row>
    <row r="53" customFormat="false" ht="15" hidden="false" customHeight="true" outlineLevel="0" collapsed="false">
      <c r="A53" s="194"/>
      <c r="B53" s="194"/>
      <c r="C53" s="194"/>
      <c r="D53" s="194"/>
      <c r="E53" s="194"/>
      <c r="F53" s="195"/>
      <c r="G53" s="195"/>
      <c r="H53" s="195"/>
      <c r="I53" s="195"/>
      <c r="J53" s="194"/>
      <c r="K53" s="194"/>
      <c r="L53" s="194"/>
      <c r="M53" s="194"/>
      <c r="N53" s="196"/>
      <c r="O53" s="196"/>
      <c r="P53" s="196"/>
      <c r="Q53" s="196"/>
      <c r="R53" s="196"/>
      <c r="S53" s="196"/>
      <c r="T53" s="196"/>
      <c r="U53" s="196"/>
      <c r="V53" s="196"/>
      <c r="W53" s="196"/>
      <c r="X53" s="196"/>
      <c r="Y53" s="196"/>
      <c r="Z53" s="196"/>
      <c r="AA53" s="196"/>
      <c r="AB53" s="197"/>
      <c r="AC53" s="197"/>
      <c r="AD53" s="197"/>
      <c r="AE53" s="197"/>
      <c r="AF53" s="197"/>
      <c r="AG53" s="197"/>
      <c r="AH53" s="197"/>
      <c r="AI53" s="197"/>
      <c r="AJ53" s="197"/>
      <c r="AK53" s="197"/>
      <c r="AL53" s="197"/>
      <c r="AM53" s="198"/>
      <c r="AN53" s="198"/>
      <c r="AO53" s="198"/>
      <c r="AP53" s="199"/>
    </row>
    <row r="54" customFormat="false" ht="15" hidden="false" customHeight="true" outlineLevel="0" collapsed="false">
      <c r="A54" s="194"/>
      <c r="B54" s="194"/>
      <c r="C54" s="194"/>
      <c r="D54" s="194"/>
      <c r="E54" s="194"/>
      <c r="F54" s="195"/>
      <c r="G54" s="195"/>
      <c r="H54" s="195"/>
      <c r="I54" s="195"/>
      <c r="J54" s="194"/>
      <c r="K54" s="194"/>
      <c r="L54" s="194"/>
      <c r="M54" s="194"/>
      <c r="N54" s="196"/>
      <c r="O54" s="196"/>
      <c r="P54" s="196"/>
      <c r="Q54" s="196"/>
      <c r="R54" s="196"/>
      <c r="S54" s="196"/>
      <c r="T54" s="196"/>
      <c r="U54" s="196"/>
      <c r="V54" s="196"/>
      <c r="W54" s="196"/>
      <c r="X54" s="196"/>
      <c r="Y54" s="196"/>
      <c r="Z54" s="196"/>
      <c r="AA54" s="196"/>
      <c r="AB54" s="197"/>
      <c r="AC54" s="197"/>
      <c r="AD54" s="197"/>
      <c r="AE54" s="197"/>
      <c r="AF54" s="197"/>
      <c r="AG54" s="197"/>
      <c r="AH54" s="197"/>
      <c r="AI54" s="197"/>
      <c r="AJ54" s="197"/>
      <c r="AK54" s="197"/>
      <c r="AL54" s="197"/>
      <c r="AM54" s="198"/>
      <c r="AN54" s="198"/>
      <c r="AO54" s="198"/>
      <c r="AP54" s="199"/>
    </row>
    <row r="55" customFormat="false" ht="15" hidden="false" customHeight="true" outlineLevel="0" collapsed="false">
      <c r="A55" s="194"/>
      <c r="B55" s="194"/>
      <c r="C55" s="194"/>
      <c r="D55" s="194"/>
      <c r="E55" s="194"/>
      <c r="F55" s="195"/>
      <c r="G55" s="195"/>
      <c r="H55" s="195"/>
      <c r="I55" s="195"/>
      <c r="J55" s="194"/>
      <c r="K55" s="194"/>
      <c r="L55" s="194"/>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c r="AN55" s="198"/>
      <c r="AO55" s="198"/>
      <c r="AP55" s="199"/>
    </row>
    <row r="56" customFormat="false" ht="15" hidden="false" customHeight="true" outlineLevel="0" collapsed="false">
      <c r="A56" s="194"/>
      <c r="B56" s="194"/>
      <c r="C56" s="194"/>
      <c r="D56" s="194"/>
      <c r="E56" s="194"/>
      <c r="F56" s="195"/>
      <c r="G56" s="195"/>
      <c r="H56" s="195"/>
      <c r="I56" s="195"/>
      <c r="J56" s="194"/>
      <c r="K56" s="194"/>
      <c r="L56" s="194"/>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c r="AN56" s="198"/>
      <c r="AO56" s="198"/>
      <c r="AP56" s="199"/>
    </row>
    <row r="57" customFormat="false" ht="15" hidden="false" customHeight="true" outlineLevel="0" collapsed="false">
      <c r="A57" s="194"/>
      <c r="B57" s="194"/>
      <c r="C57" s="194"/>
      <c r="D57" s="194"/>
      <c r="E57" s="194"/>
      <c r="F57" s="195"/>
      <c r="G57" s="195"/>
      <c r="H57" s="195"/>
      <c r="I57" s="195"/>
      <c r="J57" s="194"/>
      <c r="K57" s="194"/>
      <c r="L57" s="194"/>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c r="AN57" s="198"/>
      <c r="AO57" s="198"/>
      <c r="AP57" s="199"/>
    </row>
    <row r="58" customFormat="false" ht="15" hidden="false" customHeight="true" outlineLevel="0" collapsed="false">
      <c r="A58" s="194"/>
      <c r="B58" s="194"/>
      <c r="C58" s="194"/>
      <c r="D58" s="194"/>
      <c r="E58" s="194"/>
      <c r="F58" s="194"/>
      <c r="G58" s="194"/>
      <c r="H58" s="194"/>
      <c r="I58" s="194"/>
      <c r="J58" s="194"/>
      <c r="K58" s="194"/>
      <c r="L58" s="194"/>
      <c r="M58" s="194"/>
      <c r="N58" s="194"/>
      <c r="O58" s="194"/>
      <c r="P58" s="194"/>
      <c r="Q58" s="194"/>
      <c r="R58" s="201"/>
      <c r="S58" s="201"/>
      <c r="T58" s="201"/>
      <c r="U58" s="201"/>
      <c r="V58" s="201"/>
      <c r="W58" s="201"/>
      <c r="X58" s="201"/>
      <c r="Y58" s="201"/>
      <c r="Z58" s="201"/>
      <c r="AA58" s="201"/>
      <c r="AM58" s="202"/>
      <c r="AN58" s="202"/>
    </row>
    <row r="59" customFormat="false" ht="15" hidden="false" customHeight="true" outlineLevel="0" collapsed="false">
      <c r="A59" s="194"/>
      <c r="B59" s="194"/>
      <c r="C59" s="194"/>
      <c r="D59" s="194"/>
      <c r="E59" s="194"/>
      <c r="F59" s="194"/>
      <c r="G59" s="194"/>
      <c r="H59" s="194"/>
      <c r="I59" s="194"/>
      <c r="J59" s="194"/>
      <c r="K59" s="194"/>
      <c r="L59" s="194"/>
      <c r="M59" s="194"/>
      <c r="N59" s="194"/>
      <c r="O59" s="194"/>
      <c r="P59" s="194"/>
      <c r="Q59" s="194"/>
      <c r="R59" s="201"/>
      <c r="S59" s="201"/>
      <c r="T59" s="201"/>
      <c r="U59" s="201"/>
      <c r="V59" s="201"/>
      <c r="W59" s="201"/>
      <c r="X59" s="201"/>
      <c r="Y59" s="201"/>
      <c r="Z59" s="201"/>
      <c r="AA59" s="201"/>
      <c r="AM59" s="202"/>
      <c r="AN59" s="202"/>
    </row>
    <row r="60" customFormat="false" ht="15" hidden="false" customHeight="true" outlineLevel="0" collapsed="false">
      <c r="A60" s="194"/>
      <c r="B60" s="194"/>
      <c r="C60" s="194"/>
      <c r="D60" s="194"/>
      <c r="E60" s="194"/>
      <c r="F60" s="194"/>
      <c r="G60" s="194"/>
      <c r="H60" s="194"/>
      <c r="I60" s="194"/>
      <c r="J60" s="194"/>
      <c r="K60" s="194"/>
      <c r="L60" s="194"/>
      <c r="M60" s="194"/>
      <c r="N60" s="194"/>
      <c r="O60" s="194"/>
      <c r="P60" s="194"/>
      <c r="Q60" s="194"/>
      <c r="R60" s="201"/>
      <c r="S60" s="201"/>
      <c r="T60" s="201"/>
      <c r="U60" s="201"/>
      <c r="V60" s="201"/>
      <c r="W60" s="201"/>
      <c r="X60" s="201"/>
      <c r="Y60" s="201"/>
      <c r="Z60" s="201"/>
      <c r="AA60" s="201"/>
      <c r="AM60" s="202"/>
      <c r="AN60" s="202"/>
    </row>
    <row r="61" customFormat="false" ht="15" hidden="false" customHeight="true" outlineLevel="0" collapsed="false">
      <c r="A61" s="194"/>
      <c r="B61" s="194"/>
      <c r="C61" s="194"/>
      <c r="D61" s="194"/>
      <c r="E61" s="194"/>
      <c r="F61" s="194"/>
      <c r="G61" s="194"/>
      <c r="H61" s="194"/>
      <c r="I61" s="194"/>
      <c r="J61" s="194"/>
      <c r="K61" s="194"/>
      <c r="L61" s="194"/>
      <c r="M61" s="194"/>
      <c r="N61" s="194"/>
      <c r="O61" s="194"/>
      <c r="P61" s="194"/>
      <c r="Q61" s="194"/>
      <c r="R61" s="201"/>
      <c r="S61" s="201"/>
      <c r="T61" s="201"/>
      <c r="U61" s="201"/>
      <c r="V61" s="201"/>
      <c r="W61" s="201"/>
      <c r="X61" s="201"/>
      <c r="Y61" s="201"/>
      <c r="Z61" s="201"/>
      <c r="AA61" s="201"/>
      <c r="AM61" s="202"/>
      <c r="AN61" s="202"/>
    </row>
    <row r="62" customFormat="false" ht="15" hidden="false" customHeight="true" outlineLevel="0" collapsed="false">
      <c r="A62" s="194"/>
      <c r="B62" s="194"/>
      <c r="C62" s="194"/>
      <c r="D62" s="194"/>
      <c r="E62" s="194"/>
      <c r="F62" s="194"/>
      <c r="G62" s="194"/>
      <c r="H62" s="194"/>
      <c r="I62" s="194"/>
      <c r="J62" s="194"/>
      <c r="K62" s="194"/>
      <c r="L62" s="194"/>
      <c r="M62" s="194"/>
      <c r="N62" s="194"/>
      <c r="O62" s="194"/>
      <c r="P62" s="194"/>
      <c r="Q62" s="194"/>
      <c r="R62" s="201"/>
      <c r="S62" s="201"/>
      <c r="T62" s="201"/>
      <c r="U62" s="201"/>
      <c r="V62" s="201"/>
      <c r="W62" s="201"/>
      <c r="X62" s="201"/>
      <c r="Y62" s="201"/>
      <c r="Z62" s="201"/>
      <c r="AA62" s="201"/>
      <c r="AM62" s="202"/>
      <c r="AN62" s="202"/>
    </row>
    <row r="63" customFormat="false" ht="15" hidden="false" customHeight="true" outlineLevel="0" collapsed="false">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Q63" s="1"/>
    </row>
    <row r="64" customFormat="false" ht="15" hidden="false" customHeight="true" outlineLevel="0" collapsed="false">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Q64" s="1"/>
    </row>
    <row r="65" customFormat="false" ht="15" hidden="false" customHeight="true" outlineLevel="0" collapsed="false">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Q65" s="1"/>
    </row>
    <row r="66" customFormat="false" ht="15" hidden="false" customHeight="true" outlineLevel="0" collapsed="false">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Q66" s="1"/>
    </row>
    <row r="67" customFormat="false" ht="15" hidden="false" customHeight="true" outlineLevel="0" collapsed="false">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Q67" s="1"/>
    </row>
    <row r="68" customFormat="false" ht="15" hidden="false" customHeight="true" outlineLevel="0" collapsed="false">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Q68" s="1"/>
    </row>
    <row r="69" customFormat="false" ht="15" hidden="false" customHeight="true" outlineLevel="0" collapsed="false">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Q69" s="1"/>
    </row>
    <row r="70" customFormat="false" ht="15" hidden="false" customHeight="true" outlineLevel="0" collapsed="false">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Q70" s="1"/>
    </row>
    <row r="71" customFormat="false" ht="15" hidden="false" customHeight="true" outlineLevel="0" collapsed="false">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Q71" s="1"/>
    </row>
    <row r="72" customFormat="false" ht="15" hidden="false" customHeight="true" outlineLevel="0" collapsed="false">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Q72" s="1"/>
    </row>
    <row r="73" customFormat="false" ht="15" hidden="false" customHeight="true" outlineLevel="0" collapsed="false">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Q73" s="1"/>
    </row>
    <row r="74" customFormat="false" ht="15" hidden="false" customHeight="true" outlineLevel="0" collapsed="false">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Q74" s="1"/>
    </row>
    <row r="75" customFormat="false" ht="15" hidden="false" customHeight="true" outlineLevel="0" collapsed="false">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Q75" s="1"/>
    </row>
    <row r="76" customFormat="false" ht="15" hidden="false" customHeight="true" outlineLevel="0" collapsed="false">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Q76" s="1"/>
    </row>
    <row r="77" customFormat="false" ht="15" hidden="false" customHeight="true" outlineLevel="0" collapsed="false">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Q77" s="1"/>
    </row>
    <row r="78" customFormat="false" ht="15" hidden="false" customHeight="true" outlineLevel="0" collapsed="false">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Q78" s="1"/>
    </row>
    <row r="79" customFormat="false" ht="15" hidden="false" customHeight="true" outlineLevel="0" collapsed="false">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Q79" s="1"/>
    </row>
    <row r="80" customFormat="false" ht="15" hidden="false" customHeight="true" outlineLevel="0" collapsed="false">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Q80" s="1"/>
    </row>
    <row r="81" customFormat="false" ht="15" hidden="false" customHeight="true" outlineLevel="0" collapsed="false">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Q81" s="1"/>
    </row>
    <row r="82" customFormat="false" ht="15" hidden="false" customHeight="true" outlineLevel="0" collapsed="false">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Q82" s="1"/>
    </row>
    <row r="83" customFormat="false" ht="15" hidden="false" customHeight="true" outlineLevel="0" collapsed="false">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Q83" s="1"/>
    </row>
    <row r="84" customFormat="false" ht="15" hidden="false" customHeight="true" outlineLevel="0" collapsed="false">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Q84" s="1"/>
    </row>
    <row r="85" customFormat="false" ht="15" hidden="false" customHeight="true" outlineLevel="0" collapsed="false">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Q85" s="1"/>
    </row>
    <row r="86" customFormat="false" ht="15" hidden="false" customHeight="true" outlineLevel="0" collapsed="false">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Q86" s="1"/>
    </row>
    <row r="87" customFormat="false" ht="15" hidden="false" customHeight="true" outlineLevel="0" collapsed="false">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Q87" s="1"/>
    </row>
    <row r="88" customFormat="false" ht="15" hidden="false" customHeight="true" outlineLevel="0" collapsed="false">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Q88" s="1"/>
    </row>
    <row r="89" customFormat="false" ht="15" hidden="false" customHeight="true" outlineLevel="0" collapsed="false">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Q89" s="1"/>
    </row>
    <row r="90" customFormat="false" ht="15" hidden="false" customHeight="true" outlineLevel="0" collapsed="false">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Q90" s="1"/>
    </row>
    <row r="91" customFormat="false" ht="15" hidden="false" customHeight="true" outlineLevel="0" collapsed="false">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Q91" s="1"/>
    </row>
    <row r="92" customFormat="false" ht="15" hidden="false" customHeight="true" outlineLevel="0" collapsed="false">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Q92" s="1"/>
    </row>
    <row r="93" customFormat="false" ht="15" hidden="false" customHeight="true" outlineLevel="0" collapsed="false">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Q93" s="1"/>
    </row>
    <row r="94" customFormat="false" ht="15" hidden="false" customHeight="true" outlineLevel="0" collapsed="false">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Q94" s="1"/>
    </row>
    <row r="95" customFormat="false" ht="15" hidden="false" customHeight="true" outlineLevel="0" collapsed="false">
      <c r="AQ95" s="1"/>
    </row>
    <row r="96" customFormat="false" ht="15" hidden="false" customHeight="true" outlineLevel="0" collapsed="false">
      <c r="AQ96" s="1"/>
    </row>
    <row r="97" customFormat="false" ht="15" hidden="false" customHeight="true" outlineLevel="0" collapsed="false">
      <c r="AQ97" s="1"/>
    </row>
    <row r="98" customFormat="false" ht="15" hidden="false" customHeight="true" outlineLevel="0" collapsed="false">
      <c r="AQ98" s="1"/>
    </row>
    <row r="99" customFormat="false" ht="15" hidden="false" customHeight="true" outlineLevel="0" collapsed="false">
      <c r="AQ99" s="1"/>
    </row>
    <row r="100" customFormat="false" ht="15" hidden="false" customHeight="true" outlineLevel="0" collapsed="false">
      <c r="AQ100" s="1"/>
    </row>
    <row r="101" customFormat="false" ht="15" hidden="false" customHeight="true" outlineLevel="0" collapsed="false">
      <c r="AQ101" s="1"/>
    </row>
    <row r="102" customFormat="false" ht="15" hidden="false" customHeight="true" outlineLevel="0" collapsed="false">
      <c r="AQ102" s="1"/>
    </row>
    <row r="103" customFormat="false" ht="15" hidden="false" customHeight="true" outlineLevel="0" collapsed="false">
      <c r="AQ103" s="1"/>
    </row>
    <row r="104" customFormat="false" ht="15" hidden="false" customHeight="true" outlineLevel="0" collapsed="false">
      <c r="AQ104" s="1"/>
    </row>
    <row r="105" customFormat="false" ht="15" hidden="false" customHeight="true" outlineLevel="0" collapsed="false">
      <c r="AQ105" s="1"/>
    </row>
    <row r="106" customFormat="false" ht="15" hidden="false" customHeight="true" outlineLevel="0" collapsed="false">
      <c r="AQ106" s="1"/>
    </row>
    <row r="107" customFormat="false" ht="15" hidden="false" customHeight="true" outlineLevel="0" collapsed="false">
      <c r="AQ107" s="1"/>
    </row>
    <row r="108" customFormat="false" ht="15" hidden="false" customHeight="true" outlineLevel="0" collapsed="false">
      <c r="AQ108" s="1"/>
    </row>
    <row r="109" customFormat="false" ht="15" hidden="false" customHeight="true" outlineLevel="0" collapsed="false">
      <c r="AQ109" s="1"/>
    </row>
    <row r="110" customFormat="false" ht="15" hidden="false" customHeight="true" outlineLevel="0" collapsed="false">
      <c r="AQ110" s="1"/>
    </row>
    <row r="111" customFormat="false" ht="15" hidden="false" customHeight="true" outlineLevel="0" collapsed="false">
      <c r="AQ111" s="1"/>
    </row>
    <row r="112" customFormat="false" ht="15" hidden="false" customHeight="true" outlineLevel="0" collapsed="false">
      <c r="AQ112" s="1"/>
    </row>
    <row r="113" customFormat="false" ht="15" hidden="false" customHeight="true" outlineLevel="0" collapsed="false">
      <c r="AQ113" s="1"/>
    </row>
    <row r="114" customFormat="false" ht="15" hidden="false" customHeight="true" outlineLevel="0" collapsed="false">
      <c r="AQ114" s="1"/>
    </row>
    <row r="115" customFormat="false" ht="15" hidden="false" customHeight="true" outlineLevel="0" collapsed="false">
      <c r="AQ115" s="1"/>
    </row>
    <row r="116" customFormat="false" ht="15" hidden="false" customHeight="true" outlineLevel="0" collapsed="false">
      <c r="AQ116" s="1"/>
    </row>
    <row r="117" customFormat="false" ht="15" hidden="false" customHeight="true" outlineLevel="0" collapsed="false">
      <c r="AQ117" s="1"/>
    </row>
    <row r="118" customFormat="false" ht="15" hidden="false" customHeight="true" outlineLevel="0" collapsed="false">
      <c r="AQ118" s="1"/>
    </row>
    <row r="119" customFormat="false" ht="15" hidden="false" customHeight="true" outlineLevel="0" collapsed="false">
      <c r="AQ119" s="1"/>
    </row>
    <row r="120" customFormat="false" ht="15" hidden="false" customHeight="true" outlineLevel="0" collapsed="false">
      <c r="AQ120" s="1"/>
    </row>
    <row r="121" customFormat="false" ht="15" hidden="false" customHeight="true" outlineLevel="0" collapsed="false">
      <c r="AQ121" s="1"/>
    </row>
    <row r="122" customFormat="false" ht="15" hidden="false" customHeight="true" outlineLevel="0" collapsed="false">
      <c r="AQ122" s="1"/>
    </row>
    <row r="123" customFormat="false" ht="15" hidden="false" customHeight="true" outlineLevel="0" collapsed="false">
      <c r="AQ123" s="1"/>
    </row>
    <row r="124" customFormat="false" ht="15" hidden="false" customHeight="true" outlineLevel="0" collapsed="false">
      <c r="AQ124" s="1"/>
    </row>
    <row r="125" customFormat="false" ht="15" hidden="false" customHeight="true" outlineLevel="0" collapsed="false">
      <c r="AQ125" s="1"/>
    </row>
    <row r="126" customFormat="false" ht="15" hidden="false" customHeight="true" outlineLevel="0" collapsed="false">
      <c r="AQ126" s="1"/>
    </row>
    <row r="127" customFormat="false" ht="15" hidden="false" customHeight="true" outlineLevel="0" collapsed="false">
      <c r="AQ127" s="1"/>
    </row>
    <row r="128" customFormat="false" ht="15" hidden="false" customHeight="true" outlineLevel="0" collapsed="false">
      <c r="AQ128" s="1"/>
    </row>
    <row r="129" customFormat="false" ht="15" hidden="false" customHeight="true" outlineLevel="0" collapsed="false">
      <c r="AQ129" s="1"/>
    </row>
    <row r="130" customFormat="false" ht="15" hidden="false" customHeight="true" outlineLevel="0" collapsed="false">
      <c r="AQ130" s="1"/>
    </row>
    <row r="131" customFormat="false" ht="15" hidden="false" customHeight="true" outlineLevel="0" collapsed="false">
      <c r="AQ131" s="1"/>
    </row>
    <row r="132" customFormat="false" ht="15" hidden="false" customHeight="true" outlineLevel="0" collapsed="false">
      <c r="AQ132" s="1"/>
    </row>
    <row r="133" customFormat="false" ht="15" hidden="false" customHeight="true" outlineLevel="0" collapsed="false">
      <c r="AQ133" s="1"/>
    </row>
    <row r="134" customFormat="false" ht="15" hidden="false" customHeight="true" outlineLevel="0" collapsed="false">
      <c r="AQ134" s="1"/>
    </row>
    <row r="135" customFormat="false" ht="15" hidden="false" customHeight="true" outlineLevel="0" collapsed="false">
      <c r="AQ135" s="1"/>
    </row>
    <row r="136" customFormat="false" ht="15" hidden="false" customHeight="true" outlineLevel="0" collapsed="false">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217" customFormat="false" ht="15" hidden="false" customHeight="true" outlineLevel="0" collapsed="false">
      <c r="AQ217" s="1"/>
    </row>
    <row r="218" customFormat="false" ht="15" hidden="false" customHeight="true" outlineLevel="0" collapsed="false">
      <c r="AQ218" s="1"/>
    </row>
    <row r="219" customFormat="false" ht="15" hidden="false" customHeight="true" outlineLevel="0" collapsed="false">
      <c r="AQ219" s="1"/>
    </row>
    <row r="220" customFormat="false" ht="15" hidden="false" customHeight="true" outlineLevel="0" collapsed="false">
      <c r="AQ220" s="1"/>
    </row>
    <row r="221" customFormat="false" ht="15" hidden="false" customHeight="true" outlineLevel="0" collapsed="false">
      <c r="AQ221" s="1"/>
    </row>
    <row r="222" customFormat="false" ht="15" hidden="false" customHeight="true" outlineLevel="0" collapsed="false">
      <c r="AQ222"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25">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8:I8"/>
    <mergeCell ref="B11:I11"/>
    <mergeCell ref="B17:I17"/>
    <mergeCell ref="B20:I20"/>
    <mergeCell ref="B22:I22"/>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false" showOutlineSymbols="true" defaultGridColor="true" view="normal" topLeftCell="A43" colorId="64" zoomScale="65" zoomScaleNormal="65" zoomScalePageLayoutView="100" workbookViewId="0">
      <pane xSplit="1" ySplit="0" topLeftCell="E43" activePane="topRight" state="frozen"/>
      <selection pane="topLeft" activeCell="A43" activeCellId="0" sqref="A43"/>
      <selection pane="topRight" activeCell="F48" activeCellId="0" sqref="F48"/>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198</v>
      </c>
      <c r="D2" s="183"/>
      <c r="E2" s="183"/>
    </row>
    <row r="3" customFormat="false" ht="15" hidden="false" customHeight="true" outlineLevel="0" collapsed="false">
      <c r="A3" s="182" t="s">
        <v>610</v>
      </c>
      <c r="B3" s="182"/>
      <c r="C3" s="183" t="s">
        <v>199</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15" hidden="false" customHeight="true" outlineLevel="0" collapsed="false">
      <c r="A7" s="191" t="s">
        <v>199</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57" hidden="false" customHeight="true" outlineLevel="0" collapsed="false">
      <c r="A8" s="194" t="str">
        <f aca="false">IF(C8="","",$C$2&amp;"."&amp;COUNTA($C$8:C8)&amp;"")</f>
        <v>TC_03.1</v>
      </c>
      <c r="B8" s="194" t="s">
        <v>550</v>
      </c>
      <c r="C8" s="194" t="s">
        <v>828</v>
      </c>
      <c r="D8" s="194" t="s">
        <v>40</v>
      </c>
      <c r="E8" s="194" t="s">
        <v>157</v>
      </c>
      <c r="F8" s="195" t="s">
        <v>829</v>
      </c>
      <c r="G8" s="195" t="s">
        <v>830</v>
      </c>
      <c r="H8" s="195" t="s">
        <v>831</v>
      </c>
      <c r="I8" s="195" t="s">
        <v>832</v>
      </c>
      <c r="J8" s="194" t="s">
        <v>637</v>
      </c>
      <c r="K8" s="194" t="s">
        <v>241</v>
      </c>
      <c r="L8" s="194" t="s">
        <v>638</v>
      </c>
      <c r="M8" s="194"/>
      <c r="N8" s="196" t="s">
        <v>639</v>
      </c>
      <c r="O8" s="196"/>
      <c r="P8" s="196" t="s">
        <v>26</v>
      </c>
      <c r="Q8" s="196" t="s">
        <v>640</v>
      </c>
      <c r="R8" s="196"/>
      <c r="S8" s="196"/>
      <c r="T8" s="196"/>
      <c r="U8" s="196"/>
      <c r="V8" s="196"/>
      <c r="W8" s="196"/>
      <c r="X8" s="196"/>
      <c r="Y8" s="196"/>
      <c r="Z8" s="196"/>
      <c r="AA8" s="196"/>
      <c r="AB8" s="197"/>
      <c r="AC8" s="197"/>
      <c r="AD8" s="197"/>
      <c r="AE8" s="197"/>
      <c r="AF8" s="197"/>
      <c r="AG8" s="197"/>
      <c r="AH8" s="197"/>
      <c r="AI8" s="197"/>
      <c r="AJ8" s="197"/>
      <c r="AK8" s="197"/>
      <c r="AL8" s="197"/>
      <c r="AM8" s="198" t="str">
        <f aca="false">IF($A8="","",IF(OR($N8="Yes",$S8="Yes",$X8="Yes",$AC8="Yes",$AH8="Yes"),"Yes","No"))</f>
        <v>Yes</v>
      </c>
      <c r="AN8" s="198" t="str">
        <f aca="false">IF($A8="","",IFERROR(IF($AI8&lt;&gt;"",$AI8,IF($AD8&lt;&gt;"",$AD8,IF($Y8&lt;&gt;"",$Y8,IF($T8&lt;&gt;"",$T8,IF($O8&lt;&gt;"",$O8,""))))),""))</f>
        <v/>
      </c>
      <c r="AO8" s="198" t="str">
        <f aca="false">IFERROR(IF($AJ8&lt;&gt;"",$AJ8,IF($AE8&lt;&gt;"",$AE8,IF($Z8&lt;&gt;"",$Z8,IF($U8&lt;&gt;"",$U8,IF($P8&lt;&gt;"",$P8,""))))),"")</f>
        <v>Block</v>
      </c>
      <c r="AP8" s="199" t="s">
        <v>833</v>
      </c>
    </row>
    <row r="9" customFormat="false" ht="57" hidden="false" customHeight="true" outlineLevel="0" collapsed="false">
      <c r="A9" s="194" t="str">
        <f aca="false">IF(C9="","",$C$2&amp;"."&amp;COUNTA($C$8:C9)&amp;"")</f>
        <v>TC_03.2</v>
      </c>
      <c r="B9" s="194" t="s">
        <v>550</v>
      </c>
      <c r="C9" s="194" t="s">
        <v>828</v>
      </c>
      <c r="D9" s="194" t="s">
        <v>40</v>
      </c>
      <c r="E9" s="194" t="s">
        <v>157</v>
      </c>
      <c r="F9" s="195" t="s">
        <v>834</v>
      </c>
      <c r="G9" s="195" t="s">
        <v>835</v>
      </c>
      <c r="H9" s="195" t="s">
        <v>836</v>
      </c>
      <c r="I9" s="195" t="s">
        <v>837</v>
      </c>
      <c r="J9" s="194" t="s">
        <v>637</v>
      </c>
      <c r="K9" s="194" t="s">
        <v>241</v>
      </c>
      <c r="L9" s="194" t="s">
        <v>638</v>
      </c>
      <c r="M9" s="194"/>
      <c r="N9" s="196" t="s">
        <v>639</v>
      </c>
      <c r="O9" s="196"/>
      <c r="P9" s="196" t="s">
        <v>26</v>
      </c>
      <c r="Q9" s="196" t="s">
        <v>640</v>
      </c>
      <c r="R9" s="196"/>
      <c r="S9" s="196"/>
      <c r="T9" s="196"/>
      <c r="U9" s="196"/>
      <c r="V9" s="196"/>
      <c r="W9" s="196"/>
      <c r="X9" s="196"/>
      <c r="Y9" s="196"/>
      <c r="Z9" s="196"/>
      <c r="AA9" s="196"/>
      <c r="AB9" s="197"/>
      <c r="AC9" s="197"/>
      <c r="AD9" s="197"/>
      <c r="AE9" s="197"/>
      <c r="AF9" s="197"/>
      <c r="AG9" s="197"/>
      <c r="AH9" s="197"/>
      <c r="AI9" s="197"/>
      <c r="AJ9" s="197"/>
      <c r="AK9" s="197"/>
      <c r="AL9" s="197"/>
      <c r="AM9" s="198" t="str">
        <f aca="false">IF($A9="","",IF(OR($N9="Yes",$S9="Yes",$X9="Yes",$AC9="Yes",$AH9="Yes"),"Yes","No"))</f>
        <v>Yes</v>
      </c>
      <c r="AN9" s="198" t="str">
        <f aca="false">IF($A9="","",IFERROR(IF($AI9&lt;&gt;"",$AI9,IF($AD9&lt;&gt;"",$AD9,IF($Y9&lt;&gt;"",$Y9,IF($T9&lt;&gt;"",$T9,IF($O9&lt;&gt;"",$O9,""))))),""))</f>
        <v/>
      </c>
      <c r="AO9" s="198" t="str">
        <f aca="false">IFERROR(IF($AJ9&lt;&gt;"",$AJ9,IF($AE9&lt;&gt;"",$AE9,IF($Z9&lt;&gt;"",$Z9,IF($U9&lt;&gt;"",$U9,IF($P9&lt;&gt;"",$P9,""))))),"")</f>
        <v>Block</v>
      </c>
      <c r="AP9" s="199" t="s">
        <v>838</v>
      </c>
    </row>
    <row r="10" customFormat="false" ht="180" hidden="false" customHeight="true" outlineLevel="0" collapsed="false">
      <c r="A10" s="194" t="str">
        <f aca="false">IF(C10="","",$C$2&amp;"."&amp;COUNTA($C$8:C10)&amp;"")</f>
        <v>TC_03.3</v>
      </c>
      <c r="B10" s="194" t="s">
        <v>550</v>
      </c>
      <c r="C10" s="194" t="s">
        <v>828</v>
      </c>
      <c r="D10" s="194" t="s">
        <v>40</v>
      </c>
      <c r="E10" s="194" t="s">
        <v>157</v>
      </c>
      <c r="F10" s="195" t="s">
        <v>839</v>
      </c>
      <c r="G10" s="195" t="s">
        <v>840</v>
      </c>
      <c r="H10" s="195" t="s">
        <v>841</v>
      </c>
      <c r="I10" s="195" t="s">
        <v>842</v>
      </c>
      <c r="J10" s="194" t="s">
        <v>637</v>
      </c>
      <c r="K10" s="194" t="s">
        <v>241</v>
      </c>
      <c r="L10" s="194" t="s">
        <v>638</v>
      </c>
      <c r="M10" s="194"/>
      <c r="N10" s="196" t="s">
        <v>639</v>
      </c>
      <c r="O10" s="196"/>
      <c r="P10" s="196" t="s">
        <v>26</v>
      </c>
      <c r="Q10" s="196" t="s">
        <v>640</v>
      </c>
      <c r="R10" s="196"/>
      <c r="S10" s="196"/>
      <c r="T10" s="196"/>
      <c r="U10" s="196"/>
      <c r="V10" s="196"/>
      <c r="W10" s="196"/>
      <c r="X10" s="196"/>
      <c r="Y10" s="196"/>
      <c r="Z10" s="196"/>
      <c r="AA10" s="196"/>
      <c r="AB10" s="197"/>
      <c r="AC10" s="197"/>
      <c r="AD10" s="197"/>
      <c r="AE10" s="197"/>
      <c r="AF10" s="197"/>
      <c r="AG10" s="197"/>
      <c r="AH10" s="197"/>
      <c r="AI10" s="197"/>
      <c r="AJ10" s="197"/>
      <c r="AK10" s="197"/>
      <c r="AL10" s="197"/>
      <c r="AM10" s="198" t="str">
        <f aca="false">IF($A10="","",IF(OR($N10="Yes",$S10="Yes",$X10="Yes",$AC10="Yes",$AH10="Yes"),"Yes","No"))</f>
        <v>Yes</v>
      </c>
      <c r="AN10" s="198" t="str">
        <f aca="false">IF($A10="","",IFERROR(IF($AI10&lt;&gt;"",$AI10,IF($AD10&lt;&gt;"",$AD10,IF($Y10&lt;&gt;"",$Y10,IF($T10&lt;&gt;"",$T10,IF($O10&lt;&gt;"",$O10,""))))),""))</f>
        <v/>
      </c>
      <c r="AO10" s="198" t="str">
        <f aca="false">IFERROR(IF($AJ10&lt;&gt;"",$AJ10,IF($AE10&lt;&gt;"",$AE10,IF($Z10&lt;&gt;"",$Z10,IF($U10&lt;&gt;"",$U10,IF($P10&lt;&gt;"",$P10,""))))),"")</f>
        <v>Block</v>
      </c>
      <c r="AP10" s="199" t="s">
        <v>843</v>
      </c>
    </row>
    <row r="11" customFormat="false" ht="15" hidden="false" customHeight="true" outlineLevel="0" collapsed="false">
      <c r="A11" s="194"/>
      <c r="B11" s="200" t="s">
        <v>844</v>
      </c>
      <c r="C11" s="200"/>
      <c r="D11" s="200"/>
      <c r="E11" s="200"/>
      <c r="F11" s="200"/>
      <c r="G11" s="200"/>
      <c r="H11" s="200"/>
      <c r="I11" s="200"/>
      <c r="J11" s="194"/>
      <c r="K11" s="194"/>
      <c r="L11" s="194"/>
      <c r="M11" s="194"/>
      <c r="N11" s="196"/>
      <c r="O11" s="196"/>
      <c r="P11" s="196"/>
      <c r="Q11" s="196"/>
      <c r="R11" s="196"/>
      <c r="S11" s="196"/>
      <c r="T11" s="196"/>
      <c r="U11" s="196"/>
      <c r="V11" s="196"/>
      <c r="W11" s="196"/>
      <c r="X11" s="196"/>
      <c r="Y11" s="196"/>
      <c r="Z11" s="196"/>
      <c r="AA11" s="196"/>
      <c r="AB11" s="197"/>
      <c r="AC11" s="197"/>
      <c r="AD11" s="197"/>
      <c r="AE11" s="197"/>
      <c r="AF11" s="197"/>
      <c r="AG11" s="197"/>
      <c r="AH11" s="197"/>
      <c r="AI11" s="197"/>
      <c r="AJ11" s="197"/>
      <c r="AK11" s="197"/>
      <c r="AL11" s="197"/>
      <c r="AM11" s="198"/>
      <c r="AN11" s="198"/>
      <c r="AO11" s="198"/>
      <c r="AP11" s="199"/>
    </row>
    <row r="12" customFormat="false" ht="68.25" hidden="false" customHeight="true" outlineLevel="0" collapsed="false">
      <c r="A12" s="194" t="str">
        <f aca="false">IF(C12="","",$C$2&amp;"."&amp;COUNTA($C$8:C12)&amp;"")</f>
        <v>TC_03.4</v>
      </c>
      <c r="B12" s="194" t="s">
        <v>511</v>
      </c>
      <c r="C12" s="194" t="s">
        <v>676</v>
      </c>
      <c r="D12" s="194" t="s">
        <v>40</v>
      </c>
      <c r="E12" s="194" t="s">
        <v>157</v>
      </c>
      <c r="F12" s="195" t="s">
        <v>845</v>
      </c>
      <c r="G12" s="195" t="s">
        <v>846</v>
      </c>
      <c r="H12" s="195" t="s">
        <v>847</v>
      </c>
      <c r="I12" s="195" t="s">
        <v>848</v>
      </c>
      <c r="J12" s="194" t="s">
        <v>637</v>
      </c>
      <c r="K12" s="194" t="s">
        <v>241</v>
      </c>
      <c r="L12" s="194" t="s">
        <v>638</v>
      </c>
      <c r="M12" s="194"/>
      <c r="N12" s="196" t="s">
        <v>639</v>
      </c>
      <c r="O12" s="196"/>
      <c r="P12" s="196" t="s">
        <v>26</v>
      </c>
      <c r="Q12" s="196" t="s">
        <v>640</v>
      </c>
      <c r="R12" s="196"/>
      <c r="S12" s="196"/>
      <c r="T12" s="196"/>
      <c r="U12" s="196"/>
      <c r="V12" s="196"/>
      <c r="W12" s="196"/>
      <c r="X12" s="196"/>
      <c r="Y12" s="196"/>
      <c r="Z12" s="196"/>
      <c r="AA12" s="196"/>
      <c r="AB12" s="197"/>
      <c r="AC12" s="197"/>
      <c r="AD12" s="197"/>
      <c r="AE12" s="197"/>
      <c r="AF12" s="197"/>
      <c r="AG12" s="197"/>
      <c r="AH12" s="197"/>
      <c r="AI12" s="197"/>
      <c r="AJ12" s="197"/>
      <c r="AK12" s="197"/>
      <c r="AL12" s="197"/>
      <c r="AM12" s="198" t="str">
        <f aca="false">IF($A12="","",IF(OR($N12="Yes",$S12="Yes",$X12="Yes",$AC12="Yes",$AH12="Yes"),"Yes","No"))</f>
        <v>Yes</v>
      </c>
      <c r="AN12" s="198" t="str">
        <f aca="false">IF($A12="","",IFERROR(IF($AI12&lt;&gt;"",$AI12,IF($AD12&lt;&gt;"",$AD12,IF($Y12&lt;&gt;"",$Y12,IF($T12&lt;&gt;"",$T12,IF($O12&lt;&gt;"",$O12,""))))),""))</f>
        <v/>
      </c>
      <c r="AO12" s="198" t="str">
        <f aca="false">IFERROR(IF($AJ12&lt;&gt;"",$AJ12,IF($AE12&lt;&gt;"",$AE12,IF($Z12&lt;&gt;"",$Z12,IF($U12&lt;&gt;"",$U12,IF($P12&lt;&gt;"",$P12,""))))),"")</f>
        <v>Block</v>
      </c>
      <c r="AP12" s="199" t="s">
        <v>849</v>
      </c>
    </row>
    <row r="13" customFormat="false" ht="102" hidden="false" customHeight="true" outlineLevel="0" collapsed="false">
      <c r="A13" s="194" t="str">
        <f aca="false">IF(C13="","",$C$2&amp;"."&amp;COUNTA($C$8:C13)&amp;"")</f>
        <v>TC_03.5</v>
      </c>
      <c r="B13" s="194" t="s">
        <v>511</v>
      </c>
      <c r="C13" s="194" t="s">
        <v>850</v>
      </c>
      <c r="D13" s="194" t="s">
        <v>40</v>
      </c>
      <c r="E13" s="194" t="s">
        <v>157</v>
      </c>
      <c r="F13" s="195" t="s">
        <v>851</v>
      </c>
      <c r="G13" s="195" t="s">
        <v>852</v>
      </c>
      <c r="H13" s="195" t="s">
        <v>853</v>
      </c>
      <c r="I13" s="195" t="s">
        <v>854</v>
      </c>
      <c r="J13" s="194" t="s">
        <v>637</v>
      </c>
      <c r="K13" s="194" t="s">
        <v>241</v>
      </c>
      <c r="L13" s="194" t="s">
        <v>638</v>
      </c>
      <c r="M13" s="194"/>
      <c r="N13" s="196" t="s">
        <v>639</v>
      </c>
      <c r="O13" s="196"/>
      <c r="P13" s="196" t="s">
        <v>26</v>
      </c>
      <c r="Q13" s="196" t="s">
        <v>640</v>
      </c>
      <c r="R13" s="196"/>
      <c r="S13" s="196"/>
      <c r="T13" s="196"/>
      <c r="U13" s="196"/>
      <c r="V13" s="196"/>
      <c r="W13" s="196"/>
      <c r="X13" s="196"/>
      <c r="Y13" s="196"/>
      <c r="Z13" s="196"/>
      <c r="AA13" s="196"/>
      <c r="AB13" s="197"/>
      <c r="AC13" s="197"/>
      <c r="AD13" s="197"/>
      <c r="AE13" s="197"/>
      <c r="AF13" s="197"/>
      <c r="AG13" s="197"/>
      <c r="AH13" s="197"/>
      <c r="AI13" s="197"/>
      <c r="AJ13" s="197"/>
      <c r="AK13" s="197"/>
      <c r="AL13" s="197"/>
      <c r="AM13" s="198" t="str">
        <f aca="false">IF($A13="","",IF(OR($N13="Yes",$S13="Yes",$X13="Yes",$AC13="Yes",$AH13="Yes"),"Yes","No"))</f>
        <v>Yes</v>
      </c>
      <c r="AN13" s="198" t="str">
        <f aca="false">IF($A13="","",IFERROR(IF($AI13&lt;&gt;"",$AI13,IF($AD13&lt;&gt;"",$AD13,IF($Y13&lt;&gt;"",$Y13,IF($T13&lt;&gt;"",$T13,IF($O13&lt;&gt;"",$O13,""))))),""))</f>
        <v/>
      </c>
      <c r="AO13" s="198" t="str">
        <f aca="false">IFERROR(IF($AJ13&lt;&gt;"",$AJ13,IF($AE13&lt;&gt;"",$AE13,IF($Z13&lt;&gt;"",$Z13,IF($U13&lt;&gt;"",$U13,IF($P13&lt;&gt;"",$P13,""))))),"")</f>
        <v>Block</v>
      </c>
      <c r="AP13" s="199" t="s">
        <v>855</v>
      </c>
    </row>
    <row r="14" customFormat="false" ht="68.25" hidden="false" customHeight="true" outlineLevel="0" collapsed="false">
      <c r="A14" s="194" t="str">
        <f aca="false">IF(C14="","",$C$2&amp;"."&amp;COUNTA($C$8:C14)&amp;"")</f>
        <v>TC_03.6</v>
      </c>
      <c r="B14" s="194" t="s">
        <v>511</v>
      </c>
      <c r="C14" s="194" t="s">
        <v>850</v>
      </c>
      <c r="D14" s="194" t="s">
        <v>40</v>
      </c>
      <c r="E14" s="194" t="s">
        <v>157</v>
      </c>
      <c r="F14" s="195" t="s">
        <v>856</v>
      </c>
      <c r="G14" s="195" t="s">
        <v>857</v>
      </c>
      <c r="H14" s="195" t="s">
        <v>858</v>
      </c>
      <c r="I14" s="195" t="s">
        <v>859</v>
      </c>
      <c r="J14" s="194" t="s">
        <v>637</v>
      </c>
      <c r="K14" s="194" t="s">
        <v>241</v>
      </c>
      <c r="L14" s="194" t="s">
        <v>638</v>
      </c>
      <c r="M14" s="194"/>
      <c r="N14" s="196" t="s">
        <v>639</v>
      </c>
      <c r="O14" s="196"/>
      <c r="P14" s="196" t="s">
        <v>26</v>
      </c>
      <c r="Q14" s="196" t="s">
        <v>640</v>
      </c>
      <c r="R14" s="196"/>
      <c r="S14" s="196"/>
      <c r="T14" s="196"/>
      <c r="U14" s="196"/>
      <c r="V14" s="196"/>
      <c r="W14" s="196"/>
      <c r="X14" s="196"/>
      <c r="Y14" s="196"/>
      <c r="Z14" s="196"/>
      <c r="AA14" s="196"/>
      <c r="AB14" s="197"/>
      <c r="AC14" s="197"/>
      <c r="AD14" s="197"/>
      <c r="AE14" s="197"/>
      <c r="AF14" s="197"/>
      <c r="AG14" s="197"/>
      <c r="AH14" s="197"/>
      <c r="AI14" s="197"/>
      <c r="AJ14" s="197"/>
      <c r="AK14" s="197"/>
      <c r="AL14" s="197"/>
      <c r="AM14" s="198" t="str">
        <f aca="false">IF($A14="","",IF(OR($N14="Yes",$S14="Yes",$X14="Yes",$AC14="Yes",$AH14="Yes"),"Yes","No"))</f>
        <v>Yes</v>
      </c>
      <c r="AN14" s="198" t="str">
        <f aca="false">IF($A14="","",IFERROR(IF($AI14&lt;&gt;"",$AI14,IF($AD14&lt;&gt;"",$AD14,IF($Y14&lt;&gt;"",$Y14,IF($T14&lt;&gt;"",$T14,IF($O14&lt;&gt;"",$O14,""))))),""))</f>
        <v/>
      </c>
      <c r="AO14" s="198" t="str">
        <f aca="false">IFERROR(IF($AJ14&lt;&gt;"",$AJ14,IF($AE14&lt;&gt;"",$AE14,IF($Z14&lt;&gt;"",$Z14,IF($U14&lt;&gt;"",$U14,IF($P14&lt;&gt;"",$P14,""))))),"")</f>
        <v>Block</v>
      </c>
      <c r="AP14" s="199" t="s">
        <v>860</v>
      </c>
    </row>
    <row r="15" customFormat="false" ht="81.75" hidden="false" customHeight="true" outlineLevel="0" collapsed="false">
      <c r="A15" s="194" t="str">
        <f aca="false">IF(C15="","",$C$2&amp;"."&amp;COUNTA($C$8:C15)&amp;"")</f>
        <v>TC_03.7</v>
      </c>
      <c r="B15" s="194" t="s">
        <v>511</v>
      </c>
      <c r="C15" s="194" t="s">
        <v>676</v>
      </c>
      <c r="D15" s="194" t="s">
        <v>40</v>
      </c>
      <c r="E15" s="194" t="s">
        <v>157</v>
      </c>
      <c r="F15" s="195" t="s">
        <v>861</v>
      </c>
      <c r="G15" s="195" t="s">
        <v>862</v>
      </c>
      <c r="H15" s="195" t="s">
        <v>863</v>
      </c>
      <c r="I15" s="195" t="s">
        <v>864</v>
      </c>
      <c r="J15" s="194" t="s">
        <v>637</v>
      </c>
      <c r="K15" s="194" t="s">
        <v>241</v>
      </c>
      <c r="L15" s="194" t="s">
        <v>638</v>
      </c>
      <c r="M15" s="194"/>
      <c r="N15" s="196" t="s">
        <v>639</v>
      </c>
      <c r="O15" s="196"/>
      <c r="P15" s="196" t="s">
        <v>26</v>
      </c>
      <c r="Q15" s="196" t="s">
        <v>640</v>
      </c>
      <c r="R15" s="196"/>
      <c r="S15" s="196"/>
      <c r="T15" s="196"/>
      <c r="U15" s="196"/>
      <c r="V15" s="196"/>
      <c r="W15" s="196"/>
      <c r="X15" s="196"/>
      <c r="Y15" s="196"/>
      <c r="Z15" s="196"/>
      <c r="AA15" s="196"/>
      <c r="AB15" s="197"/>
      <c r="AC15" s="197"/>
      <c r="AD15" s="197"/>
      <c r="AE15" s="197"/>
      <c r="AF15" s="197"/>
      <c r="AG15" s="197"/>
      <c r="AH15" s="197"/>
      <c r="AI15" s="197"/>
      <c r="AJ15" s="197"/>
      <c r="AK15" s="197"/>
      <c r="AL15" s="197"/>
      <c r="AM15" s="198" t="str">
        <f aca="false">IF($A15="","",IF(OR($N15="Yes",$S15="Yes",$X15="Yes",$AC15="Yes",$AH15="Yes"),"Yes","No"))</f>
        <v>Yes</v>
      </c>
      <c r="AN15" s="198" t="str">
        <f aca="false">IF($A15="","",IFERROR(IF($AI15&lt;&gt;"",$AI15,IF($AD15&lt;&gt;"",$AD15,IF($Y15&lt;&gt;"",$Y15,IF($T15&lt;&gt;"",$T15,IF($O15&lt;&gt;"",$O15,""))))),""))</f>
        <v/>
      </c>
      <c r="AO15" s="198" t="str">
        <f aca="false">IFERROR(IF($AJ15&lt;&gt;"",$AJ15,IF($AE15&lt;&gt;"",$AE15,IF($Z15&lt;&gt;"",$Z15,IF($U15&lt;&gt;"",$U15,IF($P15&lt;&gt;"",$P15,""))))),"")</f>
        <v>Block</v>
      </c>
      <c r="AP15" s="199" t="s">
        <v>865</v>
      </c>
    </row>
    <row r="16" customFormat="false" ht="57" hidden="false" customHeight="true" outlineLevel="0" collapsed="false">
      <c r="A16" s="194" t="str">
        <f aca="false">IF(C16="","",$C$2&amp;"."&amp;COUNTA($C$8:C16)&amp;"")</f>
        <v>TC_03.8</v>
      </c>
      <c r="B16" s="194" t="s">
        <v>511</v>
      </c>
      <c r="C16" s="194" t="s">
        <v>866</v>
      </c>
      <c r="D16" s="194" t="s">
        <v>40</v>
      </c>
      <c r="E16" s="194" t="s">
        <v>157</v>
      </c>
      <c r="F16" s="195" t="s">
        <v>867</v>
      </c>
      <c r="G16" s="195" t="s">
        <v>868</v>
      </c>
      <c r="H16" s="195" t="s">
        <v>869</v>
      </c>
      <c r="I16" s="195" t="s">
        <v>870</v>
      </c>
      <c r="J16" s="194" t="s">
        <v>637</v>
      </c>
      <c r="K16" s="194" t="s">
        <v>241</v>
      </c>
      <c r="L16" s="194" t="s">
        <v>638</v>
      </c>
      <c r="M16" s="194"/>
      <c r="N16" s="196" t="s">
        <v>639</v>
      </c>
      <c r="O16" s="196"/>
      <c r="P16" s="196" t="s">
        <v>26</v>
      </c>
      <c r="Q16" s="196" t="s">
        <v>640</v>
      </c>
      <c r="R16" s="196"/>
      <c r="S16" s="196"/>
      <c r="T16" s="196"/>
      <c r="U16" s="196"/>
      <c r="V16" s="196"/>
      <c r="W16" s="196"/>
      <c r="X16" s="196"/>
      <c r="Y16" s="196"/>
      <c r="Z16" s="196"/>
      <c r="AA16" s="196"/>
      <c r="AB16" s="197"/>
      <c r="AC16" s="197"/>
      <c r="AD16" s="197"/>
      <c r="AE16" s="197"/>
      <c r="AF16" s="197"/>
      <c r="AG16" s="197"/>
      <c r="AH16" s="197"/>
      <c r="AI16" s="197"/>
      <c r="AJ16" s="197"/>
      <c r="AK16" s="197"/>
      <c r="AL16" s="197"/>
      <c r="AM16" s="198" t="str">
        <f aca="false">IF($A16="","",IF(OR($N16="Yes",$S16="Yes",$X16="Yes",$AC16="Yes",$AH16="Yes"),"Yes","No"))</f>
        <v>Yes</v>
      </c>
      <c r="AN16" s="198" t="str">
        <f aca="false">IF($A16="","",IFERROR(IF($AI16&lt;&gt;"",$AI16,IF($AD16&lt;&gt;"",$AD16,IF($Y16&lt;&gt;"",$Y16,IF($T16&lt;&gt;"",$T16,IF($O16&lt;&gt;"",$O16,""))))),""))</f>
        <v/>
      </c>
      <c r="AO16" s="198" t="str">
        <f aca="false">IFERROR(IF($AJ16&lt;&gt;"",$AJ16,IF($AE16&lt;&gt;"",$AE16,IF($Z16&lt;&gt;"",$Z16,IF($U16&lt;&gt;"",$U16,IF($P16&lt;&gt;"",$P16,""))))),"")</f>
        <v>Block</v>
      </c>
      <c r="AP16" s="199" t="s">
        <v>871</v>
      </c>
    </row>
    <row r="17" customFormat="false" ht="68.25" hidden="false" customHeight="true" outlineLevel="0" collapsed="false">
      <c r="A17" s="194" t="str">
        <f aca="false">IF(C17="","",$C$2&amp;"."&amp;COUNTA($C$8:C17)&amp;"")</f>
        <v>TC_03.9</v>
      </c>
      <c r="B17" s="194" t="s">
        <v>511</v>
      </c>
      <c r="C17" s="194" t="s">
        <v>676</v>
      </c>
      <c r="D17" s="194" t="s">
        <v>40</v>
      </c>
      <c r="E17" s="194" t="s">
        <v>157</v>
      </c>
      <c r="F17" s="195" t="s">
        <v>872</v>
      </c>
      <c r="G17" s="195" t="s">
        <v>873</v>
      </c>
      <c r="H17" s="195" t="s">
        <v>874</v>
      </c>
      <c r="I17" s="195" t="s">
        <v>875</v>
      </c>
      <c r="J17" s="194" t="s">
        <v>637</v>
      </c>
      <c r="K17" s="194" t="s">
        <v>241</v>
      </c>
      <c r="L17" s="194" t="s">
        <v>638</v>
      </c>
      <c r="M17" s="194"/>
      <c r="N17" s="196" t="s">
        <v>639</v>
      </c>
      <c r="O17" s="196"/>
      <c r="P17" s="196" t="s">
        <v>26</v>
      </c>
      <c r="Q17" s="196" t="s">
        <v>640</v>
      </c>
      <c r="R17" s="196"/>
      <c r="S17" s="196"/>
      <c r="T17" s="196"/>
      <c r="U17" s="196"/>
      <c r="V17" s="196"/>
      <c r="W17" s="196"/>
      <c r="X17" s="196"/>
      <c r="Y17" s="196"/>
      <c r="Z17" s="196"/>
      <c r="AA17" s="196"/>
      <c r="AB17" s="197"/>
      <c r="AC17" s="197"/>
      <c r="AD17" s="197"/>
      <c r="AE17" s="197"/>
      <c r="AF17" s="197"/>
      <c r="AG17" s="197"/>
      <c r="AH17" s="197"/>
      <c r="AI17" s="197"/>
      <c r="AJ17" s="197"/>
      <c r="AK17" s="197"/>
      <c r="AL17" s="197"/>
      <c r="AM17" s="198" t="str">
        <f aca="false">IF($A17="","",IF(OR($N17="Yes",$S17="Yes",$X17="Yes",$AC17="Yes",$AH17="Yes"),"Yes","No"))</f>
        <v>Yes</v>
      </c>
      <c r="AN17" s="198" t="str">
        <f aca="false">IF($A17="","",IFERROR(IF($AI17&lt;&gt;"",$AI17,IF($AD17&lt;&gt;"",$AD17,IF($Y17&lt;&gt;"",$Y17,IF($T17&lt;&gt;"",$T17,IF($O17&lt;&gt;"",$O17,""))))),""))</f>
        <v/>
      </c>
      <c r="AO17" s="198" t="str">
        <f aca="false">IFERROR(IF($AJ17&lt;&gt;"",$AJ17,IF($AE17&lt;&gt;"",$AE17,IF($Z17&lt;&gt;"",$Z17,IF($U17&lt;&gt;"",$U17,IF($P17&lt;&gt;"",$P17,""))))),"")</f>
        <v>Block</v>
      </c>
      <c r="AP17" s="199" t="s">
        <v>876</v>
      </c>
    </row>
    <row r="18" customFormat="false" ht="41.25" hidden="false" customHeight="true" outlineLevel="0" collapsed="false">
      <c r="A18" s="194" t="str">
        <f aca="false">IF(C18="","",$C$2&amp;"."&amp;COUNTA($C$8:C18)&amp;"")</f>
        <v>TC_03.10</v>
      </c>
      <c r="B18" s="194" t="s">
        <v>511</v>
      </c>
      <c r="C18" s="194" t="s">
        <v>877</v>
      </c>
      <c r="D18" s="194" t="s">
        <v>40</v>
      </c>
      <c r="E18" s="194" t="s">
        <v>157</v>
      </c>
      <c r="F18" s="195" t="s">
        <v>878</v>
      </c>
      <c r="G18" s="195" t="s">
        <v>879</v>
      </c>
      <c r="H18" s="195" t="s">
        <v>880</v>
      </c>
      <c r="I18" s="195" t="s">
        <v>881</v>
      </c>
      <c r="J18" s="194" t="s">
        <v>637</v>
      </c>
      <c r="K18" s="194" t="s">
        <v>241</v>
      </c>
      <c r="L18" s="194" t="s">
        <v>638</v>
      </c>
      <c r="M18" s="194"/>
      <c r="N18" s="196" t="s">
        <v>639</v>
      </c>
      <c r="O18" s="196"/>
      <c r="P18" s="196" t="s">
        <v>26</v>
      </c>
      <c r="Q18" s="196" t="s">
        <v>640</v>
      </c>
      <c r="R18" s="196"/>
      <c r="S18" s="196"/>
      <c r="T18" s="196"/>
      <c r="U18" s="196"/>
      <c r="V18" s="196"/>
      <c r="W18" s="196"/>
      <c r="X18" s="196"/>
      <c r="Y18" s="196"/>
      <c r="Z18" s="196"/>
      <c r="AA18" s="196"/>
      <c r="AB18" s="197"/>
      <c r="AC18" s="197"/>
      <c r="AD18" s="197"/>
      <c r="AE18" s="197"/>
      <c r="AF18" s="197"/>
      <c r="AG18" s="197"/>
      <c r="AH18" s="197"/>
      <c r="AI18" s="197"/>
      <c r="AJ18" s="197"/>
      <c r="AK18" s="197"/>
      <c r="AL18" s="197"/>
      <c r="AM18" s="198" t="str">
        <f aca="false">IF($A18="","",IF(OR($N18="Yes",$S18="Yes",$X18="Yes",$AC18="Yes",$AH18="Yes"),"Yes","No"))</f>
        <v>Yes</v>
      </c>
      <c r="AN18" s="198" t="str">
        <f aca="false">IF($A18="","",IFERROR(IF($AI18&lt;&gt;"",$AI18,IF($AD18&lt;&gt;"",$AD18,IF($Y18&lt;&gt;"",$Y18,IF($T18&lt;&gt;"",$T18,IF($O18&lt;&gt;"",$O18,""))))),""))</f>
        <v/>
      </c>
      <c r="AO18" s="198" t="str">
        <f aca="false">IFERROR(IF($AJ18&lt;&gt;"",$AJ18,IF($AE18&lt;&gt;"",$AE18,IF($Z18&lt;&gt;"",$Z18,IF($U18&lt;&gt;"",$U18,IF($P18&lt;&gt;"",$P18,""))))),"")</f>
        <v>Block</v>
      </c>
      <c r="AP18" s="199" t="s">
        <v>882</v>
      </c>
    </row>
    <row r="19" customFormat="false" ht="124.5" hidden="false" customHeight="true" outlineLevel="0" collapsed="false">
      <c r="A19" s="194" t="str">
        <f aca="false">IF(C19="","",$C$2&amp;"."&amp;COUNTA($C$8:C19)&amp;"")</f>
        <v>TC_03.11</v>
      </c>
      <c r="B19" s="194" t="s">
        <v>511</v>
      </c>
      <c r="C19" s="194" t="s">
        <v>676</v>
      </c>
      <c r="D19" s="194" t="s">
        <v>40</v>
      </c>
      <c r="E19" s="194" t="s">
        <v>157</v>
      </c>
      <c r="F19" s="195" t="s">
        <v>883</v>
      </c>
      <c r="G19" s="195" t="s">
        <v>884</v>
      </c>
      <c r="H19" s="195" t="s">
        <v>885</v>
      </c>
      <c r="I19" s="195" t="s">
        <v>886</v>
      </c>
      <c r="J19" s="194" t="s">
        <v>637</v>
      </c>
      <c r="K19" s="194" t="s">
        <v>241</v>
      </c>
      <c r="L19" s="194" t="s">
        <v>638</v>
      </c>
      <c r="M19" s="194"/>
      <c r="N19" s="196" t="s">
        <v>639</v>
      </c>
      <c r="O19" s="196"/>
      <c r="P19" s="196" t="s">
        <v>26</v>
      </c>
      <c r="Q19" s="196" t="s">
        <v>640</v>
      </c>
      <c r="R19" s="196"/>
      <c r="S19" s="196"/>
      <c r="T19" s="196"/>
      <c r="U19" s="196"/>
      <c r="V19" s="196"/>
      <c r="W19" s="196"/>
      <c r="X19" s="196"/>
      <c r="Y19" s="196"/>
      <c r="Z19" s="196"/>
      <c r="AA19" s="196"/>
      <c r="AB19" s="197"/>
      <c r="AC19" s="197"/>
      <c r="AD19" s="197"/>
      <c r="AE19" s="197"/>
      <c r="AF19" s="197"/>
      <c r="AG19" s="197"/>
      <c r="AH19" s="197"/>
      <c r="AI19" s="197"/>
      <c r="AJ19" s="197"/>
      <c r="AK19" s="197"/>
      <c r="AL19" s="197"/>
      <c r="AM19" s="198" t="str">
        <f aca="false">IF($A19="","",IF(OR($N19="Yes",$S19="Yes",$X19="Yes",$AC19="Yes",$AH19="Yes"),"Yes","No"))</f>
        <v>Yes</v>
      </c>
      <c r="AN19" s="198" t="str">
        <f aca="false">IF($A19="","",IFERROR(IF($AI19&lt;&gt;"",$AI19,IF($AD19&lt;&gt;"",$AD19,IF($Y19&lt;&gt;"",$Y19,IF($T19&lt;&gt;"",$T19,IF($O19&lt;&gt;"",$O19,""))))),""))</f>
        <v/>
      </c>
      <c r="AO19" s="198" t="str">
        <f aca="false">IFERROR(IF($AJ19&lt;&gt;"",$AJ19,IF($AE19&lt;&gt;"",$AE19,IF($Z19&lt;&gt;"",$Z19,IF($U19&lt;&gt;"",$U19,IF($P19&lt;&gt;"",$P19,""))))),"")</f>
        <v>Block</v>
      </c>
      <c r="AP19" s="199" t="s">
        <v>887</v>
      </c>
    </row>
    <row r="20" customFormat="false" ht="15" hidden="false" customHeight="true" outlineLevel="0" collapsed="false">
      <c r="A20" s="194"/>
      <c r="B20" s="194"/>
      <c r="C20" s="194"/>
      <c r="D20" s="194"/>
      <c r="E20" s="194"/>
      <c r="F20" s="195"/>
      <c r="G20" s="195"/>
      <c r="H20" s="195"/>
      <c r="I20" s="195"/>
      <c r="J20" s="194"/>
      <c r="K20" s="194"/>
      <c r="L20" s="194"/>
      <c r="M20" s="194"/>
      <c r="N20" s="196"/>
      <c r="O20" s="196"/>
      <c r="P20" s="196"/>
      <c r="Q20" s="196"/>
      <c r="R20" s="196"/>
      <c r="S20" s="196"/>
      <c r="T20" s="196"/>
      <c r="U20" s="196"/>
      <c r="V20" s="196"/>
      <c r="W20" s="196"/>
      <c r="X20" s="196"/>
      <c r="Y20" s="196"/>
      <c r="Z20" s="196"/>
      <c r="AA20" s="196"/>
      <c r="AB20" s="197"/>
      <c r="AC20" s="197"/>
      <c r="AD20" s="197"/>
      <c r="AE20" s="197"/>
      <c r="AF20" s="197"/>
      <c r="AG20" s="197"/>
      <c r="AH20" s="197"/>
      <c r="AI20" s="197"/>
      <c r="AJ20" s="197"/>
      <c r="AK20" s="197"/>
      <c r="AL20" s="197"/>
      <c r="AM20" s="198"/>
      <c r="AN20" s="198"/>
      <c r="AO20" s="198"/>
      <c r="AP20" s="199"/>
    </row>
    <row r="21" customFormat="false" ht="81.75" hidden="false" customHeight="true" outlineLevel="0" collapsed="false">
      <c r="A21" s="194" t="str">
        <f aca="false">IF(C21="","",$C$2&amp;"."&amp;COUNTA($C$8:C21)&amp;"")</f>
        <v>TC_03.12</v>
      </c>
      <c r="B21" s="194" t="s">
        <v>888</v>
      </c>
      <c r="C21" s="194" t="s">
        <v>850</v>
      </c>
      <c r="D21" s="194" t="s">
        <v>40</v>
      </c>
      <c r="E21" s="194" t="s">
        <v>158</v>
      </c>
      <c r="F21" s="195" t="s">
        <v>889</v>
      </c>
      <c r="G21" s="195" t="s">
        <v>890</v>
      </c>
      <c r="H21" s="195" t="s">
        <v>891</v>
      </c>
      <c r="I21" s="195" t="s">
        <v>892</v>
      </c>
      <c r="J21" s="194" t="s">
        <v>637</v>
      </c>
      <c r="K21" s="194" t="s">
        <v>241</v>
      </c>
      <c r="L21" s="194" t="s">
        <v>638</v>
      </c>
      <c r="M21" s="194"/>
      <c r="N21" s="196" t="s">
        <v>639</v>
      </c>
      <c r="O21" s="196"/>
      <c r="P21" s="196" t="s">
        <v>26</v>
      </c>
      <c r="Q21" s="196" t="s">
        <v>640</v>
      </c>
      <c r="R21" s="196"/>
      <c r="S21" s="196"/>
      <c r="T21" s="196"/>
      <c r="U21" s="196"/>
      <c r="V21" s="196"/>
      <c r="W21" s="196"/>
      <c r="X21" s="196"/>
      <c r="Y21" s="196"/>
      <c r="Z21" s="196"/>
      <c r="AA21" s="196"/>
      <c r="AB21" s="197"/>
      <c r="AC21" s="197"/>
      <c r="AD21" s="197"/>
      <c r="AE21" s="197"/>
      <c r="AF21" s="197"/>
      <c r="AG21" s="197"/>
      <c r="AH21" s="197"/>
      <c r="AI21" s="197"/>
      <c r="AJ21" s="197"/>
      <c r="AK21" s="197"/>
      <c r="AL21" s="197"/>
      <c r="AM21" s="198" t="str">
        <f aca="false">IF($A21="","",IF(OR($N21="Yes",$S21="Yes",$X21="Yes",$AC21="Yes",$AH21="Yes"),"Yes","No"))</f>
        <v>Yes</v>
      </c>
      <c r="AN21" s="198" t="str">
        <f aca="false">IF($A21="","",IFERROR(IF($AI21&lt;&gt;"",$AI21,IF($AD21&lt;&gt;"",$AD21,IF($Y21&lt;&gt;"",$Y21,IF($T21&lt;&gt;"",$T21,IF($O21&lt;&gt;"",$O21,""))))),""))</f>
        <v/>
      </c>
      <c r="AO21" s="198" t="str">
        <f aca="false">IFERROR(IF($AJ21&lt;&gt;"",$AJ21,IF($AE21&lt;&gt;"",$AE21,IF($Z21&lt;&gt;"",$Z21,IF($U21&lt;&gt;"",$U21,IF($P21&lt;&gt;"",$P21,""))))),"")</f>
        <v>Block</v>
      </c>
      <c r="AP21" s="199" t="s">
        <v>893</v>
      </c>
    </row>
    <row r="22" customFormat="false" ht="57" hidden="false" customHeight="true" outlineLevel="0" collapsed="false">
      <c r="A22" s="194" t="str">
        <f aca="false">IF(C22="","",$C$2&amp;"."&amp;COUNTA($C$8:C22)&amp;"")</f>
        <v>TC_03.13</v>
      </c>
      <c r="B22" s="194" t="s">
        <v>511</v>
      </c>
      <c r="C22" s="194" t="s">
        <v>850</v>
      </c>
      <c r="D22" s="194" t="s">
        <v>40</v>
      </c>
      <c r="E22" s="194" t="s">
        <v>157</v>
      </c>
      <c r="F22" s="195" t="s">
        <v>894</v>
      </c>
      <c r="G22" s="195" t="s">
        <v>895</v>
      </c>
      <c r="H22" s="195" t="s">
        <v>896</v>
      </c>
      <c r="I22" s="195" t="s">
        <v>897</v>
      </c>
      <c r="J22" s="194" t="s">
        <v>637</v>
      </c>
      <c r="K22" s="194" t="s">
        <v>241</v>
      </c>
      <c r="L22" s="194" t="s">
        <v>638</v>
      </c>
      <c r="M22" s="194"/>
      <c r="N22" s="196" t="s">
        <v>639</v>
      </c>
      <c r="O22" s="196"/>
      <c r="P22" s="196" t="s">
        <v>26</v>
      </c>
      <c r="Q22" s="196" t="s">
        <v>640</v>
      </c>
      <c r="R22" s="196"/>
      <c r="S22" s="196"/>
      <c r="T22" s="196"/>
      <c r="U22" s="196"/>
      <c r="V22" s="196"/>
      <c r="W22" s="196"/>
      <c r="X22" s="196"/>
      <c r="Y22" s="196"/>
      <c r="Z22" s="196"/>
      <c r="AA22" s="196"/>
      <c r="AB22" s="197"/>
      <c r="AC22" s="197"/>
      <c r="AD22" s="197"/>
      <c r="AE22" s="197"/>
      <c r="AF22" s="197"/>
      <c r="AG22" s="197"/>
      <c r="AH22" s="197"/>
      <c r="AI22" s="197"/>
      <c r="AJ22" s="197"/>
      <c r="AK22" s="197"/>
      <c r="AL22" s="197"/>
      <c r="AM22" s="198" t="str">
        <f aca="false">IF($A22="","",IF(OR($N22="Yes",$S22="Yes",$X22="Yes",$AC22="Yes",$AH22="Yes"),"Yes","No"))</f>
        <v>Yes</v>
      </c>
      <c r="AN22" s="198" t="str">
        <f aca="false">IF($A22="","",IFERROR(IF($AI22&lt;&gt;"",$AI22,IF($AD22&lt;&gt;"",$AD22,IF($Y22&lt;&gt;"",$Y22,IF($T22&lt;&gt;"",$T22,IF($O22&lt;&gt;"",$O22,""))))),""))</f>
        <v/>
      </c>
      <c r="AO22" s="198" t="str">
        <f aca="false">IFERROR(IF($AJ22&lt;&gt;"",$AJ22,IF($AE22&lt;&gt;"",$AE22,IF($Z22&lt;&gt;"",$Z22,IF($U22&lt;&gt;"",$U22,IF($P22&lt;&gt;"",$P22,""))))),"")</f>
        <v>Block</v>
      </c>
      <c r="AP22" s="199" t="s">
        <v>898</v>
      </c>
    </row>
    <row r="23" customFormat="false" ht="102" hidden="false" customHeight="true" outlineLevel="0" collapsed="false">
      <c r="A23" s="194" t="str">
        <f aca="false">IF(C23="","",$C$2&amp;"."&amp;COUNTA($C$8:C23)&amp;"")</f>
        <v>TC_03.14</v>
      </c>
      <c r="B23" s="194" t="s">
        <v>511</v>
      </c>
      <c r="C23" s="194" t="s">
        <v>899</v>
      </c>
      <c r="D23" s="194" t="s">
        <v>40</v>
      </c>
      <c r="E23" s="194" t="s">
        <v>157</v>
      </c>
      <c r="F23" s="195" t="s">
        <v>900</v>
      </c>
      <c r="G23" s="195" t="s">
        <v>901</v>
      </c>
      <c r="H23" s="195" t="s">
        <v>902</v>
      </c>
      <c r="I23" s="195" t="s">
        <v>903</v>
      </c>
      <c r="J23" s="194" t="s">
        <v>637</v>
      </c>
      <c r="K23" s="194" t="s">
        <v>241</v>
      </c>
      <c r="L23" s="194" t="s">
        <v>638</v>
      </c>
      <c r="M23" s="194"/>
      <c r="N23" s="196" t="s">
        <v>639</v>
      </c>
      <c r="O23" s="196"/>
      <c r="P23" s="196" t="s">
        <v>26</v>
      </c>
      <c r="Q23" s="196" t="s">
        <v>640</v>
      </c>
      <c r="R23" s="196"/>
      <c r="S23" s="196"/>
      <c r="T23" s="196"/>
      <c r="U23" s="196"/>
      <c r="V23" s="196"/>
      <c r="W23" s="196"/>
      <c r="X23" s="196"/>
      <c r="Y23" s="196"/>
      <c r="Z23" s="196"/>
      <c r="AA23" s="196"/>
      <c r="AB23" s="197"/>
      <c r="AC23" s="197"/>
      <c r="AD23" s="197"/>
      <c r="AE23" s="197"/>
      <c r="AF23" s="197"/>
      <c r="AG23" s="197"/>
      <c r="AH23" s="197"/>
      <c r="AI23" s="197"/>
      <c r="AJ23" s="197"/>
      <c r="AK23" s="197"/>
      <c r="AL23" s="197"/>
      <c r="AM23" s="198" t="str">
        <f aca="false">IF($A23="","",IF(OR($N23="Yes",$S23="Yes",$X23="Yes",$AC23="Yes",$AH23="Yes"),"Yes","No"))</f>
        <v>Yes</v>
      </c>
      <c r="AN23" s="198" t="str">
        <f aca="false">IF($A23="","",IFERROR(IF($AI23&lt;&gt;"",$AI23,IF($AD23&lt;&gt;"",$AD23,IF($Y23&lt;&gt;"",$Y23,IF($T23&lt;&gt;"",$T23,IF($O23&lt;&gt;"",$O23,""))))),""))</f>
        <v/>
      </c>
      <c r="AO23" s="198" t="str">
        <f aca="false">IFERROR(IF($AJ23&lt;&gt;"",$AJ23,IF($AE23&lt;&gt;"",$AE23,IF($Z23&lt;&gt;"",$Z23,IF($U23&lt;&gt;"",$U23,IF($P23&lt;&gt;"",$P23,""))))),"")</f>
        <v>Block</v>
      </c>
      <c r="AP23" s="199" t="s">
        <v>904</v>
      </c>
    </row>
    <row r="24" customFormat="false" ht="90.75" hidden="false" customHeight="true" outlineLevel="0" collapsed="false">
      <c r="A24" s="194" t="str">
        <f aca="false">IF(C24="","",$C$2&amp;"."&amp;COUNTA($C$8:C24)&amp;"")</f>
        <v>TC_03.15</v>
      </c>
      <c r="B24" s="194" t="s">
        <v>511</v>
      </c>
      <c r="C24" s="194" t="s">
        <v>899</v>
      </c>
      <c r="D24" s="194" t="s">
        <v>40</v>
      </c>
      <c r="E24" s="194" t="s">
        <v>157</v>
      </c>
      <c r="F24" s="195" t="s">
        <v>905</v>
      </c>
      <c r="G24" s="195" t="s">
        <v>906</v>
      </c>
      <c r="H24" s="195" t="s">
        <v>907</v>
      </c>
      <c r="I24" s="195" t="s">
        <v>908</v>
      </c>
      <c r="J24" s="194" t="s">
        <v>637</v>
      </c>
      <c r="K24" s="194" t="s">
        <v>241</v>
      </c>
      <c r="L24" s="194" t="s">
        <v>638</v>
      </c>
      <c r="M24" s="194"/>
      <c r="N24" s="196" t="s">
        <v>639</v>
      </c>
      <c r="O24" s="196"/>
      <c r="P24" s="196" t="s">
        <v>26</v>
      </c>
      <c r="Q24" s="196" t="s">
        <v>640</v>
      </c>
      <c r="R24" s="196"/>
      <c r="S24" s="196"/>
      <c r="T24" s="196"/>
      <c r="U24" s="196"/>
      <c r="V24" s="196"/>
      <c r="W24" s="196"/>
      <c r="X24" s="196"/>
      <c r="Y24" s="196"/>
      <c r="Z24" s="196"/>
      <c r="AA24" s="196"/>
      <c r="AB24" s="197"/>
      <c r="AC24" s="197"/>
      <c r="AD24" s="197"/>
      <c r="AE24" s="197"/>
      <c r="AF24" s="197"/>
      <c r="AG24" s="197"/>
      <c r="AH24" s="197"/>
      <c r="AI24" s="197"/>
      <c r="AJ24" s="197"/>
      <c r="AK24" s="197"/>
      <c r="AL24" s="197"/>
      <c r="AM24" s="198" t="str">
        <f aca="false">IF($A24="","",IF(OR($N24="Yes",$S24="Yes",$X24="Yes",$AC24="Yes",$AH24="Yes"),"Yes","No"))</f>
        <v>Yes</v>
      </c>
      <c r="AN24" s="198" t="str">
        <f aca="false">IF($A24="","",IFERROR(IF($AI24&lt;&gt;"",$AI24,IF($AD24&lt;&gt;"",$AD24,IF($Y24&lt;&gt;"",$Y24,IF($T24&lt;&gt;"",$T24,IF($O24&lt;&gt;"",$O24,""))))),""))</f>
        <v/>
      </c>
      <c r="AO24" s="198" t="str">
        <f aca="false">IFERROR(IF($AJ24&lt;&gt;"",$AJ24,IF($AE24&lt;&gt;"",$AE24,IF($Z24&lt;&gt;"",$Z24,IF($U24&lt;&gt;"",$U24,IF($P24&lt;&gt;"",$P24,""))))),"")</f>
        <v>Block</v>
      </c>
      <c r="AP24" s="199" t="s">
        <v>909</v>
      </c>
    </row>
    <row r="25" customFormat="false" ht="68.25" hidden="false" customHeight="true" outlineLevel="0" collapsed="false">
      <c r="A25" s="194" t="str">
        <f aca="false">IF(C25="","",$C$2&amp;"."&amp;COUNTA($C$8:C25)&amp;"")</f>
        <v>TC_03.16</v>
      </c>
      <c r="B25" s="194" t="s">
        <v>511</v>
      </c>
      <c r="C25" s="194" t="s">
        <v>676</v>
      </c>
      <c r="D25" s="194" t="s">
        <v>40</v>
      </c>
      <c r="E25" s="194" t="s">
        <v>157</v>
      </c>
      <c r="F25" s="195" t="s">
        <v>910</v>
      </c>
      <c r="G25" s="195" t="s">
        <v>911</v>
      </c>
      <c r="H25" s="195" t="s">
        <v>912</v>
      </c>
      <c r="I25" s="195" t="s">
        <v>913</v>
      </c>
      <c r="J25" s="194" t="s">
        <v>637</v>
      </c>
      <c r="K25" s="194" t="s">
        <v>241</v>
      </c>
      <c r="L25" s="194" t="s">
        <v>638</v>
      </c>
      <c r="M25" s="194"/>
      <c r="N25" s="196" t="s">
        <v>639</v>
      </c>
      <c r="O25" s="196"/>
      <c r="P25" s="196" t="s">
        <v>26</v>
      </c>
      <c r="Q25" s="196" t="s">
        <v>640</v>
      </c>
      <c r="R25" s="196"/>
      <c r="S25" s="196"/>
      <c r="T25" s="196"/>
      <c r="U25" s="196"/>
      <c r="V25" s="196"/>
      <c r="W25" s="196"/>
      <c r="X25" s="196"/>
      <c r="Y25" s="196"/>
      <c r="Z25" s="196"/>
      <c r="AA25" s="196"/>
      <c r="AB25" s="197"/>
      <c r="AC25" s="197"/>
      <c r="AD25" s="197"/>
      <c r="AE25" s="197"/>
      <c r="AF25" s="197"/>
      <c r="AG25" s="197"/>
      <c r="AH25" s="197"/>
      <c r="AI25" s="197"/>
      <c r="AJ25" s="197"/>
      <c r="AK25" s="197"/>
      <c r="AL25" s="197"/>
      <c r="AM25" s="198" t="str">
        <f aca="false">IF($A25="","",IF(OR($N25="Yes",$S25="Yes",$X25="Yes",$AC25="Yes",$AH25="Yes"),"Yes","No"))</f>
        <v>Yes</v>
      </c>
      <c r="AN25" s="198" t="str">
        <f aca="false">IF($A25="","",IFERROR(IF($AI25&lt;&gt;"",$AI25,IF($AD25&lt;&gt;"",$AD25,IF($Y25&lt;&gt;"",$Y25,IF($T25&lt;&gt;"",$T25,IF($O25&lt;&gt;"",$O25,""))))),""))</f>
        <v/>
      </c>
      <c r="AO25" s="198" t="str">
        <f aca="false">IFERROR(IF($AJ25&lt;&gt;"",$AJ25,IF($AE25&lt;&gt;"",$AE25,IF($Z25&lt;&gt;"",$Z25,IF($U25&lt;&gt;"",$U25,IF($P25&lt;&gt;"",$P25,""))))),"")</f>
        <v>Block</v>
      </c>
      <c r="AP25" s="199" t="s">
        <v>914</v>
      </c>
    </row>
    <row r="26" customFormat="false" ht="15" hidden="false" customHeight="true" outlineLevel="0" collapsed="false">
      <c r="A26" s="194"/>
      <c r="B26" s="200" t="s">
        <v>915</v>
      </c>
      <c r="C26" s="200"/>
      <c r="D26" s="200"/>
      <c r="E26" s="200"/>
      <c r="F26" s="200"/>
      <c r="G26" s="200"/>
      <c r="H26" s="200"/>
      <c r="I26" s="200"/>
      <c r="J26" s="194"/>
      <c r="K26" s="194"/>
      <c r="L26" s="194"/>
      <c r="M26" s="194"/>
      <c r="N26" s="196"/>
      <c r="O26" s="196"/>
      <c r="P26" s="196"/>
      <c r="Q26" s="196"/>
      <c r="R26" s="196"/>
      <c r="S26" s="196"/>
      <c r="T26" s="196"/>
      <c r="U26" s="196"/>
      <c r="V26" s="196"/>
      <c r="W26" s="196"/>
      <c r="X26" s="196"/>
      <c r="Y26" s="196"/>
      <c r="Z26" s="196"/>
      <c r="AA26" s="196"/>
      <c r="AB26" s="197"/>
      <c r="AC26" s="197"/>
      <c r="AD26" s="197"/>
      <c r="AE26" s="197"/>
      <c r="AF26" s="197"/>
      <c r="AG26" s="197"/>
      <c r="AH26" s="197"/>
      <c r="AI26" s="197"/>
      <c r="AJ26" s="197"/>
      <c r="AK26" s="197"/>
      <c r="AL26" s="197"/>
      <c r="AM26" s="198" t="str">
        <f aca="false">IF($A26="","",IF(OR($N26="Yes",$S26="Yes",$X26="Yes",$AC26="Yes",$AH26="Yes"),"Yes","No"))</f>
        <v/>
      </c>
      <c r="AN26" s="198" t="str">
        <f aca="false">IF($A26="","",IFERROR(IF($AI26&lt;&gt;"",$AI26,IF($AD26&lt;&gt;"",$AD26,IF($Y26&lt;&gt;"",$Y26,IF($T26&lt;&gt;"",$T26,IF($O26&lt;&gt;"",$O26,""))))),""))</f>
        <v/>
      </c>
      <c r="AO26" s="198" t="str">
        <f aca="false">IFERROR(IF($AJ26&lt;&gt;"",$AJ26,IF($AE26&lt;&gt;"",$AE26,IF($Z26&lt;&gt;"",$Z26,IF($U26&lt;&gt;"",$U26,IF($P26&lt;&gt;"",$P26,""))))),"")</f>
        <v/>
      </c>
      <c r="AP26" s="199"/>
    </row>
    <row r="27" customFormat="false" ht="102" hidden="false" customHeight="true" outlineLevel="0" collapsed="false">
      <c r="A27" s="194" t="str">
        <f aca="false">IF(C27="","",$C$2&amp;"."&amp;COUNTA($C$8:C27)&amp;"")</f>
        <v>TC_03.17</v>
      </c>
      <c r="B27" s="194" t="s">
        <v>511</v>
      </c>
      <c r="C27" s="194" t="s">
        <v>916</v>
      </c>
      <c r="D27" s="194" t="s">
        <v>42</v>
      </c>
      <c r="E27" s="194" t="s">
        <v>157</v>
      </c>
      <c r="F27" s="195" t="s">
        <v>917</v>
      </c>
      <c r="G27" s="195" t="s">
        <v>918</v>
      </c>
      <c r="H27" s="195" t="s">
        <v>919</v>
      </c>
      <c r="I27" s="195" t="s">
        <v>920</v>
      </c>
      <c r="J27" s="194" t="s">
        <v>637</v>
      </c>
      <c r="K27" s="194" t="s">
        <v>241</v>
      </c>
      <c r="L27" s="194" t="s">
        <v>638</v>
      </c>
      <c r="M27" s="194"/>
      <c r="N27" s="196" t="s">
        <v>639</v>
      </c>
      <c r="O27" s="196"/>
      <c r="P27" s="196" t="s">
        <v>22</v>
      </c>
      <c r="Q27" s="196" t="s">
        <v>640</v>
      </c>
      <c r="R27" s="196"/>
      <c r="S27" s="196"/>
      <c r="T27" s="196"/>
      <c r="U27" s="196"/>
      <c r="V27" s="196"/>
      <c r="W27" s="196"/>
      <c r="X27" s="196"/>
      <c r="Y27" s="196"/>
      <c r="Z27" s="196"/>
      <c r="AA27" s="196"/>
      <c r="AB27" s="197"/>
      <c r="AC27" s="197"/>
      <c r="AD27" s="197"/>
      <c r="AE27" s="197"/>
      <c r="AF27" s="197"/>
      <c r="AG27" s="197"/>
      <c r="AH27" s="197"/>
      <c r="AI27" s="197"/>
      <c r="AJ27" s="197"/>
      <c r="AK27" s="197"/>
      <c r="AL27" s="197"/>
      <c r="AM27" s="198" t="str">
        <f aca="false">IF($A27="","",IF(OR($N27="Yes",$S27="Yes",$X27="Yes",$AC27="Yes",$AH27="Yes"),"Yes","No"))</f>
        <v>Yes</v>
      </c>
      <c r="AN27" s="198" t="str">
        <f aca="false">IF($A27="","",IFERROR(IF($AI27&lt;&gt;"",$AI27,IF($AD27&lt;&gt;"",$AD27,IF($Y27&lt;&gt;"",$Y27,IF($T27&lt;&gt;"",$T27,IF($O27&lt;&gt;"",$O27,""))))),""))</f>
        <v/>
      </c>
      <c r="AO27" s="198" t="str">
        <f aca="false">IFERROR(IF($AJ27&lt;&gt;"",$AJ27,IF($AE27&lt;&gt;"",$AE27,IF($Z27&lt;&gt;"",$Z27,IF($U27&lt;&gt;"",$U27,IF($P27&lt;&gt;"",$P27,""))))),"")</f>
        <v>Pass</v>
      </c>
      <c r="AP27" s="199" t="s">
        <v>921</v>
      </c>
    </row>
    <row r="28" customFormat="false" ht="15" hidden="false" customHeight="true" outlineLevel="0" collapsed="false">
      <c r="A28" s="194" t="str">
        <f aca="false">IF(C28="","",$C$2&amp;"."&amp;COUNTA($C$8:C28)&amp;"")</f>
        <v>TC_03.18</v>
      </c>
      <c r="B28" s="194" t="s">
        <v>511</v>
      </c>
      <c r="C28" s="194" t="s">
        <v>713</v>
      </c>
      <c r="D28" s="194" t="s">
        <v>42</v>
      </c>
      <c r="E28" s="194" t="s">
        <v>158</v>
      </c>
      <c r="F28" s="195" t="s">
        <v>922</v>
      </c>
      <c r="G28" s="195" t="s">
        <v>923</v>
      </c>
      <c r="H28" s="195" t="s">
        <v>924</v>
      </c>
      <c r="I28" s="195" t="s">
        <v>925</v>
      </c>
      <c r="J28" s="194" t="s">
        <v>637</v>
      </c>
      <c r="K28" s="194" t="s">
        <v>241</v>
      </c>
      <c r="L28" s="194" t="s">
        <v>638</v>
      </c>
      <c r="M28" s="194"/>
      <c r="N28" s="196" t="s">
        <v>639</v>
      </c>
      <c r="O28" s="196"/>
      <c r="P28" s="196" t="s">
        <v>22</v>
      </c>
      <c r="Q28" s="196" t="s">
        <v>640</v>
      </c>
      <c r="R28" s="196"/>
      <c r="S28" s="196"/>
      <c r="T28" s="196"/>
      <c r="U28" s="196"/>
      <c r="V28" s="196"/>
      <c r="W28" s="196"/>
      <c r="X28" s="196"/>
      <c r="Y28" s="196"/>
      <c r="Z28" s="196"/>
      <c r="AA28" s="196"/>
      <c r="AB28" s="197"/>
      <c r="AC28" s="197"/>
      <c r="AD28" s="197"/>
      <c r="AE28" s="197"/>
      <c r="AF28" s="197"/>
      <c r="AG28" s="197"/>
      <c r="AH28" s="197"/>
      <c r="AI28" s="197"/>
      <c r="AJ28" s="197"/>
      <c r="AK28" s="197"/>
      <c r="AL28" s="197"/>
      <c r="AM28" s="198" t="str">
        <f aca="false">IF($A28="","",IF(OR($N28="Yes",$S28="Yes",$X28="Yes",$AC28="Yes",$AH28="Yes"),"Yes","No"))</f>
        <v>Yes</v>
      </c>
      <c r="AN28" s="198" t="str">
        <f aca="false">IF($A27="","",IFERROR(IF($AI27&lt;&gt;"",$AI27,IF($AD27&lt;&gt;"",$AD27,IF($Y27&lt;&gt;"",$Y27,IF($T27&lt;&gt;"",$T27,IF($O27&lt;&gt;"",$O27,""))))),""))</f>
        <v/>
      </c>
      <c r="AO28" s="198" t="str">
        <f aca="false">IFERROR(IF($AJ28&lt;&gt;"",$AJ28,IF($AE28&lt;&gt;"",$AE28,IF($Z28&lt;&gt;"",$Z28,IF($U28&lt;&gt;"",$U28,IF($P28&lt;&gt;"",$P28,""))))),"")</f>
        <v>Pass</v>
      </c>
      <c r="AP28" s="199" t="s">
        <v>926</v>
      </c>
    </row>
    <row r="29" customFormat="false" ht="15" hidden="false" customHeight="true" outlineLevel="0" collapsed="false">
      <c r="A29" s="194"/>
      <c r="B29" s="200" t="s">
        <v>927</v>
      </c>
      <c r="C29" s="200"/>
      <c r="D29" s="200"/>
      <c r="E29" s="200"/>
      <c r="F29" s="200"/>
      <c r="G29" s="200"/>
      <c r="H29" s="200"/>
      <c r="I29" s="200"/>
      <c r="J29" s="194"/>
      <c r="K29" s="194"/>
      <c r="L29" s="194"/>
      <c r="M29" s="194"/>
      <c r="N29" s="196"/>
      <c r="O29" s="196"/>
      <c r="P29" s="196"/>
      <c r="Q29" s="196"/>
      <c r="R29" s="196"/>
      <c r="S29" s="196"/>
      <c r="T29" s="196"/>
      <c r="U29" s="196"/>
      <c r="V29" s="196"/>
      <c r="W29" s="196"/>
      <c r="X29" s="196"/>
      <c r="Y29" s="196"/>
      <c r="Z29" s="196"/>
      <c r="AA29" s="196"/>
      <c r="AB29" s="197"/>
      <c r="AC29" s="197"/>
      <c r="AD29" s="197"/>
      <c r="AE29" s="197"/>
      <c r="AF29" s="197"/>
      <c r="AG29" s="197"/>
      <c r="AH29" s="197"/>
      <c r="AI29" s="197"/>
      <c r="AJ29" s="197"/>
      <c r="AK29" s="197"/>
      <c r="AL29" s="197"/>
      <c r="AM29" s="198" t="str">
        <f aca="false">IF($A29="","",IF(OR($N29="Yes",$S29="Yes",$X29="Yes",$AC29="Yes",$AH29="Yes"),"Yes","No"))</f>
        <v/>
      </c>
      <c r="AN29" s="198" t="str">
        <f aca="false">IF($A28="","",IFERROR(IF($AI28&lt;&gt;"",$AI28,IF($AD28&lt;&gt;"",$AD28,IF($Y28&lt;&gt;"",$Y28,IF($T28&lt;&gt;"",$T28,IF($O28&lt;&gt;"",$O28,""))))),""))</f>
        <v/>
      </c>
      <c r="AO29" s="198" t="str">
        <f aca="false">IFERROR(IF($AJ29&lt;&gt;"",$AJ29,IF($AE29&lt;&gt;"",$AE29,IF($Z29&lt;&gt;"",$Z29,IF($U29&lt;&gt;"",$U29,IF($P29&lt;&gt;"",$P29,""))))),"")</f>
        <v/>
      </c>
      <c r="AP29" s="199"/>
    </row>
    <row r="30" customFormat="false" ht="102" hidden="false" customHeight="true" outlineLevel="0" collapsed="false">
      <c r="A30" s="194" t="str">
        <f aca="false">IF(C30="","",$C$2&amp;"."&amp;COUNTA($C$8:C30)&amp;"")</f>
        <v>TC_03.19</v>
      </c>
      <c r="B30" s="194" t="s">
        <v>511</v>
      </c>
      <c r="C30" s="194" t="s">
        <v>724</v>
      </c>
      <c r="D30" s="194" t="s">
        <v>42</v>
      </c>
      <c r="E30" s="194" t="s">
        <v>158</v>
      </c>
      <c r="F30" s="195" t="s">
        <v>928</v>
      </c>
      <c r="G30" s="195" t="s">
        <v>929</v>
      </c>
      <c r="H30" s="195" t="s">
        <v>930</v>
      </c>
      <c r="I30" s="195" t="s">
        <v>931</v>
      </c>
      <c r="J30" s="194" t="s">
        <v>637</v>
      </c>
      <c r="K30" s="194" t="s">
        <v>241</v>
      </c>
      <c r="L30" s="194" t="s">
        <v>638</v>
      </c>
      <c r="M30" s="194"/>
      <c r="N30" s="196" t="s">
        <v>639</v>
      </c>
      <c r="O30" s="196"/>
      <c r="P30" s="196" t="s">
        <v>26</v>
      </c>
      <c r="Q30" s="196" t="s">
        <v>640</v>
      </c>
      <c r="R30" s="196"/>
      <c r="S30" s="196"/>
      <c r="T30" s="196"/>
      <c r="U30" s="196"/>
      <c r="V30" s="196"/>
      <c r="W30" s="196"/>
      <c r="X30" s="196"/>
      <c r="Y30" s="196"/>
      <c r="Z30" s="196"/>
      <c r="AA30" s="196"/>
      <c r="AB30" s="197"/>
      <c r="AC30" s="197"/>
      <c r="AD30" s="197"/>
      <c r="AE30" s="197"/>
      <c r="AF30" s="197"/>
      <c r="AG30" s="197"/>
      <c r="AH30" s="197"/>
      <c r="AI30" s="197"/>
      <c r="AJ30" s="197"/>
      <c r="AK30" s="197"/>
      <c r="AL30" s="197"/>
      <c r="AM30" s="198" t="str">
        <f aca="false">IF($A30="","",IF(OR($N30="Yes",$S30="Yes",$X30="Yes",$AC30="Yes",$AH30="Yes"),"Yes","No"))</f>
        <v>Yes</v>
      </c>
      <c r="AN30" s="198" t="str">
        <f aca="false">IF($A29="","",IFERROR(IF($AI29&lt;&gt;"",$AI29,IF($AD29&lt;&gt;"",$AD29,IF($Y29&lt;&gt;"",$Y29,IF($T29&lt;&gt;"",$T29,IF($O29&lt;&gt;"",$O29,""))))),""))</f>
        <v/>
      </c>
      <c r="AO30" s="198" t="str">
        <f aca="false">IFERROR(IF($AJ30&lt;&gt;"",$AJ30,IF($AE30&lt;&gt;"",$AE30,IF($Z30&lt;&gt;"",$Z30,IF($U30&lt;&gt;"",$U30,IF($P30&lt;&gt;"",$P30,""))))),"")</f>
        <v>Block</v>
      </c>
      <c r="AP30" s="199" t="s">
        <v>932</v>
      </c>
    </row>
    <row r="31" customFormat="false" ht="15" hidden="false" customHeight="true" outlineLevel="0" collapsed="false">
      <c r="A31" s="194"/>
      <c r="B31" s="200" t="s">
        <v>933</v>
      </c>
      <c r="C31" s="200"/>
      <c r="D31" s="200"/>
      <c r="E31" s="200"/>
      <c r="F31" s="200"/>
      <c r="G31" s="200"/>
      <c r="H31" s="200"/>
      <c r="I31" s="200"/>
      <c r="J31" s="194"/>
      <c r="K31" s="194"/>
      <c r="L31" s="194"/>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t="str">
        <f aca="false">IF($A31="","",IF(OR($N31="Yes",$S31="Yes",$X31="Yes",$AC31="Yes",$AH31="Yes"),"Yes","No"))</f>
        <v/>
      </c>
      <c r="AN31" s="198" t="str">
        <f aca="false">IF($A30="","",IFERROR(IF($AI30&lt;&gt;"",$AI30,IF($AD30&lt;&gt;"",$AD30,IF($Y30&lt;&gt;"",$Y30,IF($T30&lt;&gt;"",$T30,IF($O30&lt;&gt;"",$O30,""))))),""))</f>
        <v/>
      </c>
      <c r="AO31" s="198" t="str">
        <f aca="false">IFERROR(IF($AJ31&lt;&gt;"",$AJ31,IF($AE31&lt;&gt;"",$AE31,IF($Z31&lt;&gt;"",$Z31,IF($U31&lt;&gt;"",$U31,IF($P31&lt;&gt;"",$P31,""))))),"")</f>
        <v/>
      </c>
      <c r="AP31" s="199"/>
    </row>
    <row r="32" customFormat="false" ht="57" hidden="false" customHeight="true" outlineLevel="0" collapsed="false">
      <c r="A32" s="194" t="str">
        <f aca="false">IF(C32="","",$C$2&amp;"."&amp;COUNTA($C$8:C32)&amp;"")</f>
        <v>TC_03.20</v>
      </c>
      <c r="B32" s="194" t="s">
        <v>511</v>
      </c>
      <c r="C32" s="194" t="s">
        <v>934</v>
      </c>
      <c r="D32" s="194" t="s">
        <v>40</v>
      </c>
      <c r="E32" s="194" t="s">
        <v>158</v>
      </c>
      <c r="F32" s="195" t="s">
        <v>935</v>
      </c>
      <c r="G32" s="195" t="s">
        <v>936</v>
      </c>
      <c r="H32" s="195" t="s">
        <v>937</v>
      </c>
      <c r="I32" s="195" t="s">
        <v>938</v>
      </c>
      <c r="J32" s="194" t="s">
        <v>637</v>
      </c>
      <c r="K32" s="194" t="s">
        <v>241</v>
      </c>
      <c r="L32" s="194" t="s">
        <v>638</v>
      </c>
      <c r="M32" s="194"/>
      <c r="N32" s="196" t="s">
        <v>639</v>
      </c>
      <c r="O32" s="196"/>
      <c r="P32" s="196" t="s">
        <v>22</v>
      </c>
      <c r="Q32" s="196" t="s">
        <v>640</v>
      </c>
      <c r="R32" s="196"/>
      <c r="S32" s="196"/>
      <c r="T32" s="196"/>
      <c r="U32" s="196"/>
      <c r="V32" s="196"/>
      <c r="W32" s="196"/>
      <c r="X32" s="196"/>
      <c r="Y32" s="196"/>
      <c r="Z32" s="196"/>
      <c r="AA32" s="196"/>
      <c r="AB32" s="197"/>
      <c r="AC32" s="197"/>
      <c r="AD32" s="197"/>
      <c r="AE32" s="197"/>
      <c r="AF32" s="197"/>
      <c r="AG32" s="197"/>
      <c r="AH32" s="197"/>
      <c r="AI32" s="197"/>
      <c r="AJ32" s="197"/>
      <c r="AK32" s="197"/>
      <c r="AL32" s="197"/>
      <c r="AM32" s="198" t="str">
        <f aca="false">IF($A32="","",IF(OR($N32="Yes",$S32="Yes",$X32="Yes",$AC32="Yes",$AH32="Yes"),"Yes","No"))</f>
        <v>Yes</v>
      </c>
      <c r="AN32" s="198" t="str">
        <f aca="false">IF($A31="","",IFERROR(IF($AI31&lt;&gt;"",$AI31,IF($AD31&lt;&gt;"",$AD31,IF($Y31&lt;&gt;"",$Y31,IF($T31&lt;&gt;"",$T31,IF($O31&lt;&gt;"",$O31,""))))),""))</f>
        <v/>
      </c>
      <c r="AO32" s="198" t="str">
        <f aca="false">IFERROR(IF($AJ32&lt;&gt;"",$AJ32,IF($AE32&lt;&gt;"",$AE32,IF($Z32&lt;&gt;"",$Z32,IF($U32&lt;&gt;"",$U32,IF($P32&lt;&gt;"",$P32,""))))),"")</f>
        <v>Pass</v>
      </c>
      <c r="AP32" s="199" t="s">
        <v>939</v>
      </c>
    </row>
    <row r="33" customFormat="false" ht="57" hidden="false" customHeight="true" outlineLevel="0" collapsed="false">
      <c r="A33" s="194" t="str">
        <f aca="false">IF(C33="","",$C$2&amp;"."&amp;COUNTA($C$8:C33)&amp;"")</f>
        <v>TC_03.21</v>
      </c>
      <c r="B33" s="194" t="s">
        <v>511</v>
      </c>
      <c r="C33" s="194" t="s">
        <v>934</v>
      </c>
      <c r="D33" s="194" t="s">
        <v>40</v>
      </c>
      <c r="E33" s="194" t="s">
        <v>158</v>
      </c>
      <c r="F33" s="195" t="s">
        <v>940</v>
      </c>
      <c r="G33" s="195" t="s">
        <v>941</v>
      </c>
      <c r="H33" s="195" t="s">
        <v>942</v>
      </c>
      <c r="I33" s="195" t="s">
        <v>943</v>
      </c>
      <c r="J33" s="194" t="s">
        <v>637</v>
      </c>
      <c r="K33" s="194" t="s">
        <v>241</v>
      </c>
      <c r="L33" s="194" t="s">
        <v>638</v>
      </c>
      <c r="M33" s="194"/>
      <c r="N33" s="196" t="s">
        <v>639</v>
      </c>
      <c r="O33" s="196"/>
      <c r="P33" s="196" t="s">
        <v>22</v>
      </c>
      <c r="Q33" s="196" t="s">
        <v>640</v>
      </c>
      <c r="R33" s="196"/>
      <c r="S33" s="196"/>
      <c r="T33" s="196"/>
      <c r="U33" s="196"/>
      <c r="V33" s="196"/>
      <c r="W33" s="196"/>
      <c r="X33" s="196"/>
      <c r="Y33" s="196"/>
      <c r="Z33" s="196"/>
      <c r="AA33" s="196"/>
      <c r="AB33" s="197"/>
      <c r="AC33" s="197"/>
      <c r="AD33" s="197"/>
      <c r="AE33" s="197"/>
      <c r="AF33" s="197"/>
      <c r="AG33" s="197"/>
      <c r="AH33" s="197"/>
      <c r="AI33" s="197"/>
      <c r="AJ33" s="197"/>
      <c r="AK33" s="197"/>
      <c r="AL33" s="197"/>
      <c r="AM33" s="198" t="str">
        <f aca="false">IF($A33="","",IF(OR($N33="Yes",$S33="Yes",$X33="Yes",$AC33="Yes",$AH33="Yes"),"Yes","No"))</f>
        <v>Yes</v>
      </c>
      <c r="AN33" s="198" t="str">
        <f aca="false">IF($A32="","",IFERROR(IF($AI32&lt;&gt;"",$AI32,IF($AD32&lt;&gt;"",$AD32,IF($Y32&lt;&gt;"",$Y32,IF($T32&lt;&gt;"",$T32,IF($O32&lt;&gt;"",$O32,""))))),""))</f>
        <v/>
      </c>
      <c r="AO33" s="198" t="str">
        <f aca="false">IFERROR(IF($AJ33&lt;&gt;"",$AJ33,IF($AE33&lt;&gt;"",$AE33,IF($Z33&lt;&gt;"",$Z33,IF($U33&lt;&gt;"",$U33,IF($P33&lt;&gt;"",$P33,""))))),"")</f>
        <v>Pass</v>
      </c>
      <c r="AP33" s="199" t="s">
        <v>944</v>
      </c>
    </row>
    <row r="34" customFormat="false" ht="45.75" hidden="false" customHeight="true" outlineLevel="0" collapsed="false">
      <c r="A34" s="194" t="str">
        <f aca="false">IF(C34="","",$C$2&amp;"."&amp;COUNTA($C$8:C34)&amp;"")</f>
        <v>TC_03.22</v>
      </c>
      <c r="B34" s="194" t="s">
        <v>511</v>
      </c>
      <c r="C34" s="194" t="s">
        <v>945</v>
      </c>
      <c r="D34" s="194" t="s">
        <v>40</v>
      </c>
      <c r="E34" s="194" t="s">
        <v>158</v>
      </c>
      <c r="F34" s="195" t="s">
        <v>946</v>
      </c>
      <c r="G34" s="195" t="s">
        <v>947</v>
      </c>
      <c r="H34" s="195" t="s">
        <v>948</v>
      </c>
      <c r="I34" s="195" t="s">
        <v>949</v>
      </c>
      <c r="J34" s="194" t="s">
        <v>637</v>
      </c>
      <c r="K34" s="194" t="s">
        <v>241</v>
      </c>
      <c r="L34" s="194" t="s">
        <v>638</v>
      </c>
      <c r="M34" s="194"/>
      <c r="N34" s="196" t="s">
        <v>639</v>
      </c>
      <c r="O34" s="196"/>
      <c r="P34" s="196" t="s">
        <v>22</v>
      </c>
      <c r="Q34" s="196" t="s">
        <v>640</v>
      </c>
      <c r="R34" s="196"/>
      <c r="S34" s="196"/>
      <c r="T34" s="196"/>
      <c r="U34" s="196"/>
      <c r="V34" s="196"/>
      <c r="W34" s="196"/>
      <c r="X34" s="196"/>
      <c r="Y34" s="196"/>
      <c r="Z34" s="196"/>
      <c r="AA34" s="196"/>
      <c r="AB34" s="197"/>
      <c r="AC34" s="197"/>
      <c r="AD34" s="197"/>
      <c r="AE34" s="197"/>
      <c r="AF34" s="197"/>
      <c r="AG34" s="197"/>
      <c r="AH34" s="197"/>
      <c r="AI34" s="197"/>
      <c r="AJ34" s="197"/>
      <c r="AK34" s="197"/>
      <c r="AL34" s="197"/>
      <c r="AM34" s="198" t="str">
        <f aca="false">IF($A34="","",IF(OR($N34="Yes",$S34="Yes",$X34="Yes",$AC34="Yes",$AH34="Yes"),"Yes","No"))</f>
        <v>Yes</v>
      </c>
      <c r="AN34" s="198" t="str">
        <f aca="false">IF($A33="","",IFERROR(IF($AI33&lt;&gt;"",$AI33,IF($AD33&lt;&gt;"",$AD33,IF($Y33&lt;&gt;"",$Y33,IF($T33&lt;&gt;"",$T33,IF($O33&lt;&gt;"",$O33,""))))),""))</f>
        <v/>
      </c>
      <c r="AO34" s="198" t="str">
        <f aca="false">IFERROR(IF($AJ34&lt;&gt;"",$AJ34,IF($AE34&lt;&gt;"",$AE34,IF($Z34&lt;&gt;"",$Z34,IF($U34&lt;&gt;"",$U34,IF($P34&lt;&gt;"",$P34,""))))),"")</f>
        <v>Pass</v>
      </c>
      <c r="AP34" s="199" t="s">
        <v>950</v>
      </c>
    </row>
    <row r="35" customFormat="false" ht="45.75" hidden="false" customHeight="true" outlineLevel="0" collapsed="false">
      <c r="A35" s="194" t="str">
        <f aca="false">IF(C35="","",$C$2&amp;"."&amp;COUNTA($C$8:C35)&amp;"")</f>
        <v>TC_03.23</v>
      </c>
      <c r="B35" s="194" t="s">
        <v>511</v>
      </c>
      <c r="C35" s="194" t="s">
        <v>945</v>
      </c>
      <c r="D35" s="194" t="s">
        <v>40</v>
      </c>
      <c r="E35" s="194" t="s">
        <v>158</v>
      </c>
      <c r="F35" s="195" t="s">
        <v>951</v>
      </c>
      <c r="G35" s="195" t="s">
        <v>952</v>
      </c>
      <c r="H35" s="195" t="s">
        <v>953</v>
      </c>
      <c r="I35" s="195" t="s">
        <v>954</v>
      </c>
      <c r="J35" s="194" t="s">
        <v>637</v>
      </c>
      <c r="K35" s="194" t="s">
        <v>241</v>
      </c>
      <c r="L35" s="194" t="s">
        <v>638</v>
      </c>
      <c r="M35" s="194"/>
      <c r="N35" s="196" t="s">
        <v>639</v>
      </c>
      <c r="O35" s="196"/>
      <c r="P35" s="196" t="s">
        <v>22</v>
      </c>
      <c r="Q35" s="196" t="s">
        <v>640</v>
      </c>
      <c r="R35" s="196"/>
      <c r="S35" s="196"/>
      <c r="T35" s="196"/>
      <c r="U35" s="196"/>
      <c r="V35" s="196"/>
      <c r="W35" s="196"/>
      <c r="X35" s="196"/>
      <c r="Y35" s="196"/>
      <c r="Z35" s="196"/>
      <c r="AA35" s="196"/>
      <c r="AB35" s="197"/>
      <c r="AC35" s="197"/>
      <c r="AD35" s="197"/>
      <c r="AE35" s="197"/>
      <c r="AF35" s="197"/>
      <c r="AG35" s="197"/>
      <c r="AH35" s="197"/>
      <c r="AI35" s="197"/>
      <c r="AJ35" s="197"/>
      <c r="AK35" s="197"/>
      <c r="AL35" s="197"/>
      <c r="AM35" s="198" t="str">
        <f aca="false">IF($A35="","",IF(OR($N35="Yes",$S35="Yes",$X35="Yes",$AC35="Yes",$AH35="Yes"),"Yes","No"))</f>
        <v>Yes</v>
      </c>
      <c r="AN35" s="198" t="str">
        <f aca="false">IF($A34="","",IFERROR(IF($AI34&lt;&gt;"",$AI34,IF($AD34&lt;&gt;"",$AD34,IF($Y34&lt;&gt;"",$Y34,IF($T34&lt;&gt;"",$T34,IF($O34&lt;&gt;"",$O34,""))))),""))</f>
        <v/>
      </c>
      <c r="AO35" s="198" t="str">
        <f aca="false">IFERROR(IF($AJ35&lt;&gt;"",$AJ35,IF($AE35&lt;&gt;"",$AE35,IF($Z35&lt;&gt;"",$Z35,IF($U35&lt;&gt;"",$U35,IF($P35&lt;&gt;"",$P35,""))))),"")</f>
        <v>Pass</v>
      </c>
      <c r="AP35" s="199" t="s">
        <v>955</v>
      </c>
    </row>
    <row r="36" customFormat="false" ht="15" hidden="false" customHeight="true" outlineLevel="0" collapsed="false">
      <c r="A36" s="194"/>
      <c r="B36" s="200" t="s">
        <v>956</v>
      </c>
      <c r="C36" s="200"/>
      <c r="D36" s="200"/>
      <c r="E36" s="200"/>
      <c r="F36" s="200"/>
      <c r="G36" s="200"/>
      <c r="H36" s="200"/>
      <c r="I36" s="200"/>
      <c r="J36" s="194"/>
      <c r="K36" s="194"/>
      <c r="L36" s="194"/>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c r="AN36" s="198"/>
      <c r="AO36" s="198"/>
      <c r="AP36" s="199"/>
    </row>
    <row r="37" customFormat="false" ht="57" hidden="false" customHeight="true" outlineLevel="0" collapsed="false">
      <c r="A37" s="194" t="str">
        <f aca="false">IF(C37="","",$C$2&amp;"."&amp;COUNTA($C$8:C37)&amp;"")</f>
        <v>TC_03.24</v>
      </c>
      <c r="B37" s="194" t="s">
        <v>511</v>
      </c>
      <c r="C37" s="194" t="s">
        <v>957</v>
      </c>
      <c r="D37" s="194" t="s">
        <v>40</v>
      </c>
      <c r="E37" s="194" t="s">
        <v>158</v>
      </c>
      <c r="F37" s="195" t="s">
        <v>958</v>
      </c>
      <c r="G37" s="195" t="s">
        <v>959</v>
      </c>
      <c r="H37" s="195" t="s">
        <v>960</v>
      </c>
      <c r="I37" s="195" t="s">
        <v>961</v>
      </c>
      <c r="J37" s="194" t="s">
        <v>637</v>
      </c>
      <c r="K37" s="194" t="s">
        <v>241</v>
      </c>
      <c r="L37" s="194" t="s">
        <v>638</v>
      </c>
      <c r="M37" s="194"/>
      <c r="N37" s="196" t="s">
        <v>639</v>
      </c>
      <c r="O37" s="196"/>
      <c r="P37" s="196" t="s">
        <v>22</v>
      </c>
      <c r="Q37" s="196" t="s">
        <v>640</v>
      </c>
      <c r="R37" s="196"/>
      <c r="S37" s="196"/>
      <c r="T37" s="196"/>
      <c r="U37" s="196"/>
      <c r="V37" s="196"/>
      <c r="W37" s="196"/>
      <c r="X37" s="196"/>
      <c r="Y37" s="196"/>
      <c r="Z37" s="196"/>
      <c r="AA37" s="196"/>
      <c r="AB37" s="197"/>
      <c r="AC37" s="197"/>
      <c r="AD37" s="197"/>
      <c r="AE37" s="197"/>
      <c r="AF37" s="197"/>
      <c r="AG37" s="197"/>
      <c r="AH37" s="197"/>
      <c r="AI37" s="197"/>
      <c r="AJ37" s="197"/>
      <c r="AK37" s="197"/>
      <c r="AL37" s="197"/>
      <c r="AM37" s="198" t="str">
        <f aca="false">IF($A37="","",IF(OR($N37="Yes",$S37="Yes",$X37="Yes",$AC37="Yes",$AH37="Yes"),"Yes","No"))</f>
        <v>Yes</v>
      </c>
      <c r="AN37" s="198" t="str">
        <f aca="false">IF($A36="","",IFERROR(IF($AI36&lt;&gt;"",$AI36,IF($AD36&lt;&gt;"",$AD36,IF($Y36&lt;&gt;"",$Y36,IF($T36&lt;&gt;"",$T36,IF($O36&lt;&gt;"",$O36,""))))),""))</f>
        <v/>
      </c>
      <c r="AO37" s="198" t="str">
        <f aca="false">IFERROR(IF($AJ37&lt;&gt;"",$AJ37,IF($AE37&lt;&gt;"",$AE37,IF($Z37&lt;&gt;"",$Z37,IF($U37&lt;&gt;"",$U37,IF($P37&lt;&gt;"",$P37,""))))),"")</f>
        <v>Pass</v>
      </c>
      <c r="AP37" s="199" t="s">
        <v>962</v>
      </c>
    </row>
    <row r="38" customFormat="false" ht="45.75" hidden="false" customHeight="true" outlineLevel="0" collapsed="false">
      <c r="A38" s="194" t="str">
        <f aca="false">IF(C38="","",$C$2&amp;"."&amp;COUNTA($C$8:C38)&amp;"")</f>
        <v>TC_03.25</v>
      </c>
      <c r="B38" s="194" t="s">
        <v>511</v>
      </c>
      <c r="C38" s="194" t="s">
        <v>963</v>
      </c>
      <c r="D38" s="194" t="s">
        <v>40</v>
      </c>
      <c r="E38" s="194" t="s">
        <v>158</v>
      </c>
      <c r="F38" s="195" t="s">
        <v>964</v>
      </c>
      <c r="G38" s="195" t="s">
        <v>965</v>
      </c>
      <c r="H38" s="195" t="s">
        <v>966</v>
      </c>
      <c r="I38" s="195" t="s">
        <v>967</v>
      </c>
      <c r="J38" s="194" t="s">
        <v>637</v>
      </c>
      <c r="K38" s="194" t="s">
        <v>241</v>
      </c>
      <c r="L38" s="194" t="s">
        <v>638</v>
      </c>
      <c r="M38" s="194"/>
      <c r="N38" s="196" t="s">
        <v>639</v>
      </c>
      <c r="O38" s="196"/>
      <c r="P38" s="196" t="s">
        <v>26</v>
      </c>
      <c r="Q38" s="196" t="s">
        <v>640</v>
      </c>
      <c r="R38" s="196"/>
      <c r="S38" s="196"/>
      <c r="T38" s="196"/>
      <c r="U38" s="196"/>
      <c r="V38" s="196"/>
      <c r="W38" s="196"/>
      <c r="X38" s="196"/>
      <c r="Y38" s="196"/>
      <c r="Z38" s="196"/>
      <c r="AA38" s="196"/>
      <c r="AB38" s="197"/>
      <c r="AC38" s="197"/>
      <c r="AD38" s="197"/>
      <c r="AE38" s="197"/>
      <c r="AF38" s="197"/>
      <c r="AG38" s="197"/>
      <c r="AH38" s="197"/>
      <c r="AI38" s="197"/>
      <c r="AJ38" s="197"/>
      <c r="AK38" s="197"/>
      <c r="AL38" s="197"/>
      <c r="AM38" s="198" t="str">
        <f aca="false">IF($A38="","",IF(OR($N38="Yes",$S38="Yes",$X38="Yes",$AC38="Yes",$AH38="Yes"),"Yes","No"))</f>
        <v>Yes</v>
      </c>
      <c r="AN38" s="198" t="str">
        <f aca="false">IF($A37="","",IFERROR(IF($AI37&lt;&gt;"",$AI37,IF($AD37&lt;&gt;"",$AD37,IF($Y37&lt;&gt;"",$Y37,IF($T37&lt;&gt;"",$T37,IF($O37&lt;&gt;"",$O37,""))))),""))</f>
        <v/>
      </c>
      <c r="AO38" s="198" t="str">
        <f aca="false">IFERROR(IF($AJ38&lt;&gt;"",$AJ38,IF($AE38&lt;&gt;"",$AE38,IF($Z38&lt;&gt;"",$Z38,IF($U38&lt;&gt;"",$U38,IF($P38&lt;&gt;"",$P38,""))))),"")</f>
        <v>Block</v>
      </c>
      <c r="AP38" s="199" t="s">
        <v>968</v>
      </c>
    </row>
    <row r="39" customFormat="false" ht="34.5" hidden="false" customHeight="true" outlineLevel="0" collapsed="false">
      <c r="A39" s="194" t="str">
        <f aca="false">IF(C39="","",$C$2&amp;"."&amp;COUNTA($C$8:C39)&amp;"")</f>
        <v>TC_03.26</v>
      </c>
      <c r="B39" s="194" t="s">
        <v>511</v>
      </c>
      <c r="C39" s="194" t="s">
        <v>963</v>
      </c>
      <c r="D39" s="194" t="s">
        <v>40</v>
      </c>
      <c r="E39" s="194" t="s">
        <v>158</v>
      </c>
      <c r="F39" s="195" t="s">
        <v>969</v>
      </c>
      <c r="G39" s="195" t="s">
        <v>970</v>
      </c>
      <c r="H39" s="195" t="s">
        <v>971</v>
      </c>
      <c r="I39" s="195" t="s">
        <v>972</v>
      </c>
      <c r="J39" s="194" t="s">
        <v>637</v>
      </c>
      <c r="K39" s="194" t="s">
        <v>241</v>
      </c>
      <c r="L39" s="194" t="s">
        <v>638</v>
      </c>
      <c r="M39" s="194"/>
      <c r="N39" s="196" t="s">
        <v>639</v>
      </c>
      <c r="O39" s="196"/>
      <c r="P39" s="196" t="s">
        <v>26</v>
      </c>
      <c r="Q39" s="196" t="s">
        <v>640</v>
      </c>
      <c r="R39" s="196"/>
      <c r="S39" s="196"/>
      <c r="T39" s="196"/>
      <c r="U39" s="196"/>
      <c r="V39" s="196"/>
      <c r="W39" s="196"/>
      <c r="X39" s="196"/>
      <c r="Y39" s="196"/>
      <c r="Z39" s="196"/>
      <c r="AA39" s="196"/>
      <c r="AB39" s="197"/>
      <c r="AC39" s="197"/>
      <c r="AD39" s="197"/>
      <c r="AE39" s="197"/>
      <c r="AF39" s="197"/>
      <c r="AG39" s="197"/>
      <c r="AH39" s="197"/>
      <c r="AI39" s="197"/>
      <c r="AJ39" s="197"/>
      <c r="AK39" s="197"/>
      <c r="AL39" s="197"/>
      <c r="AM39" s="198" t="str">
        <f aca="false">IF($A39="","",IF(OR($N39="Yes",$S39="Yes",$X39="Yes",$AC39="Yes",$AH39="Yes"),"Yes","No"))</f>
        <v>Yes</v>
      </c>
      <c r="AN39" s="198" t="str">
        <f aca="false">IF($A38="","",IFERROR(IF($AI38&lt;&gt;"",$AI38,IF($AD38&lt;&gt;"",$AD38,IF($Y38&lt;&gt;"",$Y38,IF($T38&lt;&gt;"",$T38,IF($O38&lt;&gt;"",$O38,""))))),""))</f>
        <v/>
      </c>
      <c r="AO39" s="198" t="str">
        <f aca="false">IFERROR(IF($AJ39&lt;&gt;"",$AJ39,IF($AE39&lt;&gt;"",$AE39,IF($Z39&lt;&gt;"",$Z39,IF($U39&lt;&gt;"",$U39,IF($P39&lt;&gt;"",$P39,""))))),"")</f>
        <v>Block</v>
      </c>
      <c r="AP39" s="199" t="s">
        <v>973</v>
      </c>
    </row>
    <row r="40" customFormat="false" ht="34.5" hidden="false" customHeight="true" outlineLevel="0" collapsed="false">
      <c r="A40" s="194" t="str">
        <f aca="false">IF(C40="","",$C$2&amp;"."&amp;COUNTA($C$8:C40)&amp;"")</f>
        <v>TC_03.27</v>
      </c>
      <c r="B40" s="194" t="s">
        <v>511</v>
      </c>
      <c r="C40" s="194" t="s">
        <v>963</v>
      </c>
      <c r="D40" s="194" t="s">
        <v>40</v>
      </c>
      <c r="E40" s="194" t="s">
        <v>158</v>
      </c>
      <c r="F40" s="195" t="s">
        <v>974</v>
      </c>
      <c r="G40" s="195" t="s">
        <v>975</v>
      </c>
      <c r="H40" s="195" t="s">
        <v>976</v>
      </c>
      <c r="I40" s="195" t="s">
        <v>977</v>
      </c>
      <c r="J40" s="194" t="s">
        <v>637</v>
      </c>
      <c r="K40" s="194" t="s">
        <v>241</v>
      </c>
      <c r="L40" s="194" t="s">
        <v>638</v>
      </c>
      <c r="M40" s="194"/>
      <c r="N40" s="196" t="s">
        <v>639</v>
      </c>
      <c r="O40" s="196"/>
      <c r="P40" s="196" t="s">
        <v>26</v>
      </c>
      <c r="Q40" s="196" t="s">
        <v>640</v>
      </c>
      <c r="R40" s="196"/>
      <c r="S40" s="196"/>
      <c r="T40" s="196"/>
      <c r="U40" s="196"/>
      <c r="V40" s="196"/>
      <c r="W40" s="196"/>
      <c r="X40" s="196"/>
      <c r="Y40" s="196"/>
      <c r="Z40" s="196"/>
      <c r="AA40" s="196"/>
      <c r="AB40" s="197"/>
      <c r="AC40" s="197"/>
      <c r="AD40" s="197"/>
      <c r="AE40" s="197"/>
      <c r="AF40" s="197"/>
      <c r="AG40" s="197"/>
      <c r="AH40" s="197"/>
      <c r="AI40" s="197"/>
      <c r="AJ40" s="197"/>
      <c r="AK40" s="197"/>
      <c r="AL40" s="197"/>
      <c r="AM40" s="198" t="str">
        <f aca="false">IF($A40="","",IF(OR($N40="Yes",$S40="Yes",$X40="Yes",$AC40="Yes",$AH40="Yes"),"Yes","No"))</f>
        <v>Yes</v>
      </c>
      <c r="AN40" s="198" t="str">
        <f aca="false">IF($A39="","",IFERROR(IF($AI39&lt;&gt;"",$AI39,IF($AD39&lt;&gt;"",$AD39,IF($Y39&lt;&gt;"",$Y39,IF($T39&lt;&gt;"",$T39,IF($O39&lt;&gt;"",$O39,""))))),""))</f>
        <v/>
      </c>
      <c r="AO40" s="198" t="str">
        <f aca="false">IFERROR(IF($AJ40&lt;&gt;"",$AJ40,IF($AE40&lt;&gt;"",$AE40,IF($Z40&lt;&gt;"",$Z40,IF($U40&lt;&gt;"",$U40,IF($P40&lt;&gt;"",$P40,""))))),"")</f>
        <v>Block</v>
      </c>
      <c r="AP40" s="199" t="s">
        <v>978</v>
      </c>
    </row>
    <row r="41" customFormat="false" ht="34.5" hidden="false" customHeight="true" outlineLevel="0" collapsed="false">
      <c r="A41" s="194" t="str">
        <f aca="false">IF(C41="","",$C$2&amp;"."&amp;COUNTA($C$8:C41)&amp;"")</f>
        <v>TC_03.28</v>
      </c>
      <c r="B41" s="194" t="s">
        <v>511</v>
      </c>
      <c r="C41" s="194" t="s">
        <v>963</v>
      </c>
      <c r="D41" s="194" t="s">
        <v>40</v>
      </c>
      <c r="E41" s="194" t="s">
        <v>158</v>
      </c>
      <c r="F41" s="195" t="s">
        <v>979</v>
      </c>
      <c r="G41" s="195" t="s">
        <v>980</v>
      </c>
      <c r="H41" s="195" t="s">
        <v>981</v>
      </c>
      <c r="I41" s="195" t="s">
        <v>982</v>
      </c>
      <c r="J41" s="194" t="s">
        <v>637</v>
      </c>
      <c r="K41" s="194" t="s">
        <v>241</v>
      </c>
      <c r="L41" s="194" t="s">
        <v>638</v>
      </c>
      <c r="M41" s="194"/>
      <c r="N41" s="196" t="s">
        <v>639</v>
      </c>
      <c r="O41" s="196"/>
      <c r="P41" s="196" t="s">
        <v>26</v>
      </c>
      <c r="Q41" s="196" t="s">
        <v>640</v>
      </c>
      <c r="R41" s="196"/>
      <c r="S41" s="196"/>
      <c r="T41" s="196"/>
      <c r="U41" s="196"/>
      <c r="V41" s="196"/>
      <c r="W41" s="196"/>
      <c r="X41" s="196"/>
      <c r="Y41" s="196"/>
      <c r="Z41" s="196"/>
      <c r="AA41" s="196"/>
      <c r="AB41" s="197"/>
      <c r="AC41" s="197"/>
      <c r="AD41" s="197"/>
      <c r="AE41" s="197"/>
      <c r="AF41" s="197"/>
      <c r="AG41" s="197"/>
      <c r="AH41" s="197"/>
      <c r="AI41" s="197"/>
      <c r="AJ41" s="197"/>
      <c r="AK41" s="197"/>
      <c r="AL41" s="197"/>
      <c r="AM41" s="198" t="str">
        <f aca="false">IF($A41="","",IF(OR($N41="Yes",$S41="Yes",$X41="Yes",$AC41="Yes",$AH41="Yes"),"Yes","No"))</f>
        <v>Yes</v>
      </c>
      <c r="AN41" s="198" t="str">
        <f aca="false">IF($A40="","",IFERROR(IF($AI40&lt;&gt;"",$AI40,IF($AD40&lt;&gt;"",$AD40,IF($Y40&lt;&gt;"",$Y40,IF($T40&lt;&gt;"",$T40,IF($O40&lt;&gt;"",$O40,""))))),""))</f>
        <v/>
      </c>
      <c r="AO41" s="198" t="str">
        <f aca="false">IFERROR(IF($AJ41&lt;&gt;"",$AJ41,IF($AE41&lt;&gt;"",$AE41,IF($Z41&lt;&gt;"",$Z41,IF($U41&lt;&gt;"",$U41,IF($P41&lt;&gt;"",$P41,""))))),"")</f>
        <v>Block</v>
      </c>
      <c r="AP41" s="199" t="s">
        <v>983</v>
      </c>
    </row>
    <row r="42" customFormat="false" ht="15" hidden="false" customHeight="true" outlineLevel="0" collapsed="false">
      <c r="A42" s="194"/>
      <c r="B42" s="200" t="s">
        <v>984</v>
      </c>
      <c r="C42" s="203"/>
      <c r="D42" s="203"/>
      <c r="E42" s="203"/>
      <c r="F42" s="203"/>
      <c r="G42" s="203"/>
      <c r="H42" s="203"/>
      <c r="I42" s="204"/>
      <c r="J42" s="194"/>
      <c r="K42" s="194"/>
      <c r="L42" s="194"/>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c r="AN42" s="198"/>
      <c r="AO42" s="198"/>
      <c r="AP42" s="199"/>
    </row>
    <row r="43" customFormat="false" ht="168.75" hidden="false" customHeight="true" outlineLevel="0" collapsed="false">
      <c r="A43" s="194" t="str">
        <f aca="false">IF(C43="","",$C$2&amp;"."&amp;COUNTA($C$8:C43)&amp;"")</f>
        <v>TC_03.29</v>
      </c>
      <c r="B43" s="194" t="s">
        <v>514</v>
      </c>
      <c r="C43" s="194" t="s">
        <v>985</v>
      </c>
      <c r="D43" s="194" t="s">
        <v>40</v>
      </c>
      <c r="E43" s="194" t="s">
        <v>156</v>
      </c>
      <c r="F43" s="195" t="s">
        <v>986</v>
      </c>
      <c r="G43" s="195" t="s">
        <v>987</v>
      </c>
      <c r="H43" s="195" t="s">
        <v>988</v>
      </c>
      <c r="I43" s="195" t="s">
        <v>989</v>
      </c>
      <c r="J43" s="194" t="s">
        <v>637</v>
      </c>
      <c r="K43" s="194" t="s">
        <v>241</v>
      </c>
      <c r="L43" s="194" t="s">
        <v>638</v>
      </c>
      <c r="M43" s="194"/>
      <c r="N43" s="196" t="s">
        <v>639</v>
      </c>
      <c r="O43" s="196"/>
      <c r="P43" s="196" t="s">
        <v>26</v>
      </c>
      <c r="Q43" s="196" t="s">
        <v>640</v>
      </c>
      <c r="R43" s="196"/>
      <c r="S43" s="196"/>
      <c r="T43" s="196"/>
      <c r="U43" s="196"/>
      <c r="V43" s="196"/>
      <c r="W43" s="196"/>
      <c r="X43" s="196"/>
      <c r="Y43" s="196"/>
      <c r="Z43" s="196"/>
      <c r="AA43" s="196"/>
      <c r="AB43" s="197"/>
      <c r="AC43" s="197"/>
      <c r="AD43" s="197"/>
      <c r="AE43" s="197"/>
      <c r="AF43" s="197"/>
      <c r="AG43" s="197"/>
      <c r="AH43" s="197"/>
      <c r="AI43" s="197"/>
      <c r="AJ43" s="197"/>
      <c r="AK43" s="197"/>
      <c r="AL43" s="197"/>
      <c r="AM43" s="198" t="str">
        <f aca="false">IF($A43="","",IF(OR($N43="Yes",$S43="Yes",$X43="Yes",$AC43="Yes",$AH43="Yes"),"Yes","No"))</f>
        <v>Yes</v>
      </c>
      <c r="AN43" s="198" t="str">
        <f aca="false">IF($A36="","",IFERROR(IF($AI36&lt;&gt;"",$AI36,IF($AD36&lt;&gt;"",$AD36,IF($Y36&lt;&gt;"",$Y36,IF($T36&lt;&gt;"",$T36,IF($O36&lt;&gt;"",$O36,""))))),""))</f>
        <v/>
      </c>
      <c r="AO43" s="198" t="str">
        <f aca="false">IFERROR(IF($AJ43&lt;&gt;"",$AJ43,IF($AE43&lt;&gt;"",$AE43,IF($Z43&lt;&gt;"",$Z43,IF($U43&lt;&gt;"",$U43,IF($P43&lt;&gt;"",$P43,""))))),"")</f>
        <v>Block</v>
      </c>
      <c r="AP43" s="199" t="s">
        <v>990</v>
      </c>
    </row>
    <row r="44" customFormat="false" ht="102" hidden="false" customHeight="true" outlineLevel="0" collapsed="false">
      <c r="A44" s="194" t="str">
        <f aca="false">IF(C44="","",$C$2&amp;"."&amp;COUNTA($C$8:C44)&amp;"")</f>
        <v>TC_03.30</v>
      </c>
      <c r="B44" s="194" t="s">
        <v>514</v>
      </c>
      <c r="C44" s="194" t="s">
        <v>985</v>
      </c>
      <c r="D44" s="194" t="s">
        <v>40</v>
      </c>
      <c r="E44" s="194" t="s">
        <v>156</v>
      </c>
      <c r="F44" s="195" t="s">
        <v>991</v>
      </c>
      <c r="G44" s="195" t="s">
        <v>992</v>
      </c>
      <c r="H44" s="195" t="s">
        <v>993</v>
      </c>
      <c r="I44" s="195" t="s">
        <v>994</v>
      </c>
      <c r="J44" s="194" t="s">
        <v>637</v>
      </c>
      <c r="K44" s="194" t="s">
        <v>241</v>
      </c>
      <c r="L44" s="194" t="s">
        <v>638</v>
      </c>
      <c r="M44" s="194"/>
      <c r="N44" s="196" t="s">
        <v>639</v>
      </c>
      <c r="O44" s="196"/>
      <c r="P44" s="196" t="s">
        <v>26</v>
      </c>
      <c r="Q44" s="196" t="s">
        <v>640</v>
      </c>
      <c r="R44" s="196"/>
      <c r="S44" s="196"/>
      <c r="T44" s="196"/>
      <c r="U44" s="196"/>
      <c r="V44" s="196"/>
      <c r="W44" s="196"/>
      <c r="X44" s="196"/>
      <c r="Y44" s="196"/>
      <c r="Z44" s="196"/>
      <c r="AA44" s="196"/>
      <c r="AB44" s="197"/>
      <c r="AC44" s="197"/>
      <c r="AD44" s="197"/>
      <c r="AE44" s="197"/>
      <c r="AF44" s="197"/>
      <c r="AG44" s="197"/>
      <c r="AH44" s="197"/>
      <c r="AI44" s="197"/>
      <c r="AJ44" s="197"/>
      <c r="AK44" s="197"/>
      <c r="AL44" s="197"/>
      <c r="AM44" s="198" t="str">
        <f aca="false">IF($A44="","",IF(OR($N44="Yes",$S44="Yes",$X44="Yes",$AC44="Yes",$AH44="Yes"),"Yes","No"))</f>
        <v>Yes</v>
      </c>
      <c r="AN44" s="198" t="str">
        <f aca="false">IF($A36="","",IFERROR(IF($AI36&lt;&gt;"",$AI36,IF($AD36&lt;&gt;"",$AD36,IF($Y36&lt;&gt;"",$Y36,IF($T36&lt;&gt;"",$T36,IF($O36&lt;&gt;"",$O36,""))))),""))</f>
        <v/>
      </c>
      <c r="AO44" s="198" t="str">
        <f aca="false">IFERROR(IF($AJ44&lt;&gt;"",$AJ44,IF($AE44&lt;&gt;"",$AE44,IF($Z44&lt;&gt;"",$Z44,IF($U44&lt;&gt;"",$U44,IF($P44&lt;&gt;"",$P44,""))))),"")</f>
        <v>Block</v>
      </c>
      <c r="AP44" s="199" t="s">
        <v>995</v>
      </c>
    </row>
    <row r="45" customFormat="false" ht="15" hidden="false" customHeight="true" outlineLevel="0" collapsed="false">
      <c r="A45" s="194"/>
      <c r="B45" s="205" t="s">
        <v>996</v>
      </c>
      <c r="C45" s="205"/>
      <c r="D45" s="205"/>
      <c r="E45" s="205"/>
      <c r="F45" s="205"/>
      <c r="G45" s="205"/>
      <c r="H45" s="205"/>
      <c r="I45" s="205"/>
      <c r="J45" s="194"/>
      <c r="K45" s="194"/>
      <c r="L45" s="194"/>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t="str">
        <f aca="false">IF($A45="","",IF(OR($N45="Yes",$S45="Yes",$X45="Yes",$AC45="Yes",$AH45="Yes"),"Yes","No"))</f>
        <v/>
      </c>
      <c r="AN45" s="198"/>
      <c r="AO45" s="198" t="str">
        <f aca="false">IFERROR(IF($AJ45&lt;&gt;"",$AJ45,IF($AE45&lt;&gt;"",$AE45,IF($Z45&lt;&gt;"",$Z45,IF($U45&lt;&gt;"",$U45,IF($P45&lt;&gt;"",$P45,""))))),"")</f>
        <v/>
      </c>
      <c r="AP45" s="199"/>
    </row>
    <row r="46" customFormat="false" ht="60" hidden="false" customHeight="true" outlineLevel="0" collapsed="false">
      <c r="A46" s="194" t="str">
        <f aca="false">IF(C46="","",$C$2&amp;"."&amp;COUNTA($C$8:C46)&amp;"")</f>
        <v>TC_03.31</v>
      </c>
      <c r="B46" s="194" t="s">
        <v>511</v>
      </c>
      <c r="C46" s="194" t="s">
        <v>555</v>
      </c>
      <c r="D46" s="194" t="s">
        <v>42</v>
      </c>
      <c r="E46" s="194" t="s">
        <v>157</v>
      </c>
      <c r="F46" s="195" t="s">
        <v>997</v>
      </c>
      <c r="G46" s="195" t="s">
        <v>998</v>
      </c>
      <c r="H46" s="195" t="s">
        <v>999</v>
      </c>
      <c r="I46" s="195" t="s">
        <v>1000</v>
      </c>
      <c r="J46" s="194" t="s">
        <v>637</v>
      </c>
      <c r="K46" s="194" t="s">
        <v>241</v>
      </c>
      <c r="L46" s="194" t="s">
        <v>638</v>
      </c>
      <c r="M46" s="194"/>
      <c r="N46" s="196" t="s">
        <v>639</v>
      </c>
      <c r="O46" s="196"/>
      <c r="P46" s="196" t="s">
        <v>26</v>
      </c>
      <c r="Q46" s="196" t="s">
        <v>640</v>
      </c>
      <c r="R46" s="196"/>
      <c r="S46" s="196"/>
      <c r="T46" s="196"/>
      <c r="U46" s="196"/>
      <c r="V46" s="196"/>
      <c r="W46" s="196"/>
      <c r="X46" s="196"/>
      <c r="Y46" s="196"/>
      <c r="Z46" s="196"/>
      <c r="AA46" s="196"/>
      <c r="AB46" s="197"/>
      <c r="AC46" s="197"/>
      <c r="AD46" s="197"/>
      <c r="AE46" s="197"/>
      <c r="AF46" s="197"/>
      <c r="AG46" s="197"/>
      <c r="AH46" s="197"/>
      <c r="AI46" s="197"/>
      <c r="AJ46" s="197"/>
      <c r="AK46" s="197"/>
      <c r="AL46" s="197"/>
      <c r="AM46" s="198" t="str">
        <f aca="false">IF($A46="","",IF(OR($N46="Yes",$S46="Yes",$X46="Yes",$AC46="Yes",$AH46="Yes"),"Yes","No"))</f>
        <v>Yes</v>
      </c>
      <c r="AN46" s="198" t="str">
        <f aca="false">IF($A46="","",IFERROR(IF($AI46&lt;&gt;"",$AI46,IF($AD46&lt;&gt;"",$AD46,IF($Y46&lt;&gt;"",$Y46,IF($T46&lt;&gt;"",$T46,IF($O46&lt;&gt;"",$O46,""))))),""))</f>
        <v/>
      </c>
      <c r="AO46" s="198" t="str">
        <f aca="false">IFERROR(IF($AJ46&lt;&gt;"",$AJ46,IF($AE46&lt;&gt;"",$AE46,IF($Z46&lt;&gt;"",$Z46,IF($U46&lt;&gt;"",$U46,IF($P46&lt;&gt;"",$P46,""))))),"")</f>
        <v>Block</v>
      </c>
      <c r="AP46" s="199" t="s">
        <v>1001</v>
      </c>
    </row>
    <row r="47" customFormat="false" ht="60" hidden="false" customHeight="true" outlineLevel="0" collapsed="false">
      <c r="A47" s="194" t="str">
        <f aca="false">IF(C47="","",$C$2&amp;"."&amp;COUNTA($C$8:C47)&amp;"")</f>
        <v>TC_03.32</v>
      </c>
      <c r="B47" s="194" t="s">
        <v>511</v>
      </c>
      <c r="C47" s="194" t="s">
        <v>555</v>
      </c>
      <c r="D47" s="194" t="s">
        <v>42</v>
      </c>
      <c r="E47" s="194" t="s">
        <v>157</v>
      </c>
      <c r="F47" s="195" t="s">
        <v>1002</v>
      </c>
      <c r="G47" s="195" t="s">
        <v>1003</v>
      </c>
      <c r="H47" s="195" t="s">
        <v>1004</v>
      </c>
      <c r="I47" s="195" t="s">
        <v>1000</v>
      </c>
      <c r="J47" s="194" t="s">
        <v>637</v>
      </c>
      <c r="K47" s="194" t="s">
        <v>241</v>
      </c>
      <c r="L47" s="194" t="s">
        <v>638</v>
      </c>
      <c r="M47" s="194"/>
      <c r="N47" s="196" t="s">
        <v>639</v>
      </c>
      <c r="O47" s="196"/>
      <c r="P47" s="196" t="s">
        <v>26</v>
      </c>
      <c r="Q47" s="196" t="s">
        <v>640</v>
      </c>
      <c r="R47" s="196"/>
      <c r="S47" s="196"/>
      <c r="T47" s="196"/>
      <c r="U47" s="196"/>
      <c r="V47" s="196"/>
      <c r="W47" s="196"/>
      <c r="X47" s="196"/>
      <c r="Y47" s="196"/>
      <c r="Z47" s="196"/>
      <c r="AA47" s="196"/>
      <c r="AB47" s="197"/>
      <c r="AC47" s="197"/>
      <c r="AD47" s="197"/>
      <c r="AE47" s="197"/>
      <c r="AF47" s="197"/>
      <c r="AG47" s="197"/>
      <c r="AH47" s="197"/>
      <c r="AI47" s="197"/>
      <c r="AJ47" s="197"/>
      <c r="AK47" s="197"/>
      <c r="AL47" s="197"/>
      <c r="AM47" s="198" t="str">
        <f aca="false">IF($A47="","",IF(OR($N47="Yes",$S47="Yes",$X47="Yes",$AC47="Yes",$AH47="Yes"),"Yes","No"))</f>
        <v>Yes</v>
      </c>
      <c r="AN47" s="198" t="str">
        <f aca="false">IF($A47="","",IFERROR(IF($AI47&lt;&gt;"",$AI47,IF($AD47&lt;&gt;"",$AD47,IF($Y47&lt;&gt;"",$Y47,IF($T47&lt;&gt;"",$T47,IF($O47&lt;&gt;"",$O47,""))))),""))</f>
        <v/>
      </c>
      <c r="AO47" s="198" t="str">
        <f aca="false">IFERROR(IF($AJ47&lt;&gt;"",$AJ47,IF($AE47&lt;&gt;"",$AE47,IF($Z47&lt;&gt;"",$Z47,IF($U47&lt;&gt;"",$U47,IF($P47&lt;&gt;"",$P47,""))))),"")</f>
        <v>Block</v>
      </c>
      <c r="AP47" s="199" t="s">
        <v>1001</v>
      </c>
    </row>
    <row r="48" customFormat="false" ht="60" hidden="false" customHeight="true" outlineLevel="0" collapsed="false">
      <c r="A48" s="194" t="str">
        <f aca="false">IF(C48="","",$C$2&amp;"."&amp;COUNTA($C$8:C48)&amp;"")</f>
        <v>TC_03.33</v>
      </c>
      <c r="B48" s="194" t="s">
        <v>511</v>
      </c>
      <c r="C48" s="194" t="s">
        <v>555</v>
      </c>
      <c r="D48" s="194" t="s">
        <v>42</v>
      </c>
      <c r="E48" s="194" t="s">
        <v>157</v>
      </c>
      <c r="F48" s="195" t="s">
        <v>1005</v>
      </c>
      <c r="G48" s="195" t="s">
        <v>1006</v>
      </c>
      <c r="H48" s="195" t="s">
        <v>1007</v>
      </c>
      <c r="I48" s="195" t="s">
        <v>1000</v>
      </c>
      <c r="J48" s="194" t="s">
        <v>637</v>
      </c>
      <c r="K48" s="194" t="s">
        <v>241</v>
      </c>
      <c r="L48" s="194" t="s">
        <v>638</v>
      </c>
      <c r="M48" s="194"/>
      <c r="N48" s="196" t="s">
        <v>639</v>
      </c>
      <c r="O48" s="196"/>
      <c r="P48" s="196" t="s">
        <v>22</v>
      </c>
      <c r="Q48" s="196" t="s">
        <v>640</v>
      </c>
      <c r="R48" s="196"/>
      <c r="S48" s="196"/>
      <c r="T48" s="196"/>
      <c r="U48" s="196"/>
      <c r="V48" s="196"/>
      <c r="W48" s="196"/>
      <c r="X48" s="196"/>
      <c r="Y48" s="196"/>
      <c r="Z48" s="196"/>
      <c r="AA48" s="196"/>
      <c r="AB48" s="197"/>
      <c r="AC48" s="197"/>
      <c r="AD48" s="197"/>
      <c r="AE48" s="197"/>
      <c r="AF48" s="197"/>
      <c r="AG48" s="197"/>
      <c r="AH48" s="197"/>
      <c r="AI48" s="197"/>
      <c r="AJ48" s="197"/>
      <c r="AK48" s="197"/>
      <c r="AL48" s="197"/>
      <c r="AM48" s="198" t="str">
        <f aca="false">IF($A48="","",IF(OR($N48="Yes",$S48="Yes",$X48="Yes",$AC48="Yes",$AH48="Yes"),"Yes","No"))</f>
        <v>Yes</v>
      </c>
      <c r="AN48" s="198" t="str">
        <f aca="false">IF($A48="","",IFERROR(IF($AI48&lt;&gt;"",$AI48,IF($AD48&lt;&gt;"",$AD48,IF($Y48&lt;&gt;"",$Y48,IF($T48&lt;&gt;"",$T48,IF($O48&lt;&gt;"",$O48,""))))),""))</f>
        <v/>
      </c>
      <c r="AO48" s="198" t="str">
        <f aca="false">IFERROR(IF($AJ48&lt;&gt;"",$AJ48,IF($AE48&lt;&gt;"",$AE48,IF($Z48&lt;&gt;"",$Z48,IF($U48&lt;&gt;"",$U48,IF($P48&lt;&gt;"",$P48,""))))),"")</f>
        <v>Pass</v>
      </c>
      <c r="AP48" s="199" t="s">
        <v>1001</v>
      </c>
    </row>
    <row r="49" customFormat="false" ht="60" hidden="false" customHeight="true" outlineLevel="0" collapsed="false">
      <c r="A49" s="194" t="str">
        <f aca="false">IF(C49="","",$C$2&amp;"."&amp;COUNTA($C$8:C49)&amp;"")</f>
        <v>TC_03.34</v>
      </c>
      <c r="B49" s="194" t="s">
        <v>511</v>
      </c>
      <c r="C49" s="194" t="s">
        <v>555</v>
      </c>
      <c r="D49" s="194" t="s">
        <v>42</v>
      </c>
      <c r="E49" s="194" t="s">
        <v>157</v>
      </c>
      <c r="F49" s="195" t="s">
        <v>1008</v>
      </c>
      <c r="G49" s="195" t="s">
        <v>1009</v>
      </c>
      <c r="H49" s="195" t="s">
        <v>1010</v>
      </c>
      <c r="I49" s="195" t="s">
        <v>1011</v>
      </c>
      <c r="J49" s="194" t="s">
        <v>637</v>
      </c>
      <c r="K49" s="194" t="s">
        <v>241</v>
      </c>
      <c r="L49" s="194" t="s">
        <v>638</v>
      </c>
      <c r="M49" s="194"/>
      <c r="N49" s="196" t="s">
        <v>639</v>
      </c>
      <c r="O49" s="196"/>
      <c r="P49" s="196" t="s">
        <v>26</v>
      </c>
      <c r="Q49" s="196" t="s">
        <v>640</v>
      </c>
      <c r="R49" s="196"/>
      <c r="S49" s="196"/>
      <c r="T49" s="196"/>
      <c r="U49" s="196"/>
      <c r="V49" s="196"/>
      <c r="W49" s="196"/>
      <c r="X49" s="196"/>
      <c r="Y49" s="196"/>
      <c r="Z49" s="196"/>
      <c r="AA49" s="196"/>
      <c r="AB49" s="197"/>
      <c r="AC49" s="197"/>
      <c r="AD49" s="197"/>
      <c r="AE49" s="197"/>
      <c r="AF49" s="197"/>
      <c r="AG49" s="197"/>
      <c r="AH49" s="197"/>
      <c r="AI49" s="197"/>
      <c r="AJ49" s="197"/>
      <c r="AK49" s="197"/>
      <c r="AL49" s="197"/>
      <c r="AM49" s="198" t="str">
        <f aca="false">IF($A49="","",IF(OR($N49="Yes",$S49="Yes",$X49="Yes",$AC49="Yes",$AH49="Yes"),"Yes","No"))</f>
        <v>Yes</v>
      </c>
      <c r="AN49" s="198" t="str">
        <f aca="false">IF($A49="","",IFERROR(IF($AI49&lt;&gt;"",$AI49,IF($AD49&lt;&gt;"",$AD49,IF($Y49&lt;&gt;"",$Y49,IF($T49&lt;&gt;"",$T49,IF($O49&lt;&gt;"",$O49,""))))),""))</f>
        <v/>
      </c>
      <c r="AO49" s="198" t="str">
        <f aca="false">IFERROR(IF($AJ49&lt;&gt;"",$AJ49,IF($AE49&lt;&gt;"",$AE49,IF($Z49&lt;&gt;"",$Z49,IF($U49&lt;&gt;"",$U49,IF($P49&lt;&gt;"",$P49,""))))),"")</f>
        <v>Block</v>
      </c>
      <c r="AP49" s="199" t="s">
        <v>1012</v>
      </c>
    </row>
    <row r="50" customFormat="false" ht="60" hidden="false" customHeight="true" outlineLevel="0" collapsed="false">
      <c r="A50" s="194" t="str">
        <f aca="false">IF(C50="","",$C$2&amp;"."&amp;COUNTA($C$8:C50)&amp;"")</f>
        <v>TC_03.35</v>
      </c>
      <c r="B50" s="194" t="s">
        <v>511</v>
      </c>
      <c r="C50" s="194" t="s">
        <v>555</v>
      </c>
      <c r="D50" s="194" t="s">
        <v>42</v>
      </c>
      <c r="E50" s="194" t="s">
        <v>157</v>
      </c>
      <c r="F50" s="195" t="s">
        <v>1013</v>
      </c>
      <c r="G50" s="195" t="s">
        <v>1014</v>
      </c>
      <c r="H50" s="195" t="s">
        <v>1015</v>
      </c>
      <c r="I50" s="195" t="s">
        <v>1000</v>
      </c>
      <c r="J50" s="194" t="s">
        <v>637</v>
      </c>
      <c r="K50" s="194" t="s">
        <v>241</v>
      </c>
      <c r="L50" s="194" t="s">
        <v>638</v>
      </c>
      <c r="M50" s="194"/>
      <c r="N50" s="196" t="s">
        <v>639</v>
      </c>
      <c r="O50" s="196"/>
      <c r="P50" s="196" t="s">
        <v>22</v>
      </c>
      <c r="Q50" s="196" t="s">
        <v>640</v>
      </c>
      <c r="R50" s="196"/>
      <c r="S50" s="196"/>
      <c r="T50" s="196"/>
      <c r="U50" s="196"/>
      <c r="V50" s="196"/>
      <c r="W50" s="196"/>
      <c r="X50" s="196"/>
      <c r="Y50" s="196"/>
      <c r="Z50" s="196"/>
      <c r="AA50" s="196"/>
      <c r="AB50" s="197"/>
      <c r="AC50" s="197"/>
      <c r="AD50" s="197"/>
      <c r="AE50" s="197"/>
      <c r="AF50" s="197"/>
      <c r="AG50" s="197"/>
      <c r="AH50" s="197"/>
      <c r="AI50" s="197"/>
      <c r="AJ50" s="197"/>
      <c r="AK50" s="197"/>
      <c r="AL50" s="197"/>
      <c r="AM50" s="198" t="str">
        <f aca="false">IF($A50="","",IF(OR($N50="Yes",$S50="Yes",$X50="Yes",$AC50="Yes",$AH50="Yes"),"Yes","No"))</f>
        <v>Yes</v>
      </c>
      <c r="AN50" s="198" t="str">
        <f aca="false">IF($A50="","",IFERROR(IF($AI50&lt;&gt;"",$AI50,IF($AD50&lt;&gt;"",$AD50,IF($Y50&lt;&gt;"",$Y50,IF($T50&lt;&gt;"",$T50,IF($O50&lt;&gt;"",$O50,""))))),""))</f>
        <v/>
      </c>
      <c r="AO50" s="198" t="str">
        <f aca="false">IFERROR(IF($AJ50&lt;&gt;"",$AJ50,IF($AE50&lt;&gt;"",$AE50,IF($Z50&lt;&gt;"",$Z50,IF($U50&lt;&gt;"",$U50,IF($P50&lt;&gt;"",$P50,""))))),"")</f>
        <v>Pass</v>
      </c>
      <c r="AP50" s="199" t="s">
        <v>1016</v>
      </c>
    </row>
    <row r="51" customFormat="false" ht="60" hidden="false" customHeight="true" outlineLevel="0" collapsed="false">
      <c r="A51" s="194" t="str">
        <f aca="false">IF(C51="","",$C$2&amp;"."&amp;COUNTA($C$8:C51)&amp;"")</f>
        <v>TC_03.36</v>
      </c>
      <c r="B51" s="194" t="s">
        <v>511</v>
      </c>
      <c r="C51" s="194" t="s">
        <v>555</v>
      </c>
      <c r="D51" s="194" t="s">
        <v>42</v>
      </c>
      <c r="E51" s="194" t="s">
        <v>157</v>
      </c>
      <c r="F51" s="195" t="s">
        <v>1017</v>
      </c>
      <c r="G51" s="195" t="s">
        <v>1018</v>
      </c>
      <c r="H51" s="195" t="s">
        <v>1019</v>
      </c>
      <c r="I51" s="195" t="s">
        <v>1000</v>
      </c>
      <c r="J51" s="194" t="s">
        <v>637</v>
      </c>
      <c r="K51" s="194" t="s">
        <v>241</v>
      </c>
      <c r="L51" s="194" t="s">
        <v>638</v>
      </c>
      <c r="M51" s="194"/>
      <c r="N51" s="196" t="s">
        <v>639</v>
      </c>
      <c r="O51" s="196"/>
      <c r="P51" s="196" t="s">
        <v>22</v>
      </c>
      <c r="Q51" s="196" t="s">
        <v>640</v>
      </c>
      <c r="R51" s="196"/>
      <c r="S51" s="196"/>
      <c r="T51" s="196"/>
      <c r="U51" s="196"/>
      <c r="V51" s="196"/>
      <c r="W51" s="196"/>
      <c r="X51" s="196"/>
      <c r="Y51" s="196"/>
      <c r="Z51" s="196"/>
      <c r="AA51" s="196"/>
      <c r="AB51" s="197"/>
      <c r="AC51" s="197"/>
      <c r="AD51" s="197"/>
      <c r="AE51" s="197"/>
      <c r="AF51" s="197"/>
      <c r="AG51" s="197"/>
      <c r="AH51" s="197"/>
      <c r="AI51" s="197"/>
      <c r="AJ51" s="197"/>
      <c r="AK51" s="197"/>
      <c r="AL51" s="197"/>
      <c r="AM51" s="198" t="str">
        <f aca="false">IF($A51="","",IF(OR($N51="Yes",$S51="Yes",$X51="Yes",$AC51="Yes",$AH51="Yes"),"Yes","No"))</f>
        <v>Yes</v>
      </c>
      <c r="AN51" s="198" t="str">
        <f aca="false">IF($A51="","",IFERROR(IF($AI51&lt;&gt;"",$AI51,IF($AD51&lt;&gt;"",$AD51,IF($Y51&lt;&gt;"",$Y51,IF($T51&lt;&gt;"",$T51,IF($O51&lt;&gt;"",$O51,""))))),""))</f>
        <v/>
      </c>
      <c r="AO51" s="198" t="str">
        <f aca="false">IFERROR(IF($AJ51&lt;&gt;"",$AJ51,IF($AE51&lt;&gt;"",$AE51,IF($Z51&lt;&gt;"",$Z51,IF($U51&lt;&gt;"",$U51,IF($P51&lt;&gt;"",$P51,""))))),"")</f>
        <v>Pass</v>
      </c>
      <c r="AP51" s="199" t="s">
        <v>1016</v>
      </c>
    </row>
    <row r="52" customFormat="false" ht="60" hidden="false" customHeight="true" outlineLevel="0" collapsed="false">
      <c r="A52" s="194" t="str">
        <f aca="false">IF(C52="","",$C$2&amp;"."&amp;COUNTA($C$8:C52)&amp;"")</f>
        <v>TC_03.37</v>
      </c>
      <c r="B52" s="194" t="s">
        <v>511</v>
      </c>
      <c r="C52" s="194" t="s">
        <v>555</v>
      </c>
      <c r="D52" s="194" t="s">
        <v>42</v>
      </c>
      <c r="E52" s="194" t="s">
        <v>157</v>
      </c>
      <c r="F52" s="195" t="s">
        <v>1020</v>
      </c>
      <c r="G52" s="195" t="s">
        <v>1021</v>
      </c>
      <c r="H52" s="195" t="s">
        <v>1022</v>
      </c>
      <c r="I52" s="195" t="s">
        <v>1000</v>
      </c>
      <c r="J52" s="194" t="s">
        <v>637</v>
      </c>
      <c r="K52" s="194" t="s">
        <v>241</v>
      </c>
      <c r="L52" s="194" t="s">
        <v>638</v>
      </c>
      <c r="M52" s="194"/>
      <c r="N52" s="196" t="s">
        <v>639</v>
      </c>
      <c r="O52" s="196"/>
      <c r="P52" s="196" t="s">
        <v>26</v>
      </c>
      <c r="Q52" s="196" t="s">
        <v>640</v>
      </c>
      <c r="R52" s="196"/>
      <c r="S52" s="196"/>
      <c r="T52" s="196"/>
      <c r="U52" s="196"/>
      <c r="V52" s="196"/>
      <c r="W52" s="196"/>
      <c r="X52" s="196"/>
      <c r="Y52" s="196"/>
      <c r="Z52" s="196"/>
      <c r="AA52" s="196"/>
      <c r="AB52" s="197"/>
      <c r="AC52" s="197"/>
      <c r="AD52" s="197"/>
      <c r="AE52" s="197"/>
      <c r="AF52" s="197"/>
      <c r="AG52" s="197"/>
      <c r="AH52" s="197"/>
      <c r="AI52" s="197"/>
      <c r="AJ52" s="197"/>
      <c r="AK52" s="197"/>
      <c r="AL52" s="197"/>
      <c r="AM52" s="198" t="str">
        <f aca="false">IF($A52="","",IF(OR($N52="Yes",$S52="Yes",$X52="Yes",$AC52="Yes",$AH52="Yes"),"Yes","No"))</f>
        <v>Yes</v>
      </c>
      <c r="AN52" s="198" t="str">
        <f aca="false">IF($A52="","",IFERROR(IF($AI52&lt;&gt;"",$AI52,IF($AD52&lt;&gt;"",$AD52,IF($Y52&lt;&gt;"",$Y52,IF($T52&lt;&gt;"",$T52,IF($O52&lt;&gt;"",$O52,""))))),""))</f>
        <v/>
      </c>
      <c r="AO52" s="198" t="str">
        <f aca="false">IFERROR(IF($AJ52&lt;&gt;"",$AJ52,IF($AE52&lt;&gt;"",$AE52,IF($Z52&lt;&gt;"",$Z52,IF($U52&lt;&gt;"",$U52,IF($P52&lt;&gt;"",$P52,""))))),"")</f>
        <v>Block</v>
      </c>
      <c r="AP52" s="199" t="s">
        <v>1016</v>
      </c>
    </row>
    <row r="53" customFormat="false" ht="60" hidden="false" customHeight="true" outlineLevel="0" collapsed="false">
      <c r="A53" s="194" t="str">
        <f aca="false">IF(C53="","",$C$2&amp;"."&amp;COUNTA($C$8:C53)&amp;"")</f>
        <v>TC_03.38</v>
      </c>
      <c r="B53" s="194" t="s">
        <v>888</v>
      </c>
      <c r="C53" s="194" t="s">
        <v>555</v>
      </c>
      <c r="D53" s="194" t="s">
        <v>42</v>
      </c>
      <c r="E53" s="194" t="s">
        <v>158</v>
      </c>
      <c r="F53" s="195" t="s">
        <v>1023</v>
      </c>
      <c r="G53" s="195" t="s">
        <v>1024</v>
      </c>
      <c r="H53" s="195" t="s">
        <v>1025</v>
      </c>
      <c r="I53" s="195" t="s">
        <v>1026</v>
      </c>
      <c r="J53" s="194" t="s">
        <v>637</v>
      </c>
      <c r="K53" s="194" t="s">
        <v>241</v>
      </c>
      <c r="L53" s="194" t="s">
        <v>638</v>
      </c>
      <c r="M53" s="194"/>
      <c r="N53" s="196" t="s">
        <v>639</v>
      </c>
      <c r="O53" s="196"/>
      <c r="P53" s="196" t="s">
        <v>26</v>
      </c>
      <c r="Q53" s="196" t="s">
        <v>640</v>
      </c>
      <c r="R53" s="196"/>
      <c r="S53" s="196"/>
      <c r="T53" s="196"/>
      <c r="U53" s="196"/>
      <c r="V53" s="196"/>
      <c r="W53" s="196"/>
      <c r="X53" s="196"/>
      <c r="Y53" s="196"/>
      <c r="Z53" s="196"/>
      <c r="AA53" s="196"/>
      <c r="AB53" s="197"/>
      <c r="AC53" s="197"/>
      <c r="AD53" s="197"/>
      <c r="AE53" s="197"/>
      <c r="AF53" s="197"/>
      <c r="AG53" s="197"/>
      <c r="AH53" s="197"/>
      <c r="AI53" s="197"/>
      <c r="AJ53" s="197"/>
      <c r="AK53" s="197"/>
      <c r="AL53" s="197"/>
      <c r="AM53" s="198" t="str">
        <f aca="false">IF($A53="","",IF(OR($N53="Yes",$S53="Yes",$X53="Yes",$AC53="Yes",$AH53="Yes"),"Yes","No"))</f>
        <v>Yes</v>
      </c>
      <c r="AN53" s="198" t="str">
        <f aca="false">IF($A53="","",IFERROR(IF($AI53&lt;&gt;"",$AI53,IF($AD53&lt;&gt;"",$AD53,IF($Y53&lt;&gt;"",$Y53,IF($T53&lt;&gt;"",$T53,IF($O53&lt;&gt;"",$O53,""))))),""))</f>
        <v/>
      </c>
      <c r="AO53" s="198" t="str">
        <f aca="false">IFERROR(IF($AJ53&lt;&gt;"",$AJ53,IF($AE53&lt;&gt;"",$AE53,IF($Z53&lt;&gt;"",$Z53,IF($U53&lt;&gt;"",$U53,IF($P53&lt;&gt;"",$P53,""))))),"")</f>
        <v>Block</v>
      </c>
      <c r="AP53" s="199" t="s">
        <v>1027</v>
      </c>
    </row>
    <row r="54" customFormat="false" ht="60" hidden="false" customHeight="true" outlineLevel="0" collapsed="false">
      <c r="A54" s="194" t="str">
        <f aca="false">IF(C54="","",$C$2&amp;"."&amp;COUNTA($C$8:C54)&amp;"")</f>
        <v>TC_03.39</v>
      </c>
      <c r="B54" s="194" t="s">
        <v>511</v>
      </c>
      <c r="C54" s="194" t="s">
        <v>555</v>
      </c>
      <c r="D54" s="194" t="s">
        <v>42</v>
      </c>
      <c r="E54" s="194" t="s">
        <v>157</v>
      </c>
      <c r="F54" s="195" t="s">
        <v>1028</v>
      </c>
      <c r="G54" s="195" t="s">
        <v>1029</v>
      </c>
      <c r="H54" s="195" t="s">
        <v>1030</v>
      </c>
      <c r="I54" s="195" t="s">
        <v>1000</v>
      </c>
      <c r="J54" s="194" t="s">
        <v>637</v>
      </c>
      <c r="K54" s="194" t="s">
        <v>241</v>
      </c>
      <c r="L54" s="194" t="s">
        <v>638</v>
      </c>
      <c r="M54" s="194"/>
      <c r="N54" s="196" t="s">
        <v>639</v>
      </c>
      <c r="O54" s="196"/>
      <c r="P54" s="196" t="s">
        <v>26</v>
      </c>
      <c r="Q54" s="196" t="s">
        <v>640</v>
      </c>
      <c r="R54" s="196"/>
      <c r="S54" s="196"/>
      <c r="T54" s="196"/>
      <c r="U54" s="196"/>
      <c r="V54" s="196"/>
      <c r="W54" s="196"/>
      <c r="X54" s="196"/>
      <c r="Y54" s="196"/>
      <c r="Z54" s="196"/>
      <c r="AA54" s="196"/>
      <c r="AB54" s="197"/>
      <c r="AC54" s="197"/>
      <c r="AD54" s="197"/>
      <c r="AE54" s="197"/>
      <c r="AF54" s="197"/>
      <c r="AG54" s="197"/>
      <c r="AH54" s="197"/>
      <c r="AI54" s="197"/>
      <c r="AJ54" s="197"/>
      <c r="AK54" s="197"/>
      <c r="AL54" s="197"/>
      <c r="AM54" s="198" t="str">
        <f aca="false">IF($A54="","",IF(OR($N54="Yes",$S54="Yes",$X54="Yes",$AC54="Yes",$AH54="Yes"),"Yes","No"))</f>
        <v>Yes</v>
      </c>
      <c r="AN54" s="198" t="str">
        <f aca="false">IF($A54="","",IFERROR(IF($AI54&lt;&gt;"",$AI54,IF($AD54&lt;&gt;"",$AD54,IF($Y54&lt;&gt;"",$Y54,IF($T54&lt;&gt;"",$T54,IF($O54&lt;&gt;"",$O54,""))))),""))</f>
        <v/>
      </c>
      <c r="AO54" s="198" t="str">
        <f aca="false">IFERROR(IF($AJ54&lt;&gt;"",$AJ54,IF($AE54&lt;&gt;"",$AE54,IF($Z54&lt;&gt;"",$Z54,IF($U54&lt;&gt;"",$U54,IF($P54&lt;&gt;"",$P54,""))))),"")</f>
        <v>Block</v>
      </c>
      <c r="AP54" s="199" t="s">
        <v>1031</v>
      </c>
    </row>
    <row r="55" customFormat="false" ht="15" hidden="false" customHeight="true" outlineLevel="0" collapsed="false">
      <c r="A55" s="194"/>
      <c r="B55" s="194"/>
      <c r="C55" s="194"/>
      <c r="D55" s="194"/>
      <c r="E55" s="194"/>
      <c r="F55" s="195"/>
      <c r="G55" s="195"/>
      <c r="H55" s="195"/>
      <c r="I55" s="195"/>
      <c r="J55" s="194"/>
      <c r="K55" s="194"/>
      <c r="L55" s="194"/>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c r="AN55" s="198"/>
      <c r="AO55" s="198"/>
      <c r="AP55" s="199"/>
    </row>
    <row r="56" customFormat="false" ht="15" hidden="false" customHeight="true" outlineLevel="0" collapsed="false">
      <c r="A56" s="194"/>
      <c r="B56" s="194"/>
      <c r="C56" s="194"/>
      <c r="D56" s="194"/>
      <c r="E56" s="194"/>
      <c r="F56" s="195"/>
      <c r="G56" s="195"/>
      <c r="H56" s="195"/>
      <c r="I56" s="195"/>
      <c r="J56" s="194"/>
      <c r="K56" s="194"/>
      <c r="L56" s="194"/>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c r="AN56" s="198"/>
      <c r="AO56" s="198"/>
      <c r="AP56" s="199"/>
    </row>
    <row r="57" customFormat="false" ht="15" hidden="false" customHeight="true" outlineLevel="0" collapsed="false">
      <c r="A57" s="194"/>
      <c r="B57" s="194"/>
      <c r="C57" s="194"/>
      <c r="D57" s="194"/>
      <c r="E57" s="194"/>
      <c r="F57" s="195"/>
      <c r="G57" s="195"/>
      <c r="H57" s="195"/>
      <c r="I57" s="195"/>
      <c r="J57" s="194"/>
      <c r="K57" s="194"/>
      <c r="L57" s="194"/>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c r="AN57" s="198"/>
      <c r="AO57" s="198"/>
      <c r="AP57" s="199"/>
    </row>
    <row r="58" customFormat="false" ht="15" hidden="false" customHeight="true" outlineLevel="0" collapsed="false">
      <c r="A58" s="194"/>
      <c r="B58" s="194"/>
      <c r="C58" s="194"/>
      <c r="D58" s="194"/>
      <c r="E58" s="194"/>
      <c r="F58" s="194"/>
      <c r="G58" s="194"/>
      <c r="H58" s="194"/>
      <c r="I58" s="194"/>
      <c r="J58" s="194"/>
      <c r="K58" s="194"/>
      <c r="L58" s="194"/>
      <c r="M58" s="194"/>
      <c r="N58" s="194"/>
      <c r="O58" s="194"/>
      <c r="P58" s="194"/>
      <c r="Q58" s="194"/>
      <c r="R58" s="201"/>
      <c r="S58" s="201"/>
      <c r="T58" s="201"/>
      <c r="U58" s="201"/>
      <c r="V58" s="201"/>
      <c r="W58" s="201"/>
      <c r="X58" s="201"/>
      <c r="Y58" s="201"/>
      <c r="Z58" s="201"/>
      <c r="AA58" s="201"/>
      <c r="AM58" s="202"/>
      <c r="AN58" s="202"/>
    </row>
    <row r="59" customFormat="false" ht="15" hidden="false" customHeight="true" outlineLevel="0" collapsed="false">
      <c r="A59" s="194"/>
      <c r="B59" s="194"/>
      <c r="C59" s="194"/>
      <c r="D59" s="194"/>
      <c r="E59" s="194"/>
      <c r="F59" s="194"/>
      <c r="G59" s="194"/>
      <c r="H59" s="194"/>
      <c r="I59" s="194"/>
      <c r="J59" s="194"/>
      <c r="K59" s="194"/>
      <c r="L59" s="194"/>
      <c r="M59" s="194"/>
      <c r="N59" s="194"/>
      <c r="O59" s="194"/>
      <c r="P59" s="194"/>
      <c r="Q59" s="194"/>
      <c r="R59" s="201"/>
      <c r="S59" s="201"/>
      <c r="T59" s="201"/>
      <c r="U59" s="201"/>
      <c r="V59" s="201"/>
      <c r="W59" s="201"/>
      <c r="X59" s="201"/>
      <c r="Y59" s="201"/>
      <c r="Z59" s="201"/>
      <c r="AA59" s="201"/>
      <c r="AM59" s="202"/>
      <c r="AN59" s="202"/>
    </row>
    <row r="60" customFormat="false" ht="15" hidden="false" customHeight="true" outlineLevel="0" collapsed="false">
      <c r="A60" s="194"/>
      <c r="B60" s="194"/>
      <c r="C60" s="194"/>
      <c r="D60" s="194"/>
      <c r="E60" s="194"/>
      <c r="F60" s="194"/>
      <c r="G60" s="194"/>
      <c r="H60" s="194"/>
      <c r="I60" s="194"/>
      <c r="J60" s="194"/>
      <c r="K60" s="194"/>
      <c r="L60" s="194"/>
      <c r="M60" s="194"/>
      <c r="N60" s="194"/>
      <c r="O60" s="194"/>
      <c r="P60" s="194"/>
      <c r="Q60" s="194"/>
      <c r="R60" s="201"/>
      <c r="S60" s="201"/>
      <c r="T60" s="201"/>
      <c r="U60" s="201"/>
      <c r="V60" s="201"/>
      <c r="W60" s="201"/>
      <c r="X60" s="201"/>
      <c r="Y60" s="201"/>
      <c r="Z60" s="201"/>
      <c r="AA60" s="201"/>
      <c r="AM60" s="202"/>
      <c r="AN60" s="202"/>
    </row>
    <row r="61" customFormat="false" ht="15" hidden="false" customHeight="true" outlineLevel="0" collapsed="false">
      <c r="A61" s="194"/>
      <c r="B61" s="194"/>
      <c r="C61" s="194"/>
      <c r="D61" s="194"/>
      <c r="E61" s="194"/>
      <c r="F61" s="194"/>
      <c r="G61" s="194"/>
      <c r="H61" s="194"/>
      <c r="I61" s="194"/>
      <c r="J61" s="194"/>
      <c r="K61" s="194"/>
      <c r="L61" s="194"/>
      <c r="M61" s="194"/>
      <c r="N61" s="194"/>
      <c r="O61" s="194"/>
      <c r="P61" s="194"/>
      <c r="Q61" s="194"/>
      <c r="R61" s="201"/>
      <c r="S61" s="201"/>
      <c r="T61" s="201"/>
      <c r="U61" s="201"/>
      <c r="V61" s="201"/>
      <c r="W61" s="201"/>
      <c r="X61" s="201"/>
      <c r="Y61" s="201"/>
      <c r="Z61" s="201"/>
      <c r="AA61" s="201"/>
      <c r="AM61" s="202"/>
      <c r="AN61" s="202"/>
    </row>
    <row r="62" customFormat="false" ht="15" hidden="false" customHeight="true" outlineLevel="0" collapsed="false">
      <c r="A62" s="194"/>
      <c r="B62" s="194"/>
      <c r="C62" s="194"/>
      <c r="D62" s="194"/>
      <c r="E62" s="194"/>
      <c r="F62" s="194"/>
      <c r="G62" s="194"/>
      <c r="H62" s="194"/>
      <c r="I62" s="194"/>
      <c r="J62" s="194"/>
      <c r="K62" s="194"/>
      <c r="L62" s="194"/>
      <c r="M62" s="194"/>
      <c r="N62" s="194"/>
      <c r="O62" s="194"/>
      <c r="P62" s="194"/>
      <c r="Q62" s="194"/>
      <c r="R62" s="201"/>
      <c r="S62" s="201"/>
      <c r="T62" s="201"/>
      <c r="U62" s="201"/>
      <c r="V62" s="201"/>
      <c r="W62" s="201"/>
      <c r="X62" s="201"/>
      <c r="Y62" s="201"/>
      <c r="Z62" s="201"/>
      <c r="AA62" s="201"/>
      <c r="AM62" s="202"/>
      <c r="AN62" s="202"/>
    </row>
    <row r="63" customFormat="false" ht="15" hidden="false" customHeight="true" outlineLevel="0" collapsed="false">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Q63" s="1"/>
    </row>
    <row r="64" customFormat="false" ht="15" hidden="false" customHeight="true" outlineLevel="0" collapsed="false">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Q64" s="1"/>
    </row>
    <row r="65" customFormat="false" ht="15" hidden="false" customHeight="true" outlineLevel="0" collapsed="false">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Q65" s="1"/>
    </row>
    <row r="66" customFormat="false" ht="15" hidden="false" customHeight="true" outlineLevel="0" collapsed="false">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Q66" s="1"/>
    </row>
    <row r="67" customFormat="false" ht="15" hidden="false" customHeight="true" outlineLevel="0" collapsed="false">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Q67" s="1"/>
    </row>
    <row r="68" customFormat="false" ht="15" hidden="false" customHeight="true" outlineLevel="0" collapsed="false">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Q68" s="1"/>
    </row>
    <row r="69" customFormat="false" ht="15" hidden="false" customHeight="true" outlineLevel="0" collapsed="false">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Q69" s="1"/>
    </row>
    <row r="70" customFormat="false" ht="15" hidden="false" customHeight="true" outlineLevel="0" collapsed="false">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Q70" s="1"/>
    </row>
    <row r="71" customFormat="false" ht="15" hidden="false" customHeight="true" outlineLevel="0" collapsed="false">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Q71" s="1"/>
    </row>
    <row r="72" customFormat="false" ht="15" hidden="false" customHeight="true" outlineLevel="0" collapsed="false">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Q72" s="1"/>
    </row>
    <row r="73" customFormat="false" ht="15" hidden="false" customHeight="true" outlineLevel="0" collapsed="false">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Q73" s="1"/>
    </row>
    <row r="74" customFormat="false" ht="15" hidden="false" customHeight="true" outlineLevel="0" collapsed="false">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Q74" s="1"/>
    </row>
    <row r="75" customFormat="false" ht="15" hidden="false" customHeight="true" outlineLevel="0" collapsed="false">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Q75" s="1"/>
    </row>
    <row r="76" customFormat="false" ht="15" hidden="false" customHeight="true" outlineLevel="0" collapsed="false">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Q76" s="1"/>
    </row>
    <row r="77" customFormat="false" ht="15" hidden="false" customHeight="true" outlineLevel="0" collapsed="false">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Q77" s="1"/>
    </row>
    <row r="78" customFormat="false" ht="15" hidden="false" customHeight="true" outlineLevel="0" collapsed="false">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Q78" s="1"/>
    </row>
    <row r="79" customFormat="false" ht="15" hidden="false" customHeight="true" outlineLevel="0" collapsed="false">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Q79" s="1"/>
    </row>
    <row r="80" customFormat="false" ht="15" hidden="false" customHeight="true" outlineLevel="0" collapsed="false">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Q80" s="1"/>
    </row>
    <row r="81" customFormat="false" ht="15" hidden="false" customHeight="true" outlineLevel="0" collapsed="false">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Q81" s="1"/>
    </row>
    <row r="82" customFormat="false" ht="15" hidden="false" customHeight="true" outlineLevel="0" collapsed="false">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Q82" s="1"/>
    </row>
    <row r="83" customFormat="false" ht="15" hidden="false" customHeight="true" outlineLevel="0" collapsed="false">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Q83" s="1"/>
    </row>
    <row r="84" customFormat="false" ht="15" hidden="false" customHeight="true" outlineLevel="0" collapsed="false">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Q84" s="1"/>
    </row>
    <row r="85" customFormat="false" ht="15" hidden="false" customHeight="true" outlineLevel="0" collapsed="false">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Q85" s="1"/>
    </row>
    <row r="86" customFormat="false" ht="15" hidden="false" customHeight="true" outlineLevel="0" collapsed="false">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Q86" s="1"/>
    </row>
    <row r="87" customFormat="false" ht="15" hidden="false" customHeight="true" outlineLevel="0" collapsed="false">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Q87" s="1"/>
    </row>
    <row r="88" customFormat="false" ht="15" hidden="false" customHeight="true" outlineLevel="0" collapsed="false">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Q88" s="1"/>
    </row>
    <row r="89" customFormat="false" ht="15" hidden="false" customHeight="true" outlineLevel="0" collapsed="false">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Q89" s="1"/>
    </row>
    <row r="90" customFormat="false" ht="15" hidden="false" customHeight="true" outlineLevel="0" collapsed="false">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Q90" s="1"/>
    </row>
    <row r="91" customFormat="false" ht="15" hidden="false" customHeight="true" outlineLevel="0" collapsed="false">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Q91" s="1"/>
    </row>
    <row r="92" customFormat="false" ht="15" hidden="false" customHeight="true" outlineLevel="0" collapsed="false">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Q92" s="1"/>
    </row>
    <row r="93" customFormat="false" ht="15" hidden="false" customHeight="true" outlineLevel="0" collapsed="false">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Q93" s="1"/>
    </row>
    <row r="94" customFormat="false" ht="15" hidden="false" customHeight="true" outlineLevel="0" collapsed="false">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Q94" s="1"/>
    </row>
    <row r="95" customFormat="false" ht="15" hidden="false" customHeight="true" outlineLevel="0" collapsed="false">
      <c r="AQ95" s="1"/>
    </row>
    <row r="96" customFormat="false" ht="15" hidden="false" customHeight="true" outlineLevel="0" collapsed="false">
      <c r="AQ96" s="1"/>
    </row>
    <row r="97" customFormat="false" ht="15" hidden="false" customHeight="true" outlineLevel="0" collapsed="false">
      <c r="AQ97" s="1"/>
    </row>
    <row r="98" customFormat="false" ht="15" hidden="false" customHeight="true" outlineLevel="0" collapsed="false">
      <c r="AQ98" s="1"/>
    </row>
    <row r="99" customFormat="false" ht="15" hidden="false" customHeight="true" outlineLevel="0" collapsed="false">
      <c r="AQ99" s="1"/>
    </row>
    <row r="100" customFormat="false" ht="15" hidden="false" customHeight="true" outlineLevel="0" collapsed="false">
      <c r="AQ100" s="1"/>
    </row>
    <row r="101" customFormat="false" ht="15" hidden="false" customHeight="true" outlineLevel="0" collapsed="false">
      <c r="AQ101" s="1"/>
    </row>
    <row r="102" customFormat="false" ht="15" hidden="false" customHeight="true" outlineLevel="0" collapsed="false">
      <c r="AQ102" s="1"/>
    </row>
    <row r="103" customFormat="false" ht="15" hidden="false" customHeight="true" outlineLevel="0" collapsed="false">
      <c r="AQ103" s="1"/>
    </row>
    <row r="104" customFormat="false" ht="15" hidden="false" customHeight="true" outlineLevel="0" collapsed="false">
      <c r="AQ104" s="1"/>
    </row>
    <row r="105" customFormat="false" ht="15" hidden="false" customHeight="true" outlineLevel="0" collapsed="false">
      <c r="AQ105" s="1"/>
    </row>
    <row r="106" customFormat="false" ht="15" hidden="false" customHeight="true" outlineLevel="0" collapsed="false">
      <c r="AQ106" s="1"/>
    </row>
    <row r="107" customFormat="false" ht="15" hidden="false" customHeight="true" outlineLevel="0" collapsed="false">
      <c r="AQ107" s="1"/>
    </row>
    <row r="108" customFormat="false" ht="15" hidden="false" customHeight="true" outlineLevel="0" collapsed="false">
      <c r="AQ108" s="1"/>
    </row>
    <row r="109" customFormat="false" ht="15" hidden="false" customHeight="true" outlineLevel="0" collapsed="false">
      <c r="AQ109" s="1"/>
    </row>
    <row r="110" customFormat="false" ht="15" hidden="false" customHeight="true" outlineLevel="0" collapsed="false">
      <c r="AQ110" s="1"/>
    </row>
    <row r="111" customFormat="false" ht="15" hidden="false" customHeight="true" outlineLevel="0" collapsed="false">
      <c r="AQ111" s="1"/>
    </row>
    <row r="112" customFormat="false" ht="15" hidden="false" customHeight="true" outlineLevel="0" collapsed="false">
      <c r="AQ112" s="1"/>
    </row>
    <row r="113" customFormat="false" ht="15" hidden="false" customHeight="true" outlineLevel="0" collapsed="false">
      <c r="AQ113" s="1"/>
    </row>
    <row r="114" customFormat="false" ht="15" hidden="false" customHeight="true" outlineLevel="0" collapsed="false">
      <c r="AQ114" s="1"/>
    </row>
    <row r="115" customFormat="false" ht="15" hidden="false" customHeight="true" outlineLevel="0" collapsed="false">
      <c r="AQ115" s="1"/>
    </row>
    <row r="116" customFormat="false" ht="15" hidden="false" customHeight="true" outlineLevel="0" collapsed="false">
      <c r="AQ116" s="1"/>
    </row>
    <row r="117" customFormat="false" ht="15" hidden="false" customHeight="true" outlineLevel="0" collapsed="false">
      <c r="AQ117" s="1"/>
    </row>
    <row r="118" customFormat="false" ht="15" hidden="false" customHeight="true" outlineLevel="0" collapsed="false">
      <c r="AQ118" s="1"/>
    </row>
    <row r="119" customFormat="false" ht="15" hidden="false" customHeight="true" outlineLevel="0" collapsed="false">
      <c r="AQ119" s="1"/>
    </row>
    <row r="120" customFormat="false" ht="15" hidden="false" customHeight="true" outlineLevel="0" collapsed="false">
      <c r="AQ120" s="1"/>
    </row>
    <row r="121" customFormat="false" ht="15" hidden="false" customHeight="true" outlineLevel="0" collapsed="false">
      <c r="AQ121" s="1"/>
    </row>
    <row r="122" customFormat="false" ht="15" hidden="false" customHeight="true" outlineLevel="0" collapsed="false">
      <c r="AQ122" s="1"/>
    </row>
    <row r="123" customFormat="false" ht="15" hidden="false" customHeight="true" outlineLevel="0" collapsed="false">
      <c r="AQ123" s="1"/>
    </row>
    <row r="124" customFormat="false" ht="15" hidden="false" customHeight="true" outlineLevel="0" collapsed="false">
      <c r="AQ124" s="1"/>
    </row>
    <row r="125" customFormat="false" ht="15" hidden="false" customHeight="true" outlineLevel="0" collapsed="false">
      <c r="AQ125" s="1"/>
    </row>
    <row r="126" customFormat="false" ht="15" hidden="false" customHeight="true" outlineLevel="0" collapsed="false">
      <c r="AQ126" s="1"/>
    </row>
    <row r="127" customFormat="false" ht="15" hidden="false" customHeight="true" outlineLevel="0" collapsed="false">
      <c r="AQ127" s="1"/>
    </row>
    <row r="128" customFormat="false" ht="15" hidden="false" customHeight="true" outlineLevel="0" collapsed="false">
      <c r="AQ128" s="1"/>
    </row>
    <row r="129" customFormat="false" ht="15" hidden="false" customHeight="true" outlineLevel="0" collapsed="false">
      <c r="AQ129" s="1"/>
    </row>
    <row r="130" customFormat="false" ht="15" hidden="false" customHeight="true" outlineLevel="0" collapsed="false">
      <c r="AQ130" s="1"/>
    </row>
    <row r="131" customFormat="false" ht="15" hidden="false" customHeight="true" outlineLevel="0" collapsed="false">
      <c r="AQ131" s="1"/>
    </row>
    <row r="132" customFormat="false" ht="15" hidden="false" customHeight="true" outlineLevel="0" collapsed="false">
      <c r="AQ132" s="1"/>
    </row>
    <row r="133" customFormat="false" ht="15" hidden="false" customHeight="true" outlineLevel="0" collapsed="false">
      <c r="AQ133" s="1"/>
    </row>
    <row r="134" customFormat="false" ht="15" hidden="false" customHeight="true" outlineLevel="0" collapsed="false">
      <c r="AQ134" s="1"/>
    </row>
    <row r="135" customFormat="false" ht="15" hidden="false" customHeight="true" outlineLevel="0" collapsed="false">
      <c r="AQ135" s="1"/>
    </row>
    <row r="136" customFormat="false" ht="15" hidden="false" customHeight="true" outlineLevel="0" collapsed="false">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217" customFormat="false" ht="15" hidden="false" customHeight="true" outlineLevel="0" collapsed="false">
      <c r="AQ217" s="1"/>
    </row>
    <row r="218" customFormat="false" ht="15" hidden="false" customHeight="true" outlineLevel="0" collapsed="false">
      <c r="AQ218" s="1"/>
    </row>
    <row r="219" customFormat="false" ht="15" hidden="false" customHeight="true" outlineLevel="0" collapsed="false">
      <c r="AQ219" s="1"/>
    </row>
    <row r="220" customFormat="false" ht="15" hidden="false" customHeight="true" outlineLevel="0" collapsed="false">
      <c r="AQ220" s="1"/>
    </row>
    <row r="221" customFormat="false" ht="15" hidden="false" customHeight="true" outlineLevel="0" collapsed="false">
      <c r="AQ221" s="1"/>
    </row>
    <row r="222" customFormat="false" ht="15" hidden="false" customHeight="true" outlineLevel="0" collapsed="false">
      <c r="AQ222"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26">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11:I11"/>
    <mergeCell ref="B26:I26"/>
    <mergeCell ref="B29:I29"/>
    <mergeCell ref="B31:I31"/>
    <mergeCell ref="B36:I36"/>
    <mergeCell ref="B45:I45"/>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false" showOutlineSymbols="true" defaultGridColor="true" view="normal" topLeftCell="A44" colorId="64" zoomScale="65" zoomScaleNormal="65" zoomScalePageLayoutView="100" workbookViewId="0">
      <pane xSplit="1" ySplit="0" topLeftCell="H44" activePane="topRight" state="frozen"/>
      <selection pane="topLeft" activeCell="A44" activeCellId="0" sqref="A44"/>
      <selection pane="topRight" activeCell="I47" activeCellId="0" sqref="I47"/>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200</v>
      </c>
      <c r="D2" s="183"/>
      <c r="E2" s="183"/>
    </row>
    <row r="3" customFormat="false" ht="15" hidden="false" customHeight="true" outlineLevel="0" collapsed="false">
      <c r="A3" s="182" t="s">
        <v>610</v>
      </c>
      <c r="B3" s="182"/>
      <c r="C3" s="183" t="s">
        <v>202</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30" hidden="false" customHeight="true" outlineLevel="0" collapsed="false">
      <c r="A7" s="191" t="s">
        <v>1032</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60" hidden="false" customHeight="true" outlineLevel="0" collapsed="false">
      <c r="A8" s="194"/>
      <c r="B8" s="200" t="s">
        <v>1033</v>
      </c>
      <c r="C8" s="200"/>
      <c r="D8" s="200"/>
      <c r="E8" s="200"/>
      <c r="F8" s="200"/>
      <c r="G8" s="200"/>
      <c r="H8" s="200"/>
      <c r="I8" s="200"/>
      <c r="J8" s="194"/>
      <c r="K8" s="194"/>
      <c r="L8" s="194"/>
      <c r="M8" s="194"/>
      <c r="N8" s="196"/>
      <c r="O8" s="196"/>
      <c r="P8" s="196"/>
      <c r="Q8" s="196"/>
      <c r="R8" s="196"/>
      <c r="S8" s="196"/>
      <c r="T8" s="196"/>
      <c r="U8" s="196"/>
      <c r="V8" s="196"/>
      <c r="W8" s="196"/>
      <c r="X8" s="196"/>
      <c r="Y8" s="196"/>
      <c r="Z8" s="196"/>
      <c r="AA8" s="196"/>
      <c r="AB8" s="197"/>
      <c r="AC8" s="197"/>
      <c r="AD8" s="197"/>
      <c r="AE8" s="197"/>
      <c r="AF8" s="197"/>
      <c r="AG8" s="197"/>
      <c r="AH8" s="197"/>
      <c r="AI8" s="197"/>
      <c r="AJ8" s="197"/>
      <c r="AK8" s="197"/>
      <c r="AL8" s="197"/>
      <c r="AM8" s="198"/>
      <c r="AN8" s="198"/>
      <c r="AO8" s="198"/>
      <c r="AP8" s="199"/>
    </row>
    <row r="9" customFormat="false" ht="99.75" hidden="false" customHeight="true" outlineLevel="0" collapsed="false">
      <c r="A9" s="194" t="str">
        <f aca="false">IF(C9="","",$C$2&amp;"."&amp;COUNTA($C$8:C9)&amp;"")</f>
        <v>TC_04.1</v>
      </c>
      <c r="B9" s="194" t="s">
        <v>1034</v>
      </c>
      <c r="C9" s="194" t="s">
        <v>1035</v>
      </c>
      <c r="D9" s="194" t="s">
        <v>42</v>
      </c>
      <c r="E9" s="194" t="s">
        <v>157</v>
      </c>
      <c r="F9" s="195" t="s">
        <v>1036</v>
      </c>
      <c r="G9" s="195" t="s">
        <v>1037</v>
      </c>
      <c r="H9" s="195" t="s">
        <v>1038</v>
      </c>
      <c r="I9" s="195" t="s">
        <v>1039</v>
      </c>
      <c r="J9" s="194" t="s">
        <v>637</v>
      </c>
      <c r="K9" s="194" t="s">
        <v>241</v>
      </c>
      <c r="L9" s="194" t="s">
        <v>638</v>
      </c>
      <c r="M9" s="194"/>
      <c r="N9" s="196"/>
      <c r="O9" s="196"/>
      <c r="P9" s="196"/>
      <c r="Q9" s="196"/>
      <c r="R9" s="196"/>
      <c r="S9" s="196"/>
      <c r="T9" s="196"/>
      <c r="U9" s="196"/>
      <c r="V9" s="196"/>
      <c r="W9" s="196"/>
      <c r="X9" s="196"/>
      <c r="Y9" s="196"/>
      <c r="Z9" s="196"/>
      <c r="AA9" s="196"/>
      <c r="AB9" s="197"/>
      <c r="AC9" s="197"/>
      <c r="AD9" s="197"/>
      <c r="AE9" s="197"/>
      <c r="AF9" s="197"/>
      <c r="AG9" s="197"/>
      <c r="AH9" s="197"/>
      <c r="AI9" s="197"/>
      <c r="AJ9" s="197"/>
      <c r="AK9" s="197"/>
      <c r="AL9" s="197"/>
      <c r="AM9" s="198" t="str">
        <f aca="false">IF($A9="","",IF(OR($N9="Yes",$S9="Yes",$X9="Yes",$AC9="Yes",$AH9="Yes"),"Yes","No"))</f>
        <v>No</v>
      </c>
      <c r="AN9" s="198" t="str">
        <f aca="false">IF($A9="","",IFERROR(IF($AI9&lt;&gt;"",$AI9,IF($AD9&lt;&gt;"",$AD9,IF($Y9&lt;&gt;"",$Y9,IF($T9&lt;&gt;"",$T9,IF($O9&lt;&gt;"",$O9,""))))),""))</f>
        <v/>
      </c>
      <c r="AO9" s="198" t="str">
        <f aca="false">IFERROR(IF($AJ9&lt;&gt;"",$AJ9,IF($AE9&lt;&gt;"",$AE9,IF($Z9&lt;&gt;"",$Z9,IF($U9&lt;&gt;"",$U9,IF($P9&lt;&gt;"",$P9,""))))),"")</f>
        <v/>
      </c>
      <c r="AP9" s="199" t="s">
        <v>1040</v>
      </c>
    </row>
    <row r="10" customFormat="false" ht="60" hidden="false" customHeight="true" outlineLevel="0" collapsed="false">
      <c r="A10" s="194" t="str">
        <f aca="false">IF(C10="","",$C$2&amp;"."&amp;COUNTA($C$8:C10)&amp;"")</f>
        <v>TC_04.2</v>
      </c>
      <c r="B10" s="194" t="s">
        <v>1034</v>
      </c>
      <c r="C10" s="194" t="s">
        <v>755</v>
      </c>
      <c r="D10" s="194" t="s">
        <v>40</v>
      </c>
      <c r="E10" s="194" t="s">
        <v>156</v>
      </c>
      <c r="F10" s="195" t="s">
        <v>1041</v>
      </c>
      <c r="G10" s="195" t="s">
        <v>1042</v>
      </c>
      <c r="H10" s="195" t="s">
        <v>1043</v>
      </c>
      <c r="I10" s="195" t="s">
        <v>1044</v>
      </c>
      <c r="J10" s="194" t="s">
        <v>637</v>
      </c>
      <c r="K10" s="194" t="s">
        <v>241</v>
      </c>
      <c r="L10" s="194" t="s">
        <v>638</v>
      </c>
      <c r="M10" s="194"/>
      <c r="N10" s="196"/>
      <c r="O10" s="196"/>
      <c r="P10" s="196"/>
      <c r="Q10" s="196"/>
      <c r="R10" s="196"/>
      <c r="S10" s="196"/>
      <c r="T10" s="196"/>
      <c r="U10" s="196"/>
      <c r="V10" s="196"/>
      <c r="W10" s="196"/>
      <c r="X10" s="196"/>
      <c r="Y10" s="196"/>
      <c r="Z10" s="196"/>
      <c r="AA10" s="196"/>
      <c r="AB10" s="197"/>
      <c r="AC10" s="197"/>
      <c r="AD10" s="197"/>
      <c r="AE10" s="197"/>
      <c r="AF10" s="197"/>
      <c r="AG10" s="197"/>
      <c r="AH10" s="197"/>
      <c r="AI10" s="197"/>
      <c r="AJ10" s="197"/>
      <c r="AK10" s="197"/>
      <c r="AL10" s="197"/>
      <c r="AM10" s="198" t="str">
        <f aca="false">IF($A10="","",IF(OR($N10="Yes",$S10="Yes",$X10="Yes",$AC10="Yes",$AH10="Yes"),"Yes","No"))</f>
        <v>No</v>
      </c>
      <c r="AN10" s="198" t="str">
        <f aca="false">IF($A10="","",IFERROR(IF($AI10&lt;&gt;"",$AI10,IF($AD10&lt;&gt;"",$AD10,IF($Y10&lt;&gt;"",$Y10,IF($T10&lt;&gt;"",$T10,IF($O10&lt;&gt;"",$O10,""))))),""))</f>
        <v/>
      </c>
      <c r="AO10" s="198" t="str">
        <f aca="false">IFERROR(IF($AJ10&lt;&gt;"",$AJ10,IF($AE10&lt;&gt;"",$AE10,IF($Z10&lt;&gt;"",$Z10,IF($U10&lt;&gt;"",$U10,IF($P10&lt;&gt;"",$P10,""))))),"")</f>
        <v/>
      </c>
      <c r="AP10" s="199"/>
    </row>
    <row r="11" customFormat="false" ht="15" hidden="false" customHeight="true" outlineLevel="0" collapsed="false">
      <c r="A11" s="194" t="str">
        <f aca="false">IF(C11="","",$C$2&amp;"."&amp;COUNTA($C$8:C11)&amp;"")</f>
        <v>TC_04.3</v>
      </c>
      <c r="B11" s="194" t="s">
        <v>1034</v>
      </c>
      <c r="C11" s="194" t="s">
        <v>755</v>
      </c>
      <c r="D11" s="194" t="s">
        <v>40</v>
      </c>
      <c r="E11" s="194" t="s">
        <v>157</v>
      </c>
      <c r="F11" s="195" t="s">
        <v>1045</v>
      </c>
      <c r="G11" s="195" t="s">
        <v>1042</v>
      </c>
      <c r="H11" s="195" t="s">
        <v>1046</v>
      </c>
      <c r="I11" s="195" t="s">
        <v>1047</v>
      </c>
      <c r="J11" s="194" t="s">
        <v>637</v>
      </c>
      <c r="K11" s="194" t="s">
        <v>241</v>
      </c>
      <c r="L11" s="194" t="s">
        <v>638</v>
      </c>
      <c r="M11" s="194"/>
      <c r="N11" s="196"/>
      <c r="O11" s="196"/>
      <c r="P11" s="196"/>
      <c r="Q11" s="196"/>
      <c r="R11" s="196"/>
      <c r="S11" s="196"/>
      <c r="T11" s="196"/>
      <c r="U11" s="196"/>
      <c r="V11" s="196"/>
      <c r="W11" s="196"/>
      <c r="X11" s="196"/>
      <c r="Y11" s="196"/>
      <c r="Z11" s="196"/>
      <c r="AA11" s="196"/>
      <c r="AB11" s="197"/>
      <c r="AC11" s="197"/>
      <c r="AD11" s="197"/>
      <c r="AE11" s="197"/>
      <c r="AF11" s="197"/>
      <c r="AG11" s="197"/>
      <c r="AH11" s="197"/>
      <c r="AI11" s="197"/>
      <c r="AJ11" s="197"/>
      <c r="AK11" s="197"/>
      <c r="AL11" s="197"/>
      <c r="AM11" s="198" t="str">
        <f aca="false">IF($A11="","",IF(OR($N11="Yes",$S11="Yes",$X11="Yes",$AC11="Yes",$AH11="Yes"),"Yes","No"))</f>
        <v>No</v>
      </c>
      <c r="AN11" s="198" t="str">
        <f aca="false">IF($A11="","",IFERROR(IF($AI11&lt;&gt;"",$AI11,IF($AD11&lt;&gt;"",$AD11,IF($Y11&lt;&gt;"",$Y11,IF($T11&lt;&gt;"",$T11,IF($O11&lt;&gt;"",$O11,""))))),""))</f>
        <v/>
      </c>
      <c r="AO11" s="198" t="str">
        <f aca="false">IFERROR(IF($AJ11&lt;&gt;"",$AJ11,IF($AE11&lt;&gt;"",$AE11,IF($Z11&lt;&gt;"",$Z11,IF($U11&lt;&gt;"",$U11,IF($P11&lt;&gt;"",$P11,""))))),"")</f>
        <v/>
      </c>
      <c r="AP11" s="199"/>
    </row>
    <row r="12" customFormat="false" ht="60" hidden="false" customHeight="true" outlineLevel="0" collapsed="false">
      <c r="A12" s="194" t="str">
        <f aca="false">IF(C12="","",$C$2&amp;"."&amp;COUNTA($C$8:C12)&amp;"")</f>
        <v>TC_04.4</v>
      </c>
      <c r="B12" s="194" t="s">
        <v>1034</v>
      </c>
      <c r="C12" s="194" t="s">
        <v>713</v>
      </c>
      <c r="D12" s="194" t="s">
        <v>42</v>
      </c>
      <c r="E12" s="194" t="s">
        <v>158</v>
      </c>
      <c r="F12" s="195" t="s">
        <v>1048</v>
      </c>
      <c r="G12" s="195" t="s">
        <v>1049</v>
      </c>
      <c r="H12" s="195" t="s">
        <v>1050</v>
      </c>
      <c r="I12" s="195" t="s">
        <v>1051</v>
      </c>
      <c r="J12" s="194" t="s">
        <v>637</v>
      </c>
      <c r="K12" s="194" t="s">
        <v>241</v>
      </c>
      <c r="L12" s="194" t="s">
        <v>638</v>
      </c>
      <c r="M12" s="194"/>
      <c r="N12" s="196"/>
      <c r="O12" s="196"/>
      <c r="P12" s="196"/>
      <c r="Q12" s="196"/>
      <c r="R12" s="196"/>
      <c r="S12" s="196"/>
      <c r="T12" s="196"/>
      <c r="U12" s="196"/>
      <c r="V12" s="196"/>
      <c r="W12" s="196"/>
      <c r="X12" s="196"/>
      <c r="Y12" s="196"/>
      <c r="Z12" s="196"/>
      <c r="AA12" s="196"/>
      <c r="AB12" s="197"/>
      <c r="AC12" s="197"/>
      <c r="AD12" s="197"/>
      <c r="AE12" s="197"/>
      <c r="AF12" s="197"/>
      <c r="AG12" s="197"/>
      <c r="AH12" s="197"/>
      <c r="AI12" s="197"/>
      <c r="AJ12" s="197"/>
      <c r="AK12" s="197"/>
      <c r="AL12" s="197"/>
      <c r="AM12" s="198" t="str">
        <f aca="false">IF($A9="","",IF(OR($N9="Yes",$S9="Yes",$X9="Yes",$AC9="Yes",$AH9="Yes"),"Yes","No"))</f>
        <v>No</v>
      </c>
      <c r="AN12" s="198" t="str">
        <f aca="false">IF($A9="","",IFERROR(IF($AI9&lt;&gt;"",$AI9,IF($AD9&lt;&gt;"",$AD9,IF($Y9&lt;&gt;"",$Y9,IF($T9&lt;&gt;"",$T9,IF($O9&lt;&gt;"",$O9,""))))),""))</f>
        <v/>
      </c>
      <c r="AO12" s="198" t="str">
        <f aca="false">IFERROR(IF($AJ9&lt;&gt;"",$AJ9,IF($AE9&lt;&gt;"",$AE9,IF($Z9&lt;&gt;"",$Z9,IF($U9&lt;&gt;"",$U9,IF($P9&lt;&gt;"",$P9,""))))),"")</f>
        <v/>
      </c>
      <c r="AP12" s="199" t="s">
        <v>926</v>
      </c>
    </row>
    <row r="13" customFormat="false" ht="60" hidden="false" customHeight="true" outlineLevel="0" collapsed="false">
      <c r="A13" s="191" t="s">
        <v>1052</v>
      </c>
      <c r="B13" s="191"/>
      <c r="C13" s="191"/>
      <c r="D13" s="191"/>
      <c r="E13" s="191"/>
      <c r="F13" s="191"/>
      <c r="G13" s="191"/>
      <c r="H13" s="191"/>
      <c r="I13" s="191"/>
      <c r="J13" s="192"/>
      <c r="K13" s="192"/>
      <c r="L13" s="192"/>
      <c r="M13" s="192"/>
      <c r="N13" s="193"/>
      <c r="O13" s="193"/>
      <c r="P13" s="193"/>
      <c r="Q13" s="193"/>
      <c r="R13" s="193"/>
      <c r="S13" s="193"/>
      <c r="T13" s="193"/>
      <c r="U13" s="193"/>
      <c r="V13" s="193"/>
      <c r="W13" s="193"/>
      <c r="X13" s="193"/>
      <c r="Y13" s="193"/>
      <c r="Z13" s="193"/>
      <c r="AA13" s="193"/>
      <c r="AB13" s="189"/>
      <c r="AC13" s="189"/>
      <c r="AD13" s="189"/>
      <c r="AE13" s="189"/>
      <c r="AF13" s="189"/>
      <c r="AG13" s="189"/>
      <c r="AH13" s="189"/>
      <c r="AI13" s="189"/>
      <c r="AJ13" s="189"/>
      <c r="AK13" s="189"/>
      <c r="AL13" s="189"/>
      <c r="AM13" s="190"/>
      <c r="AN13" s="190"/>
      <c r="AO13" s="190"/>
      <c r="AP13" s="190"/>
    </row>
    <row r="14" customFormat="false" ht="60" hidden="false" customHeight="true" outlineLevel="0" collapsed="false">
      <c r="A14" s="194"/>
      <c r="B14" s="200" t="s">
        <v>1053</v>
      </c>
      <c r="C14" s="200"/>
      <c r="D14" s="200"/>
      <c r="E14" s="200"/>
      <c r="F14" s="200"/>
      <c r="G14" s="200"/>
      <c r="H14" s="200"/>
      <c r="I14" s="200"/>
      <c r="J14" s="194"/>
      <c r="K14" s="194"/>
      <c r="L14" s="194"/>
      <c r="M14" s="194"/>
      <c r="N14" s="196"/>
      <c r="O14" s="196"/>
      <c r="P14" s="196"/>
      <c r="Q14" s="196"/>
      <c r="R14" s="196"/>
      <c r="S14" s="196"/>
      <c r="T14" s="196"/>
      <c r="U14" s="196"/>
      <c r="V14" s="196"/>
      <c r="W14" s="196"/>
      <c r="X14" s="196"/>
      <c r="Y14" s="196"/>
      <c r="Z14" s="196"/>
      <c r="AA14" s="196"/>
      <c r="AB14" s="197"/>
      <c r="AC14" s="197"/>
      <c r="AD14" s="197"/>
      <c r="AE14" s="197"/>
      <c r="AF14" s="197"/>
      <c r="AG14" s="197"/>
      <c r="AH14" s="197"/>
      <c r="AI14" s="197"/>
      <c r="AJ14" s="197"/>
      <c r="AK14" s="197"/>
      <c r="AL14" s="197"/>
      <c r="AM14" s="198"/>
      <c r="AN14" s="198"/>
      <c r="AO14" s="198"/>
      <c r="AP14" s="199"/>
    </row>
    <row r="15" customFormat="false" ht="84.75" hidden="false" customHeight="true" outlineLevel="0" collapsed="false">
      <c r="A15" s="194" t="str">
        <f aca="false">IF(C15="","",$C$2&amp;"."&amp;COUNTA($C$8:C15)&amp;"")</f>
        <v>TC_04.5</v>
      </c>
      <c r="B15" s="194" t="s">
        <v>520</v>
      </c>
      <c r="C15" s="194" t="s">
        <v>713</v>
      </c>
      <c r="D15" s="194" t="s">
        <v>42</v>
      </c>
      <c r="E15" s="194" t="s">
        <v>158</v>
      </c>
      <c r="F15" s="195" t="s">
        <v>1054</v>
      </c>
      <c r="G15" s="195" t="s">
        <v>1055</v>
      </c>
      <c r="H15" s="195" t="s">
        <v>1056</v>
      </c>
      <c r="I15" s="195" t="s">
        <v>1057</v>
      </c>
      <c r="J15" s="194" t="s">
        <v>637</v>
      </c>
      <c r="K15" s="194" t="s">
        <v>241</v>
      </c>
      <c r="L15" s="194" t="s">
        <v>638</v>
      </c>
      <c r="M15" s="194"/>
      <c r="N15" s="196"/>
      <c r="O15" s="196"/>
      <c r="P15" s="196"/>
      <c r="Q15" s="196"/>
      <c r="R15" s="196"/>
      <c r="S15" s="196"/>
      <c r="T15" s="196"/>
      <c r="U15" s="196"/>
      <c r="V15" s="196"/>
      <c r="W15" s="196"/>
      <c r="X15" s="196"/>
      <c r="Y15" s="196"/>
      <c r="Z15" s="196"/>
      <c r="AA15" s="196"/>
      <c r="AB15" s="197"/>
      <c r="AC15" s="197"/>
      <c r="AD15" s="197"/>
      <c r="AE15" s="197"/>
      <c r="AF15" s="197"/>
      <c r="AG15" s="197"/>
      <c r="AH15" s="197"/>
      <c r="AI15" s="197"/>
      <c r="AJ15" s="197"/>
      <c r="AK15" s="197"/>
      <c r="AL15" s="197"/>
      <c r="AM15" s="198" t="str">
        <f aca="false">IF($A14="","",IF(OR($N14="Yes",$S14="Yes",$X14="Yes",$AC14="Yes",$AH14="Yes"),"Yes","No"))</f>
        <v/>
      </c>
      <c r="AN15" s="198" t="str">
        <f aca="false">IF($A14="","",IFERROR(IF($AI14&lt;&gt;"",$AI14,IF($AD14&lt;&gt;"",$AD14,IF($Y14&lt;&gt;"",$Y14,IF($T14&lt;&gt;"",$T14,IF($O14&lt;&gt;"",$O14,""))))),""))</f>
        <v/>
      </c>
      <c r="AO15" s="198" t="str">
        <f aca="false">IFERROR(IF($AJ14&lt;&gt;"",$AJ14,IF($AE14&lt;&gt;"",$AE14,IF($Z14&lt;&gt;"",$Z14,IF($U14&lt;&gt;"",$U14,IF($P14&lt;&gt;"",$P14,""))))),"")</f>
        <v/>
      </c>
      <c r="AP15" s="199" t="s">
        <v>1058</v>
      </c>
    </row>
    <row r="16" customFormat="false" ht="84.75" hidden="false" customHeight="true" outlineLevel="0" collapsed="false">
      <c r="A16" s="194" t="str">
        <f aca="false">IF(C16="","",$C$2&amp;"."&amp;COUNTA($C$8:C16)&amp;"")</f>
        <v>TC_04.6</v>
      </c>
      <c r="B16" s="194" t="s">
        <v>520</v>
      </c>
      <c r="C16" s="194" t="s">
        <v>755</v>
      </c>
      <c r="D16" s="194" t="s">
        <v>42</v>
      </c>
      <c r="E16" s="194" t="s">
        <v>157</v>
      </c>
      <c r="F16" s="195" t="s">
        <v>1059</v>
      </c>
      <c r="G16" s="195" t="s">
        <v>1060</v>
      </c>
      <c r="H16" s="195" t="s">
        <v>1061</v>
      </c>
      <c r="I16" s="195" t="s">
        <v>1062</v>
      </c>
      <c r="J16" s="194" t="s">
        <v>637</v>
      </c>
      <c r="K16" s="194" t="s">
        <v>241</v>
      </c>
      <c r="L16" s="194" t="s">
        <v>638</v>
      </c>
      <c r="M16" s="194"/>
      <c r="N16" s="196"/>
      <c r="O16" s="196"/>
      <c r="P16" s="196"/>
      <c r="Q16" s="196"/>
      <c r="R16" s="196"/>
      <c r="S16" s="196"/>
      <c r="T16" s="196"/>
      <c r="U16" s="196"/>
      <c r="V16" s="196"/>
      <c r="W16" s="196"/>
      <c r="X16" s="196"/>
      <c r="Y16" s="196"/>
      <c r="Z16" s="196"/>
      <c r="AA16" s="196"/>
      <c r="AB16" s="197"/>
      <c r="AC16" s="197"/>
      <c r="AD16" s="197"/>
      <c r="AE16" s="197"/>
      <c r="AF16" s="197"/>
      <c r="AG16" s="197"/>
      <c r="AH16" s="197"/>
      <c r="AI16" s="197"/>
      <c r="AJ16" s="197"/>
      <c r="AK16" s="197"/>
      <c r="AL16" s="197"/>
      <c r="AM16" s="198" t="str">
        <f aca="false">IF($A14="","",IF(OR($N14="Yes",$S14="Yes",$X14="Yes",$AC14="Yes",$AH14="Yes"),"Yes","No"))</f>
        <v/>
      </c>
      <c r="AN16" s="198" t="str">
        <f aca="false">IF($A14="","",IFERROR(IF($AI14&lt;&gt;"",$AI14,IF($AD14&lt;&gt;"",$AD14,IF($Y14&lt;&gt;"",$Y14,IF($T14&lt;&gt;"",$T14,IF($O14&lt;&gt;"",$O14,""))))),""))</f>
        <v/>
      </c>
      <c r="AO16" s="198" t="str">
        <f aca="false">IFERROR(IF($AJ14&lt;&gt;"",$AJ14,IF($AE14&lt;&gt;"",$AE14,IF($Z14&lt;&gt;"",$Z14,IF($U14&lt;&gt;"",$U14,IF($P14&lt;&gt;"",$P14,""))))),"")</f>
        <v/>
      </c>
      <c r="AP16" s="199" t="s">
        <v>675</v>
      </c>
    </row>
    <row r="17" customFormat="false" ht="15" hidden="false" customHeight="true" outlineLevel="0" collapsed="false">
      <c r="A17" s="194" t="str">
        <f aca="false">IF(C17="","",$C$2&amp;"."&amp;COUNTA($C$8:C17)&amp;"")</f>
        <v>TC_04.7</v>
      </c>
      <c r="B17" s="194" t="s">
        <v>1063</v>
      </c>
      <c r="C17" s="194" t="s">
        <v>1064</v>
      </c>
      <c r="D17" s="194" t="s">
        <v>42</v>
      </c>
      <c r="E17" s="194" t="s">
        <v>157</v>
      </c>
      <c r="F17" s="195" t="s">
        <v>1065</v>
      </c>
      <c r="G17" s="195" t="s">
        <v>1066</v>
      </c>
      <c r="H17" s="195" t="s">
        <v>1067</v>
      </c>
      <c r="I17" s="195" t="s">
        <v>1068</v>
      </c>
      <c r="J17" s="194" t="s">
        <v>637</v>
      </c>
      <c r="K17" s="194" t="s">
        <v>241</v>
      </c>
      <c r="L17" s="194" t="s">
        <v>638</v>
      </c>
      <c r="M17" s="194"/>
      <c r="N17" s="196"/>
      <c r="O17" s="196"/>
      <c r="P17" s="196"/>
      <c r="Q17" s="196"/>
      <c r="R17" s="196"/>
      <c r="S17" s="196"/>
      <c r="T17" s="196"/>
      <c r="U17" s="196"/>
      <c r="V17" s="196"/>
      <c r="W17" s="196"/>
      <c r="X17" s="196"/>
      <c r="Y17" s="196"/>
      <c r="Z17" s="196"/>
      <c r="AA17" s="196"/>
      <c r="AB17" s="197"/>
      <c r="AC17" s="197"/>
      <c r="AD17" s="197"/>
      <c r="AE17" s="197"/>
      <c r="AF17" s="197"/>
      <c r="AG17" s="197"/>
      <c r="AH17" s="197"/>
      <c r="AI17" s="197"/>
      <c r="AJ17" s="197"/>
      <c r="AK17" s="197"/>
      <c r="AL17" s="197"/>
      <c r="AM17" s="198" t="str">
        <f aca="false">IF($A15="","",IF(OR($N15="Yes",$S15="Yes",$X15="Yes",$AC15="Yes",$AH15="Yes"),"Yes","No"))</f>
        <v>No</v>
      </c>
      <c r="AN17" s="198" t="str">
        <f aca="false">IF($A15="","",IFERROR(IF($AI15&lt;&gt;"",$AI15,IF($AD15&lt;&gt;"",$AD15,IF($Y15&lt;&gt;"",$Y15,IF($T15&lt;&gt;"",$T15,IF($O15&lt;&gt;"",$O15,""))))),""))</f>
        <v/>
      </c>
      <c r="AO17" s="198" t="str">
        <f aca="false">IFERROR(IF($AJ15&lt;&gt;"",$AJ15,IF($AE15&lt;&gt;"",$AE15,IF($Z15&lt;&gt;"",$Z15,IF($U15&lt;&gt;"",$U15,IF($P15&lt;&gt;"",$P15,""))))),"")</f>
        <v/>
      </c>
      <c r="AP17" s="199"/>
    </row>
    <row r="18" customFormat="false" ht="60" hidden="false" customHeight="true" outlineLevel="0" collapsed="false">
      <c r="A18" s="194" t="str">
        <f aca="false">IF(C18="","",$C$2&amp;"."&amp;COUNTA($C$8:C18)&amp;"")</f>
        <v>TC_04.8</v>
      </c>
      <c r="B18" s="194" t="s">
        <v>520</v>
      </c>
      <c r="C18" s="194" t="s">
        <v>504</v>
      </c>
      <c r="D18" s="194" t="s">
        <v>40</v>
      </c>
      <c r="E18" s="194" t="s">
        <v>157</v>
      </c>
      <c r="F18" s="195" t="s">
        <v>1069</v>
      </c>
      <c r="G18" s="195" t="s">
        <v>1070</v>
      </c>
      <c r="H18" s="195" t="s">
        <v>1071</v>
      </c>
      <c r="I18" s="195" t="s">
        <v>1072</v>
      </c>
      <c r="J18" s="194" t="s">
        <v>637</v>
      </c>
      <c r="K18" s="194" t="s">
        <v>241</v>
      </c>
      <c r="L18" s="194" t="s">
        <v>638</v>
      </c>
      <c r="M18" s="194"/>
      <c r="N18" s="196"/>
      <c r="O18" s="196"/>
      <c r="P18" s="196"/>
      <c r="Q18" s="196"/>
      <c r="R18" s="196"/>
      <c r="S18" s="196"/>
      <c r="T18" s="196"/>
      <c r="U18" s="196"/>
      <c r="V18" s="196"/>
      <c r="W18" s="196"/>
      <c r="X18" s="196"/>
      <c r="Y18" s="196"/>
      <c r="Z18" s="196"/>
      <c r="AA18" s="196"/>
      <c r="AB18" s="197"/>
      <c r="AC18" s="197"/>
      <c r="AD18" s="197"/>
      <c r="AE18" s="197"/>
      <c r="AF18" s="197"/>
      <c r="AG18" s="197"/>
      <c r="AH18" s="197"/>
      <c r="AI18" s="197"/>
      <c r="AJ18" s="197"/>
      <c r="AK18" s="197"/>
      <c r="AL18" s="197"/>
      <c r="AM18" s="198" t="str">
        <f aca="false">IF($A16="","",IF(OR($N16="Yes",$S16="Yes",$X16="Yes",$AC16="Yes",$AH16="Yes"),"Yes","No"))</f>
        <v>No</v>
      </c>
      <c r="AN18" s="198" t="str">
        <f aca="false">IF($A16="","",IFERROR(IF($AI16&lt;&gt;"",$AI16,IF($AD16&lt;&gt;"",$AD16,IF($Y16&lt;&gt;"",$Y16,IF($T16&lt;&gt;"",$T16,IF($O16&lt;&gt;"",$O16,""))))),""))</f>
        <v/>
      </c>
      <c r="AO18" s="198" t="str">
        <f aca="false">IFERROR(IF($AJ16&lt;&gt;"",$AJ16,IF($AE16&lt;&gt;"",$AE16,IF($Z16&lt;&gt;"",$Z16,IF($U16&lt;&gt;"",$U16,IF($P16&lt;&gt;"",$P16,""))))),"")</f>
        <v/>
      </c>
      <c r="AP18" s="199" t="s">
        <v>1073</v>
      </c>
    </row>
    <row r="19" customFormat="false" ht="60" hidden="false" customHeight="true" outlineLevel="0" collapsed="false">
      <c r="A19" s="194" t="str">
        <f aca="false">IF(C19="","",$C$2&amp;"."&amp;COUNTA($C$8:C19)&amp;"")</f>
        <v>TC_04.9</v>
      </c>
      <c r="B19" s="194" t="s">
        <v>520</v>
      </c>
      <c r="C19" s="194" t="s">
        <v>504</v>
      </c>
      <c r="D19" s="194" t="s">
        <v>40</v>
      </c>
      <c r="E19" s="194" t="s">
        <v>157</v>
      </c>
      <c r="F19" s="195" t="s">
        <v>1074</v>
      </c>
      <c r="G19" s="195" t="s">
        <v>1075</v>
      </c>
      <c r="H19" s="195" t="s">
        <v>1076</v>
      </c>
      <c r="I19" s="195" t="s">
        <v>1077</v>
      </c>
      <c r="J19" s="194" t="s">
        <v>637</v>
      </c>
      <c r="K19" s="194" t="s">
        <v>241</v>
      </c>
      <c r="L19" s="194" t="s">
        <v>638</v>
      </c>
      <c r="M19" s="194"/>
      <c r="N19" s="196"/>
      <c r="O19" s="196"/>
      <c r="P19" s="196"/>
      <c r="Q19" s="196"/>
      <c r="R19" s="196"/>
      <c r="S19" s="196"/>
      <c r="T19" s="196"/>
      <c r="U19" s="196"/>
      <c r="V19" s="196"/>
      <c r="W19" s="196"/>
      <c r="X19" s="196"/>
      <c r="Y19" s="196"/>
      <c r="Z19" s="196"/>
      <c r="AA19" s="196"/>
      <c r="AB19" s="197"/>
      <c r="AC19" s="197"/>
      <c r="AD19" s="197"/>
      <c r="AE19" s="197"/>
      <c r="AF19" s="197"/>
      <c r="AG19" s="197"/>
      <c r="AH19" s="197"/>
      <c r="AI19" s="197"/>
      <c r="AJ19" s="197"/>
      <c r="AK19" s="197"/>
      <c r="AL19" s="197"/>
      <c r="AM19" s="198" t="str">
        <f aca="false">IF($A17="","",IF(OR($N17="Yes",$S17="Yes",$X17="Yes",$AC17="Yes",$AH17="Yes"),"Yes","No"))</f>
        <v>No</v>
      </c>
      <c r="AN19" s="198" t="str">
        <f aca="false">IF($A17="","",IFERROR(IF($AI17&lt;&gt;"",$AI17,IF($AD17&lt;&gt;"",$AD17,IF($Y17&lt;&gt;"",$Y17,IF($T17&lt;&gt;"",$T17,IF($O17&lt;&gt;"",$O17,""))))),""))</f>
        <v/>
      </c>
      <c r="AO19" s="198" t="str">
        <f aca="false">IFERROR(IF($AJ17&lt;&gt;"",$AJ17,IF($AE17&lt;&gt;"",$AE17,IF($Z17&lt;&gt;"",$Z17,IF($U17&lt;&gt;"",$U17,IF($P17&lt;&gt;"",$P17,""))))),"")</f>
        <v/>
      </c>
      <c r="AP19" s="199" t="s">
        <v>1078</v>
      </c>
    </row>
    <row r="20" customFormat="false" ht="30" hidden="false" customHeight="true" outlineLevel="0" collapsed="false">
      <c r="A20" s="194" t="str">
        <f aca="false">IF(C20="","",$C$2&amp;"."&amp;COUNTA($C$8:C20)&amp;"")</f>
        <v>TC_04.10</v>
      </c>
      <c r="B20" s="194" t="s">
        <v>1079</v>
      </c>
      <c r="C20" s="194" t="s">
        <v>676</v>
      </c>
      <c r="D20" s="194" t="s">
        <v>40</v>
      </c>
      <c r="E20" s="194" t="s">
        <v>157</v>
      </c>
      <c r="F20" s="195" t="s">
        <v>1080</v>
      </c>
      <c r="G20" s="195" t="s">
        <v>1081</v>
      </c>
      <c r="H20" s="195" t="s">
        <v>1082</v>
      </c>
      <c r="I20" s="195" t="s">
        <v>1083</v>
      </c>
      <c r="J20" s="194" t="s">
        <v>637</v>
      </c>
      <c r="K20" s="194" t="s">
        <v>241</v>
      </c>
      <c r="L20" s="194" t="s">
        <v>638</v>
      </c>
      <c r="M20" s="194"/>
      <c r="N20" s="196"/>
      <c r="O20" s="196"/>
      <c r="P20" s="196"/>
      <c r="Q20" s="196"/>
      <c r="R20" s="196"/>
      <c r="S20" s="196"/>
      <c r="T20" s="196"/>
      <c r="U20" s="196"/>
      <c r="V20" s="196"/>
      <c r="W20" s="196"/>
      <c r="X20" s="196"/>
      <c r="Y20" s="196"/>
      <c r="Z20" s="196"/>
      <c r="AA20" s="196"/>
      <c r="AB20" s="197"/>
      <c r="AC20" s="197"/>
      <c r="AD20" s="197"/>
      <c r="AE20" s="197"/>
      <c r="AF20" s="197"/>
      <c r="AG20" s="197"/>
      <c r="AH20" s="197"/>
      <c r="AI20" s="197"/>
      <c r="AJ20" s="197"/>
      <c r="AK20" s="197"/>
      <c r="AL20" s="197"/>
      <c r="AM20" s="198" t="str">
        <f aca="false">IF($A18="","",IF(OR($N18="Yes",$S18="Yes",$X18="Yes",$AC18="Yes",$AH18="Yes"),"Yes","No"))</f>
        <v>No</v>
      </c>
      <c r="AN20" s="198" t="str">
        <f aca="false">IF($A18="","",IFERROR(IF($AI18&lt;&gt;"",$AI18,IF($AD18&lt;&gt;"",$AD18,IF($Y18&lt;&gt;"",$Y18,IF($T18&lt;&gt;"",$T18,IF($O18&lt;&gt;"",$O18,""))))),""))</f>
        <v/>
      </c>
      <c r="AO20" s="198" t="str">
        <f aca="false">IFERROR(IF($AJ18&lt;&gt;"",$AJ18,IF($AE18&lt;&gt;"",$AE18,IF($Z18&lt;&gt;"",$Z18,IF($U18&lt;&gt;"",$U18,IF($P18&lt;&gt;"",$P18,""))))),"")</f>
        <v/>
      </c>
      <c r="AP20" s="199" t="s">
        <v>1084</v>
      </c>
    </row>
    <row r="21" customFormat="false" ht="60" hidden="false" customHeight="true" outlineLevel="0" collapsed="false">
      <c r="A21" s="194" t="str">
        <f aca="false">IF(C21="","",$C$2&amp;"."&amp;COUNTA($C$8:C21)&amp;"")</f>
        <v>TC_04.11</v>
      </c>
      <c r="B21" s="194" t="s">
        <v>1079</v>
      </c>
      <c r="C21" s="194" t="s">
        <v>676</v>
      </c>
      <c r="D21" s="194" t="s">
        <v>40</v>
      </c>
      <c r="E21" s="194" t="s">
        <v>157</v>
      </c>
      <c r="F21" s="195" t="s">
        <v>1085</v>
      </c>
      <c r="G21" s="195" t="s">
        <v>1081</v>
      </c>
      <c r="H21" s="195" t="s">
        <v>1086</v>
      </c>
      <c r="I21" s="195" t="s">
        <v>1083</v>
      </c>
      <c r="J21" s="194" t="s">
        <v>637</v>
      </c>
      <c r="K21" s="194" t="s">
        <v>241</v>
      </c>
      <c r="L21" s="194" t="s">
        <v>638</v>
      </c>
      <c r="M21" s="194"/>
      <c r="N21" s="196"/>
      <c r="O21" s="196"/>
      <c r="P21" s="196"/>
      <c r="Q21" s="196"/>
      <c r="R21" s="196"/>
      <c r="S21" s="196"/>
      <c r="T21" s="196"/>
      <c r="U21" s="196"/>
      <c r="V21" s="196"/>
      <c r="W21" s="196"/>
      <c r="X21" s="196"/>
      <c r="Y21" s="196"/>
      <c r="Z21" s="196"/>
      <c r="AA21" s="196"/>
      <c r="AB21" s="197"/>
      <c r="AC21" s="197"/>
      <c r="AD21" s="197"/>
      <c r="AE21" s="197"/>
      <c r="AF21" s="197"/>
      <c r="AG21" s="197"/>
      <c r="AH21" s="197"/>
      <c r="AI21" s="197"/>
      <c r="AJ21" s="197"/>
      <c r="AK21" s="197"/>
      <c r="AL21" s="197"/>
      <c r="AM21" s="198" t="str">
        <f aca="false">IF($A19="","",IF(OR($N19="Yes",$S19="Yes",$X19="Yes",$AC19="Yes",$AH19="Yes"),"Yes","No"))</f>
        <v>No</v>
      </c>
      <c r="AN21" s="198" t="str">
        <f aca="false">IF($A19="","",IFERROR(IF($AI19&lt;&gt;"",$AI19,IF($AD19&lt;&gt;"",$AD19,IF($Y19&lt;&gt;"",$Y19,IF($T19&lt;&gt;"",$T19,IF($O19&lt;&gt;"",$O19,""))))),""))</f>
        <v/>
      </c>
      <c r="AO21" s="198" t="str">
        <f aca="false">IFERROR(IF($AJ19&lt;&gt;"",$AJ19,IF($AE19&lt;&gt;"",$AE19,IF($Z19&lt;&gt;"",$Z19,IF($U19&lt;&gt;"",$U19,IF($P19&lt;&gt;"",$P19,""))))),"")</f>
        <v/>
      </c>
      <c r="AP21" s="199" t="s">
        <v>1087</v>
      </c>
    </row>
    <row r="22" customFormat="false" ht="60" hidden="false" customHeight="true" outlineLevel="0" collapsed="false">
      <c r="A22" s="194" t="str">
        <f aca="false">IF(C22="","",$C$2&amp;"."&amp;COUNTA($C$8:C22)&amp;"")</f>
        <v>TC_04.12</v>
      </c>
      <c r="B22" s="194" t="s">
        <v>1088</v>
      </c>
      <c r="C22" s="194" t="s">
        <v>1089</v>
      </c>
      <c r="D22" s="194" t="s">
        <v>40</v>
      </c>
      <c r="E22" s="194" t="s">
        <v>157</v>
      </c>
      <c r="F22" s="195" t="s">
        <v>1090</v>
      </c>
      <c r="G22" s="195" t="s">
        <v>1081</v>
      </c>
      <c r="H22" s="195" t="s">
        <v>1091</v>
      </c>
      <c r="I22" s="195" t="s">
        <v>1092</v>
      </c>
      <c r="J22" s="194" t="s">
        <v>637</v>
      </c>
      <c r="K22" s="194" t="s">
        <v>241</v>
      </c>
      <c r="L22" s="194" t="s">
        <v>638</v>
      </c>
      <c r="M22" s="194"/>
      <c r="N22" s="196"/>
      <c r="O22" s="196"/>
      <c r="P22" s="196"/>
      <c r="Q22" s="196"/>
      <c r="R22" s="196"/>
      <c r="S22" s="196"/>
      <c r="T22" s="196"/>
      <c r="U22" s="196"/>
      <c r="V22" s="196"/>
      <c r="W22" s="196"/>
      <c r="X22" s="196"/>
      <c r="Y22" s="196"/>
      <c r="Z22" s="196"/>
      <c r="AA22" s="196"/>
      <c r="AB22" s="197"/>
      <c r="AC22" s="197"/>
      <c r="AD22" s="197"/>
      <c r="AE22" s="197"/>
      <c r="AF22" s="197"/>
      <c r="AG22" s="197"/>
      <c r="AH22" s="197"/>
      <c r="AI22" s="197"/>
      <c r="AJ22" s="197"/>
      <c r="AK22" s="197"/>
      <c r="AL22" s="197"/>
      <c r="AM22" s="198" t="str">
        <f aca="false">IF($A20="","",IF(OR($N20="Yes",$S20="Yes",$X20="Yes",$AC20="Yes",$AH20="Yes"),"Yes","No"))</f>
        <v>No</v>
      </c>
      <c r="AN22" s="198" t="str">
        <f aca="false">IF($A20="","",IFERROR(IF($AI20&lt;&gt;"",$AI20,IF($AD20&lt;&gt;"",$AD20,IF($Y20&lt;&gt;"",$Y20,IF($T20&lt;&gt;"",$T20,IF($O20&lt;&gt;"",$O20,""))))),""))</f>
        <v/>
      </c>
      <c r="AO22" s="198" t="str">
        <f aca="false">IFERROR(IF($AJ20&lt;&gt;"",$AJ20,IF($AE20&lt;&gt;"",$AE20,IF($Z20&lt;&gt;"",$Z20,IF($U20&lt;&gt;"",$U20,IF($P20&lt;&gt;"",$P20,""))))),"")</f>
        <v/>
      </c>
      <c r="AP22" s="199" t="s">
        <v>1093</v>
      </c>
    </row>
    <row r="23" customFormat="false" ht="15" hidden="false" customHeight="true" outlineLevel="0" collapsed="false">
      <c r="A23" s="194" t="str">
        <f aca="false">IF(C23="","",$C$2&amp;"."&amp;COUNTA($C$8:C23)&amp;"")</f>
        <v>TC_04.13</v>
      </c>
      <c r="B23" s="194" t="s">
        <v>541</v>
      </c>
      <c r="C23" s="194" t="s">
        <v>755</v>
      </c>
      <c r="D23" s="194" t="s">
        <v>40</v>
      </c>
      <c r="E23" s="194" t="s">
        <v>158</v>
      </c>
      <c r="F23" s="195" t="s">
        <v>1094</v>
      </c>
      <c r="G23" s="195" t="s">
        <v>1095</v>
      </c>
      <c r="H23" s="195" t="s">
        <v>1096</v>
      </c>
      <c r="I23" s="195" t="s">
        <v>1097</v>
      </c>
      <c r="J23" s="194" t="s">
        <v>637</v>
      </c>
      <c r="K23" s="194" t="s">
        <v>241</v>
      </c>
      <c r="L23" s="194" t="s">
        <v>638</v>
      </c>
      <c r="M23" s="194"/>
      <c r="N23" s="196"/>
      <c r="O23" s="196"/>
      <c r="P23" s="196"/>
      <c r="Q23" s="196"/>
      <c r="R23" s="196"/>
      <c r="S23" s="196"/>
      <c r="T23" s="196"/>
      <c r="U23" s="196"/>
      <c r="V23" s="196"/>
      <c r="W23" s="196"/>
      <c r="X23" s="196"/>
      <c r="Y23" s="196"/>
      <c r="Z23" s="196"/>
      <c r="AA23" s="196"/>
      <c r="AB23" s="197"/>
      <c r="AC23" s="197"/>
      <c r="AD23" s="197"/>
      <c r="AE23" s="197"/>
      <c r="AF23" s="197"/>
      <c r="AG23" s="197"/>
      <c r="AH23" s="197"/>
      <c r="AI23" s="197"/>
      <c r="AJ23" s="197"/>
      <c r="AK23" s="197"/>
      <c r="AL23" s="197"/>
      <c r="AM23" s="198" t="str">
        <f aca="false">IF($A21="","",IF(OR($N21="Yes",$S21="Yes",$X21="Yes",$AC21="Yes",$AH21="Yes"),"Yes","No"))</f>
        <v>No</v>
      </c>
      <c r="AN23" s="198" t="str">
        <f aca="false">IF($A21="","",IFERROR(IF($AI21&lt;&gt;"",$AI21,IF($AD21&lt;&gt;"",$AD21,IF($Y21&lt;&gt;"",$Y21,IF($T21&lt;&gt;"",$T21,IF($O21&lt;&gt;"",$O21,""))))),""))</f>
        <v/>
      </c>
      <c r="AO23" s="198" t="str">
        <f aca="false">IFERROR(IF($AJ21&lt;&gt;"",$AJ21,IF($AE21&lt;&gt;"",$AE21,IF($Z21&lt;&gt;"",$Z21,IF($U21&lt;&gt;"",$U21,IF($P21&lt;&gt;"",$P21,""))))),"")</f>
        <v/>
      </c>
      <c r="AP23" s="199" t="s">
        <v>1098</v>
      </c>
    </row>
    <row r="24" customFormat="false" ht="60" hidden="false" customHeight="true" outlineLevel="0" collapsed="false">
      <c r="A24" s="194" t="str">
        <f aca="false">IF(C24="","",$C$2&amp;"."&amp;COUNTA($C$8:C24)&amp;"")</f>
        <v>TC_04.14</v>
      </c>
      <c r="B24" s="194" t="s">
        <v>541</v>
      </c>
      <c r="C24" s="194" t="s">
        <v>755</v>
      </c>
      <c r="D24" s="194" t="s">
        <v>40</v>
      </c>
      <c r="E24" s="194" t="s">
        <v>158</v>
      </c>
      <c r="F24" s="195" t="s">
        <v>1099</v>
      </c>
      <c r="G24" s="195" t="s">
        <v>1095</v>
      </c>
      <c r="H24" s="195" t="s">
        <v>1100</v>
      </c>
      <c r="I24" s="195" t="s">
        <v>1101</v>
      </c>
      <c r="J24" s="194" t="s">
        <v>637</v>
      </c>
      <c r="K24" s="194" t="s">
        <v>241</v>
      </c>
      <c r="L24" s="194" t="s">
        <v>638</v>
      </c>
      <c r="M24" s="194"/>
      <c r="N24" s="196"/>
      <c r="O24" s="196"/>
      <c r="P24" s="196"/>
      <c r="Q24" s="196"/>
      <c r="R24" s="196"/>
      <c r="S24" s="196"/>
      <c r="T24" s="196"/>
      <c r="U24" s="196"/>
      <c r="V24" s="196"/>
      <c r="W24" s="196"/>
      <c r="X24" s="196"/>
      <c r="Y24" s="196"/>
      <c r="Z24" s="196"/>
      <c r="AA24" s="196"/>
      <c r="AB24" s="197"/>
      <c r="AC24" s="197"/>
      <c r="AD24" s="197"/>
      <c r="AE24" s="197"/>
      <c r="AF24" s="197"/>
      <c r="AG24" s="197"/>
      <c r="AH24" s="197"/>
      <c r="AI24" s="197"/>
      <c r="AJ24" s="197"/>
      <c r="AK24" s="197"/>
      <c r="AL24" s="197"/>
      <c r="AM24" s="198" t="str">
        <f aca="false">IF($A22="","",IF(OR($N22="Yes",$S22="Yes",$X22="Yes",$AC22="Yes",$AH22="Yes"),"Yes","No"))</f>
        <v>No</v>
      </c>
      <c r="AN24" s="198" t="str">
        <f aca="false">IF($A22="","",IFERROR(IF($AI22&lt;&gt;"",$AI22,IF($AD22&lt;&gt;"",$AD22,IF($Y22&lt;&gt;"",$Y22,IF($T22&lt;&gt;"",$T22,IF($O22&lt;&gt;"",$O22,""))))),""))</f>
        <v/>
      </c>
      <c r="AO24" s="198" t="str">
        <f aca="false">IFERROR(IF($AJ22&lt;&gt;"",$AJ22,IF($AE22&lt;&gt;"",$AE22,IF($Z22&lt;&gt;"",$Z22,IF($U22&lt;&gt;"",$U22,IF($P22&lt;&gt;"",$P22,""))))),"")</f>
        <v/>
      </c>
      <c r="AP24" s="199" t="s">
        <v>1102</v>
      </c>
    </row>
    <row r="25" customFormat="false" ht="60" hidden="false" customHeight="true" outlineLevel="0" collapsed="false">
      <c r="A25" s="194" t="str">
        <f aca="false">IF(C25="","",$C$2&amp;"."&amp;COUNTA($C$8:C25)&amp;"")</f>
        <v>TC_04.15</v>
      </c>
      <c r="B25" s="194" t="s">
        <v>520</v>
      </c>
      <c r="C25" s="194" t="s">
        <v>504</v>
      </c>
      <c r="D25" s="194" t="s">
        <v>42</v>
      </c>
      <c r="E25" s="194" t="s">
        <v>158</v>
      </c>
      <c r="F25" s="195" t="s">
        <v>1103</v>
      </c>
      <c r="G25" s="195" t="s">
        <v>1104</v>
      </c>
      <c r="H25" s="195" t="s">
        <v>1105</v>
      </c>
      <c r="I25" s="195" t="s">
        <v>1106</v>
      </c>
      <c r="J25" s="194" t="s">
        <v>637</v>
      </c>
      <c r="K25" s="194" t="s">
        <v>241</v>
      </c>
      <c r="L25" s="194" t="s">
        <v>638</v>
      </c>
      <c r="M25" s="194"/>
      <c r="N25" s="196"/>
      <c r="O25" s="196"/>
      <c r="P25" s="196"/>
      <c r="Q25" s="196"/>
      <c r="R25" s="196"/>
      <c r="S25" s="196"/>
      <c r="T25" s="196"/>
      <c r="U25" s="196"/>
      <c r="V25" s="196"/>
      <c r="W25" s="196"/>
      <c r="X25" s="196"/>
      <c r="Y25" s="196"/>
      <c r="Z25" s="196"/>
      <c r="AA25" s="196"/>
      <c r="AB25" s="197"/>
      <c r="AC25" s="197"/>
      <c r="AD25" s="197"/>
      <c r="AE25" s="197"/>
      <c r="AF25" s="197"/>
      <c r="AG25" s="197"/>
      <c r="AH25" s="197"/>
      <c r="AI25" s="197"/>
      <c r="AJ25" s="197"/>
      <c r="AK25" s="197"/>
      <c r="AL25" s="197"/>
      <c r="AM25" s="198" t="str">
        <f aca="false">IF($A23="","",IF(OR($N23="Yes",$S23="Yes",$X23="Yes",$AC23="Yes",$AH23="Yes"),"Yes","No"))</f>
        <v>No</v>
      </c>
      <c r="AN25" s="198" t="str">
        <f aca="false">IF($A23="","",IFERROR(IF($AI23&lt;&gt;"",$AI23,IF($AD23&lt;&gt;"",$AD23,IF($Y23&lt;&gt;"",$Y23,IF($T23&lt;&gt;"",$T23,IF($O23&lt;&gt;"",$O23,""))))),""))</f>
        <v/>
      </c>
      <c r="AO25" s="198" t="str">
        <f aca="false">IFERROR(IF($AJ23&lt;&gt;"",$AJ23,IF($AE23&lt;&gt;"",$AE23,IF($Z23&lt;&gt;"",$Z23,IF($U23&lt;&gt;"",$U23,IF($P23&lt;&gt;"",$P23,""))))),"")</f>
        <v/>
      </c>
      <c r="AP25" s="199" t="s">
        <v>675</v>
      </c>
    </row>
    <row r="26" customFormat="false" ht="60" hidden="false" customHeight="true" outlineLevel="0" collapsed="false">
      <c r="A26" s="194" t="str">
        <f aca="false">IF(C26="","",$C$2&amp;"."&amp;COUNTA($C$8:C26)&amp;"")</f>
        <v>TC_04.16</v>
      </c>
      <c r="B26" s="194" t="s">
        <v>544</v>
      </c>
      <c r="C26" s="194" t="s">
        <v>1064</v>
      </c>
      <c r="D26" s="194" t="s">
        <v>40</v>
      </c>
      <c r="E26" s="194" t="s">
        <v>158</v>
      </c>
      <c r="F26" s="195" t="s">
        <v>1107</v>
      </c>
      <c r="G26" s="195" t="s">
        <v>1095</v>
      </c>
      <c r="H26" s="195" t="s">
        <v>1108</v>
      </c>
      <c r="I26" s="195" t="s">
        <v>1109</v>
      </c>
      <c r="J26" s="194" t="s">
        <v>637</v>
      </c>
      <c r="K26" s="194" t="s">
        <v>241</v>
      </c>
      <c r="L26" s="194" t="s">
        <v>638</v>
      </c>
      <c r="M26" s="194"/>
      <c r="N26" s="196"/>
      <c r="O26" s="196"/>
      <c r="P26" s="196"/>
      <c r="Q26" s="196"/>
      <c r="R26" s="196"/>
      <c r="S26" s="196"/>
      <c r="T26" s="196"/>
      <c r="U26" s="196"/>
      <c r="V26" s="196"/>
      <c r="W26" s="196"/>
      <c r="X26" s="196"/>
      <c r="Y26" s="196"/>
      <c r="Z26" s="196"/>
      <c r="AA26" s="196"/>
      <c r="AB26" s="197"/>
      <c r="AC26" s="197"/>
      <c r="AD26" s="197"/>
      <c r="AE26" s="197"/>
      <c r="AF26" s="197"/>
      <c r="AG26" s="197"/>
      <c r="AH26" s="197"/>
      <c r="AI26" s="197"/>
      <c r="AJ26" s="197"/>
      <c r="AK26" s="197"/>
      <c r="AL26" s="197"/>
      <c r="AM26" s="198" t="str">
        <f aca="false">IF($A24="","",IF(OR($N24="Yes",$S24="Yes",$X24="Yes",$AC24="Yes",$AH24="Yes"),"Yes","No"))</f>
        <v>No</v>
      </c>
      <c r="AN26" s="198" t="str">
        <f aca="false">IF($A24="","",IFERROR(IF($AI24&lt;&gt;"",$AI24,IF($AD24&lt;&gt;"",$AD24,IF($Y24&lt;&gt;"",$Y24,IF($T24&lt;&gt;"",$T24,IF($O24&lt;&gt;"",$O24,""))))),""))</f>
        <v/>
      </c>
      <c r="AO26" s="198" t="str">
        <f aca="false">IFERROR(IF($AJ24&lt;&gt;"",$AJ24,IF($AE24&lt;&gt;"",$AE24,IF($Z24&lt;&gt;"",$Z24,IF($U24&lt;&gt;"",$U24,IF($P24&lt;&gt;"",$P24,""))))),"")</f>
        <v/>
      </c>
      <c r="AP26" s="199" t="s">
        <v>1110</v>
      </c>
    </row>
    <row r="27" customFormat="false" ht="15.75" hidden="false" customHeight="true" outlineLevel="0" collapsed="false">
      <c r="A27" s="194" t="str">
        <f aca="false">IF(C27="","",$C$2&amp;"."&amp;COUNTA($C$8:C27)&amp;"")</f>
        <v>TC_04.17</v>
      </c>
      <c r="B27" s="194" t="s">
        <v>544</v>
      </c>
      <c r="C27" s="194" t="s">
        <v>1064</v>
      </c>
      <c r="D27" s="194" t="s">
        <v>40</v>
      </c>
      <c r="E27" s="194" t="s">
        <v>158</v>
      </c>
      <c r="F27" s="195" t="s">
        <v>1111</v>
      </c>
      <c r="G27" s="195" t="s">
        <v>1095</v>
      </c>
      <c r="H27" s="195" t="s">
        <v>1112</v>
      </c>
      <c r="I27" s="195" t="s">
        <v>1113</v>
      </c>
      <c r="J27" s="194" t="s">
        <v>637</v>
      </c>
      <c r="K27" s="194" t="s">
        <v>241</v>
      </c>
      <c r="L27" s="194" t="s">
        <v>638</v>
      </c>
      <c r="M27" s="194"/>
      <c r="N27" s="196"/>
      <c r="O27" s="196"/>
      <c r="P27" s="196"/>
      <c r="Q27" s="196"/>
      <c r="R27" s="196"/>
      <c r="S27" s="196"/>
      <c r="T27" s="196"/>
      <c r="U27" s="196"/>
      <c r="V27" s="196"/>
      <c r="W27" s="196"/>
      <c r="X27" s="196"/>
      <c r="Y27" s="196"/>
      <c r="Z27" s="196"/>
      <c r="AA27" s="196"/>
      <c r="AB27" s="197"/>
      <c r="AC27" s="197"/>
      <c r="AD27" s="197"/>
      <c r="AE27" s="197"/>
      <c r="AF27" s="197"/>
      <c r="AG27" s="197"/>
      <c r="AH27" s="197"/>
      <c r="AI27" s="197"/>
      <c r="AJ27" s="197"/>
      <c r="AK27" s="197"/>
      <c r="AL27" s="197"/>
      <c r="AM27" s="198" t="str">
        <f aca="false">IF($A25="","",IF(OR($N25="Yes",$S25="Yes",$X25="Yes",$AC25="Yes",$AH25="Yes"),"Yes","No"))</f>
        <v>No</v>
      </c>
      <c r="AN27" s="198" t="str">
        <f aca="false">IF($A25="","",IFERROR(IF($AI25&lt;&gt;"",$AI25,IF($AD25&lt;&gt;"",$AD25,IF($Y25&lt;&gt;"",$Y25,IF($T25&lt;&gt;"",$T25,IF($O25&lt;&gt;"",$O25,""))))),""))</f>
        <v/>
      </c>
      <c r="AO27" s="198" t="str">
        <f aca="false">IFERROR(IF($AJ25&lt;&gt;"",$AJ25,IF($AE25&lt;&gt;"",$AE25,IF($Z25&lt;&gt;"",$Z25,IF($U25&lt;&gt;"",$U25,IF($P25&lt;&gt;"",$P25,""))))),"")</f>
        <v/>
      </c>
      <c r="AP27" s="199" t="s">
        <v>1114</v>
      </c>
    </row>
    <row r="28" customFormat="false" ht="60" hidden="false" customHeight="true" outlineLevel="0" collapsed="false">
      <c r="A28" s="194" t="str">
        <f aca="false">IF(C28="","",$C$2&amp;"."&amp;COUNTA($C$8:C28)&amp;"")</f>
        <v>TC_04.18</v>
      </c>
      <c r="B28" s="194" t="s">
        <v>544</v>
      </c>
      <c r="C28" s="194" t="s">
        <v>1064</v>
      </c>
      <c r="D28" s="194" t="s">
        <v>40</v>
      </c>
      <c r="E28" s="194" t="s">
        <v>158</v>
      </c>
      <c r="F28" s="195" t="s">
        <v>1115</v>
      </c>
      <c r="G28" s="195" t="s">
        <v>1095</v>
      </c>
      <c r="H28" s="195" t="s">
        <v>1116</v>
      </c>
      <c r="I28" s="195" t="s">
        <v>1117</v>
      </c>
      <c r="J28" s="194" t="s">
        <v>637</v>
      </c>
      <c r="K28" s="194" t="s">
        <v>241</v>
      </c>
      <c r="L28" s="194" t="s">
        <v>638</v>
      </c>
      <c r="M28" s="194"/>
      <c r="N28" s="196"/>
      <c r="O28" s="196"/>
      <c r="P28" s="196"/>
      <c r="Q28" s="196"/>
      <c r="R28" s="196"/>
      <c r="S28" s="196"/>
      <c r="T28" s="196"/>
      <c r="U28" s="196"/>
      <c r="V28" s="196"/>
      <c r="W28" s="196"/>
      <c r="X28" s="196"/>
      <c r="Y28" s="196"/>
      <c r="Z28" s="196"/>
      <c r="AA28" s="196"/>
      <c r="AB28" s="197"/>
      <c r="AC28" s="197"/>
      <c r="AD28" s="197"/>
      <c r="AE28" s="197"/>
      <c r="AF28" s="197"/>
      <c r="AG28" s="197"/>
      <c r="AH28" s="197"/>
      <c r="AI28" s="197"/>
      <c r="AJ28" s="197"/>
      <c r="AK28" s="197"/>
      <c r="AL28" s="197"/>
      <c r="AM28" s="198" t="str">
        <f aca="false">IF($A26="","",IF(OR($N26="Yes",$S26="Yes",$X26="Yes",$AC26="Yes",$AH26="Yes"),"Yes","No"))</f>
        <v>No</v>
      </c>
      <c r="AN28" s="198" t="str">
        <f aca="false">IF($A26="","",IFERROR(IF($AI26&lt;&gt;"",$AI26,IF($AD26&lt;&gt;"",$AD26,IF($Y26&lt;&gt;"",$Y26,IF($T26&lt;&gt;"",$T26,IF($O26&lt;&gt;"",$O26,""))))),""))</f>
        <v/>
      </c>
      <c r="AO28" s="198" t="str">
        <f aca="false">IFERROR(IF($AJ26&lt;&gt;"",$AJ26,IF($AE26&lt;&gt;"",$AE26,IF($Z26&lt;&gt;"",$Z26,IF($U26&lt;&gt;"",$U26,IF($P26&lt;&gt;"",$P26,""))))),"")</f>
        <v/>
      </c>
      <c r="AP28" s="199" t="s">
        <v>1118</v>
      </c>
    </row>
    <row r="29" customFormat="false" ht="60" hidden="false" customHeight="true" outlineLevel="0" collapsed="false">
      <c r="A29" s="194" t="str">
        <f aca="false">IF(C29="","",$C$2&amp;"."&amp;COUNTA($C$8:C29)&amp;"")</f>
        <v>TC_04.19</v>
      </c>
      <c r="B29" s="194" t="s">
        <v>544</v>
      </c>
      <c r="C29" s="194" t="s">
        <v>1064</v>
      </c>
      <c r="D29" s="194" t="s">
        <v>40</v>
      </c>
      <c r="E29" s="194" t="s">
        <v>158</v>
      </c>
      <c r="F29" s="195" t="s">
        <v>1119</v>
      </c>
      <c r="G29" s="195" t="s">
        <v>1095</v>
      </c>
      <c r="H29" s="195" t="s">
        <v>1120</v>
      </c>
      <c r="I29" s="195" t="s">
        <v>1121</v>
      </c>
      <c r="J29" s="194" t="s">
        <v>637</v>
      </c>
      <c r="K29" s="194" t="s">
        <v>241</v>
      </c>
      <c r="L29" s="194" t="s">
        <v>638</v>
      </c>
      <c r="M29" s="194"/>
      <c r="N29" s="196"/>
      <c r="O29" s="196"/>
      <c r="P29" s="196"/>
      <c r="Q29" s="196"/>
      <c r="R29" s="196"/>
      <c r="S29" s="196"/>
      <c r="T29" s="196"/>
      <c r="U29" s="196"/>
      <c r="V29" s="196"/>
      <c r="W29" s="196"/>
      <c r="X29" s="196"/>
      <c r="Y29" s="196"/>
      <c r="Z29" s="196"/>
      <c r="AA29" s="196"/>
      <c r="AB29" s="197"/>
      <c r="AC29" s="197"/>
      <c r="AD29" s="197"/>
      <c r="AE29" s="197"/>
      <c r="AF29" s="197"/>
      <c r="AG29" s="197"/>
      <c r="AH29" s="197"/>
      <c r="AI29" s="197"/>
      <c r="AJ29" s="197"/>
      <c r="AK29" s="197"/>
      <c r="AL29" s="197"/>
      <c r="AM29" s="198" t="str">
        <f aca="false">IF($A27="","",IF(OR($N27="Yes",$S27="Yes",$X27="Yes",$AC27="Yes",$AH27="Yes"),"Yes","No"))</f>
        <v>No</v>
      </c>
      <c r="AN29" s="198" t="str">
        <f aca="false">IF($A27="","",IFERROR(IF($AI27&lt;&gt;"",$AI27,IF($AD27&lt;&gt;"",$AD27,IF($Y27&lt;&gt;"",$Y27,IF($T27&lt;&gt;"",$T27,IF($O27&lt;&gt;"",$O27,""))))),""))</f>
        <v/>
      </c>
      <c r="AO29" s="198" t="str">
        <f aca="false">IFERROR(IF($AJ27&lt;&gt;"",$AJ27,IF($AE27&lt;&gt;"",$AE27,IF($Z27&lt;&gt;"",$Z27,IF($U27&lt;&gt;"",$U27,IF($P27&lt;&gt;"",$P27,""))))),"")</f>
        <v/>
      </c>
      <c r="AP29" s="199" t="s">
        <v>1122</v>
      </c>
    </row>
    <row r="30" customFormat="false" ht="60" hidden="false" customHeight="true" outlineLevel="0" collapsed="false">
      <c r="A30" s="194" t="str">
        <f aca="false">IF(C30="","",$C$2&amp;"."&amp;COUNTA($C$8:C30)&amp;"")</f>
        <v>TC_04.20</v>
      </c>
      <c r="B30" s="194" t="s">
        <v>544</v>
      </c>
      <c r="C30" s="194" t="s">
        <v>1064</v>
      </c>
      <c r="D30" s="194" t="s">
        <v>40</v>
      </c>
      <c r="E30" s="194" t="s">
        <v>158</v>
      </c>
      <c r="F30" s="195" t="s">
        <v>1123</v>
      </c>
      <c r="G30" s="195" t="s">
        <v>1095</v>
      </c>
      <c r="H30" s="195" t="s">
        <v>1124</v>
      </c>
      <c r="I30" s="195" t="s">
        <v>1125</v>
      </c>
      <c r="J30" s="194" t="s">
        <v>637</v>
      </c>
      <c r="K30" s="194" t="s">
        <v>241</v>
      </c>
      <c r="L30" s="194" t="s">
        <v>638</v>
      </c>
      <c r="M30" s="194"/>
      <c r="N30" s="196"/>
      <c r="O30" s="196"/>
      <c r="P30" s="196"/>
      <c r="Q30" s="196"/>
      <c r="R30" s="196"/>
      <c r="S30" s="196"/>
      <c r="T30" s="196"/>
      <c r="U30" s="196"/>
      <c r="V30" s="196"/>
      <c r="W30" s="196"/>
      <c r="X30" s="196"/>
      <c r="Y30" s="196"/>
      <c r="Z30" s="196"/>
      <c r="AA30" s="196"/>
      <c r="AB30" s="197"/>
      <c r="AC30" s="197"/>
      <c r="AD30" s="197"/>
      <c r="AE30" s="197"/>
      <c r="AF30" s="197"/>
      <c r="AG30" s="197"/>
      <c r="AH30" s="197"/>
      <c r="AI30" s="197"/>
      <c r="AJ30" s="197"/>
      <c r="AK30" s="197"/>
      <c r="AL30" s="197"/>
      <c r="AM30" s="198" t="str">
        <f aca="false">IF($A28="","",IF(OR($N28="Yes",$S28="Yes",$X28="Yes",$AC28="Yes",$AH28="Yes"),"Yes","No"))</f>
        <v>No</v>
      </c>
      <c r="AN30" s="198" t="str">
        <f aca="false">IF($A28="","",IFERROR(IF($AI28&lt;&gt;"",$AI28,IF($AD28&lt;&gt;"",$AD28,IF($Y28&lt;&gt;"",$Y28,IF($T28&lt;&gt;"",$T28,IF($O28&lt;&gt;"",$O28,""))))),""))</f>
        <v/>
      </c>
      <c r="AO30" s="198" t="str">
        <f aca="false">IFERROR(IF($AJ28&lt;&gt;"",$AJ28,IF($AE28&lt;&gt;"",$AE28,IF($Z28&lt;&gt;"",$Z28,IF($U28&lt;&gt;"",$U28,IF($P28&lt;&gt;"",$P28,""))))),"")</f>
        <v/>
      </c>
      <c r="AP30" s="199" t="s">
        <v>1126</v>
      </c>
    </row>
    <row r="31" customFormat="false" ht="15.75" hidden="false" customHeight="true" outlineLevel="0" collapsed="false">
      <c r="A31" s="194" t="str">
        <f aca="false">IF(C31="","",$C$2&amp;"."&amp;COUNTA($C$8:C31)&amp;"")</f>
        <v>TC_04.21</v>
      </c>
      <c r="B31" s="194" t="s">
        <v>544</v>
      </c>
      <c r="C31" s="194" t="s">
        <v>1064</v>
      </c>
      <c r="D31" s="194" t="s">
        <v>40</v>
      </c>
      <c r="E31" s="194" t="s">
        <v>158</v>
      </c>
      <c r="F31" s="195" t="s">
        <v>1127</v>
      </c>
      <c r="G31" s="195" t="s">
        <v>1095</v>
      </c>
      <c r="H31" s="195" t="s">
        <v>1128</v>
      </c>
      <c r="I31" s="195" t="s">
        <v>1129</v>
      </c>
      <c r="J31" s="194" t="s">
        <v>637</v>
      </c>
      <c r="K31" s="194" t="s">
        <v>241</v>
      </c>
      <c r="L31" s="194" t="s">
        <v>638</v>
      </c>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t="str">
        <f aca="false">IF($A29="","",IF(OR($N29="Yes",$S29="Yes",$X29="Yes",$AC29="Yes",$AH29="Yes"),"Yes","No"))</f>
        <v>No</v>
      </c>
      <c r="AN31" s="198" t="str">
        <f aca="false">IF($A29="","",IFERROR(IF($AI29&lt;&gt;"",$AI29,IF($AD29&lt;&gt;"",$AD29,IF($Y29&lt;&gt;"",$Y29,IF($T29&lt;&gt;"",$T29,IF($O29&lt;&gt;"",$O29,""))))),""))</f>
        <v/>
      </c>
      <c r="AO31" s="198" t="str">
        <f aca="false">IFERROR(IF($AJ29&lt;&gt;"",$AJ29,IF($AE29&lt;&gt;"",$AE29,IF($Z29&lt;&gt;"",$Z29,IF($U29&lt;&gt;"",$U29,IF($P29&lt;&gt;"",$P29,""))))),"")</f>
        <v/>
      </c>
      <c r="AP31" s="199" t="s">
        <v>1130</v>
      </c>
    </row>
    <row r="32" customFormat="false" ht="60" hidden="false" customHeight="true" outlineLevel="0" collapsed="false">
      <c r="A32" s="194" t="str">
        <f aca="false">IF(C32="","",$C$2&amp;"."&amp;COUNTA($C$8:C32)&amp;"")</f>
        <v>TC_04.22</v>
      </c>
      <c r="B32" s="194" t="s">
        <v>544</v>
      </c>
      <c r="C32" s="194" t="s">
        <v>1064</v>
      </c>
      <c r="D32" s="194" t="s">
        <v>40</v>
      </c>
      <c r="E32" s="194" t="s">
        <v>158</v>
      </c>
      <c r="F32" s="195" t="s">
        <v>1131</v>
      </c>
      <c r="G32" s="195" t="s">
        <v>1095</v>
      </c>
      <c r="H32" s="195" t="s">
        <v>1132</v>
      </c>
      <c r="I32" s="195" t="s">
        <v>1133</v>
      </c>
      <c r="J32" s="194" t="s">
        <v>637</v>
      </c>
      <c r="K32" s="194" t="s">
        <v>241</v>
      </c>
      <c r="L32" s="194" t="s">
        <v>638</v>
      </c>
      <c r="M32" s="194"/>
      <c r="N32" s="196"/>
      <c r="O32" s="196"/>
      <c r="P32" s="196"/>
      <c r="Q32" s="196"/>
      <c r="R32" s="196"/>
      <c r="S32" s="196"/>
      <c r="T32" s="196"/>
      <c r="U32" s="196"/>
      <c r="V32" s="196"/>
      <c r="W32" s="196"/>
      <c r="X32" s="196"/>
      <c r="Y32" s="196"/>
      <c r="Z32" s="196"/>
      <c r="AA32" s="196"/>
      <c r="AB32" s="197"/>
      <c r="AC32" s="197"/>
      <c r="AD32" s="197"/>
      <c r="AE32" s="197"/>
      <c r="AF32" s="197"/>
      <c r="AG32" s="197"/>
      <c r="AH32" s="197"/>
      <c r="AI32" s="197"/>
      <c r="AJ32" s="197"/>
      <c r="AK32" s="197"/>
      <c r="AL32" s="197"/>
      <c r="AM32" s="198" t="str">
        <f aca="false">IF($A30="","",IF(OR($N30="Yes",$S30="Yes",$X30="Yes",$AC30="Yes",$AH30="Yes"),"Yes","No"))</f>
        <v>No</v>
      </c>
      <c r="AN32" s="198" t="str">
        <f aca="false">IF($A30="","",IFERROR(IF($AI30&lt;&gt;"",$AI30,IF($AD30&lt;&gt;"",$AD30,IF($Y30&lt;&gt;"",$Y30,IF($T30&lt;&gt;"",$T30,IF($O30&lt;&gt;"",$O30,""))))),""))</f>
        <v/>
      </c>
      <c r="AO32" s="198" t="str">
        <f aca="false">IFERROR(IF($AJ30&lt;&gt;"",$AJ30,IF($AE30&lt;&gt;"",$AE30,IF($Z30&lt;&gt;"",$Z30,IF($U30&lt;&gt;"",$U30,IF($P30&lt;&gt;"",$P30,""))))),"")</f>
        <v/>
      </c>
      <c r="AP32" s="199" t="s">
        <v>1134</v>
      </c>
    </row>
    <row r="33" customFormat="false" ht="60" hidden="false" customHeight="true" outlineLevel="0" collapsed="false">
      <c r="A33" s="191" t="s">
        <v>1135</v>
      </c>
      <c r="B33" s="191"/>
      <c r="C33" s="191"/>
      <c r="D33" s="191"/>
      <c r="E33" s="191"/>
      <c r="F33" s="191"/>
      <c r="G33" s="191"/>
      <c r="H33" s="191"/>
      <c r="I33" s="191"/>
      <c r="J33" s="192"/>
      <c r="K33" s="192"/>
      <c r="L33" s="192"/>
      <c r="M33" s="192"/>
      <c r="N33" s="193"/>
      <c r="O33" s="193"/>
      <c r="P33" s="193"/>
      <c r="Q33" s="193"/>
      <c r="R33" s="193"/>
      <c r="S33" s="193"/>
      <c r="T33" s="193"/>
      <c r="U33" s="193"/>
      <c r="V33" s="193"/>
      <c r="W33" s="193"/>
      <c r="X33" s="193"/>
      <c r="Y33" s="193"/>
      <c r="Z33" s="193"/>
      <c r="AA33" s="193"/>
      <c r="AB33" s="189"/>
      <c r="AC33" s="189"/>
      <c r="AD33" s="189"/>
      <c r="AE33" s="189"/>
      <c r="AF33" s="189"/>
      <c r="AG33" s="189"/>
      <c r="AH33" s="189"/>
      <c r="AI33" s="189"/>
      <c r="AJ33" s="189"/>
      <c r="AK33" s="189"/>
      <c r="AL33" s="189"/>
      <c r="AM33" s="190"/>
      <c r="AN33" s="190"/>
      <c r="AO33" s="190"/>
      <c r="AP33" s="190"/>
    </row>
    <row r="34" customFormat="false" ht="15.75" hidden="false" customHeight="true" outlineLevel="0" collapsed="false">
      <c r="A34" s="194"/>
      <c r="B34" s="200" t="s">
        <v>1136</v>
      </c>
      <c r="C34" s="200"/>
      <c r="D34" s="200"/>
      <c r="E34" s="200"/>
      <c r="F34" s="200"/>
      <c r="G34" s="200"/>
      <c r="H34" s="200"/>
      <c r="I34" s="200"/>
      <c r="J34" s="194"/>
      <c r="K34" s="194"/>
      <c r="L34" s="194"/>
      <c r="M34" s="194"/>
      <c r="N34" s="196"/>
      <c r="O34" s="196"/>
      <c r="P34" s="196"/>
      <c r="Q34" s="196"/>
      <c r="R34" s="196"/>
      <c r="S34" s="196"/>
      <c r="T34" s="196"/>
      <c r="U34" s="196"/>
      <c r="V34" s="196"/>
      <c r="W34" s="196"/>
      <c r="X34" s="196"/>
      <c r="Y34" s="196"/>
      <c r="Z34" s="196"/>
      <c r="AA34" s="196"/>
      <c r="AB34" s="197"/>
      <c r="AC34" s="197"/>
      <c r="AD34" s="197"/>
      <c r="AE34" s="197"/>
      <c r="AF34" s="197"/>
      <c r="AG34" s="197"/>
      <c r="AH34" s="197"/>
      <c r="AI34" s="197"/>
      <c r="AJ34" s="197"/>
      <c r="AK34" s="197"/>
      <c r="AL34" s="197"/>
      <c r="AM34" s="198"/>
      <c r="AN34" s="198"/>
      <c r="AO34" s="198"/>
      <c r="AP34" s="199"/>
    </row>
    <row r="35" customFormat="false" ht="69.75" hidden="false" customHeight="true" outlineLevel="0" collapsed="false">
      <c r="A35" s="194" t="str">
        <f aca="false">IF(C35="","",$C$2&amp;"."&amp;COUNTA($C$8:C35)&amp;"")</f>
        <v>TC_04.23</v>
      </c>
      <c r="B35" s="194" t="s">
        <v>520</v>
      </c>
      <c r="C35" s="194" t="s">
        <v>676</v>
      </c>
      <c r="D35" s="194" t="s">
        <v>42</v>
      </c>
      <c r="E35" s="194" t="s">
        <v>157</v>
      </c>
      <c r="F35" s="195" t="s">
        <v>1137</v>
      </c>
      <c r="G35" s="195" t="s">
        <v>1138</v>
      </c>
      <c r="H35" s="195" t="s">
        <v>1139</v>
      </c>
      <c r="I35" s="195" t="s">
        <v>1140</v>
      </c>
      <c r="J35" s="194" t="s">
        <v>637</v>
      </c>
      <c r="K35" s="194" t="s">
        <v>241</v>
      </c>
      <c r="L35" s="194" t="s">
        <v>638</v>
      </c>
      <c r="M35" s="194"/>
      <c r="N35" s="196"/>
      <c r="O35" s="196"/>
      <c r="P35" s="196"/>
      <c r="Q35" s="196"/>
      <c r="R35" s="196"/>
      <c r="S35" s="196"/>
      <c r="T35" s="196"/>
      <c r="U35" s="196"/>
      <c r="V35" s="196"/>
      <c r="W35" s="196"/>
      <c r="X35" s="196"/>
      <c r="Y35" s="196"/>
      <c r="Z35" s="196"/>
      <c r="AA35" s="196"/>
      <c r="AB35" s="197"/>
      <c r="AC35" s="197"/>
      <c r="AD35" s="197"/>
      <c r="AE35" s="197"/>
      <c r="AF35" s="197"/>
      <c r="AG35" s="197"/>
      <c r="AH35" s="197"/>
      <c r="AI35" s="197"/>
      <c r="AJ35" s="197"/>
      <c r="AK35" s="197"/>
      <c r="AL35" s="197"/>
      <c r="AM35" s="198" t="str">
        <f aca="false">IF($A33="","",IF(OR($N33="Yes",$S33="Yes",$X33="Yes",$AC33="Yes",$AH33="Yes"),"Yes","No"))</f>
        <v>No</v>
      </c>
      <c r="AN35" s="198" t="str">
        <f aca="false">IF($A33="","",IFERROR(IF($AI33&lt;&gt;"",$AI33,IF($AD33&lt;&gt;"",$AD33,IF($Y33&lt;&gt;"",$Y33,IF($T33&lt;&gt;"",$T33,IF($O33&lt;&gt;"",$O33,""))))),""))</f>
        <v/>
      </c>
      <c r="AO35" s="198" t="str">
        <f aca="false">IFERROR(IF($AJ33&lt;&gt;"",$AJ33,IF($AE33&lt;&gt;"",$AE33,IF($Z33&lt;&gt;"",$Z33,IF($U33&lt;&gt;"",$U33,IF($P33&lt;&gt;"",$P33,""))))),"")</f>
        <v/>
      </c>
      <c r="AP35" s="199" t="s">
        <v>675</v>
      </c>
    </row>
    <row r="36" customFormat="false" ht="45" hidden="false" customHeight="true" outlineLevel="0" collapsed="false">
      <c r="A36" s="194" t="str">
        <f aca="false">IF(C36="","",$C$2&amp;"."&amp;COUNTA($C$8:C36)&amp;"")</f>
        <v>TC_04.24</v>
      </c>
      <c r="B36" s="194" t="s">
        <v>520</v>
      </c>
      <c r="C36" s="194" t="s">
        <v>555</v>
      </c>
      <c r="D36" s="194" t="s">
        <v>42</v>
      </c>
      <c r="E36" s="194" t="s">
        <v>157</v>
      </c>
      <c r="F36" s="195" t="s">
        <v>1141</v>
      </c>
      <c r="G36" s="195" t="s">
        <v>1142</v>
      </c>
      <c r="H36" s="195" t="s">
        <v>1143</v>
      </c>
      <c r="I36" s="195" t="s">
        <v>1144</v>
      </c>
      <c r="J36" s="194" t="s">
        <v>637</v>
      </c>
      <c r="K36" s="194" t="s">
        <v>241</v>
      </c>
      <c r="L36" s="194" t="s">
        <v>638</v>
      </c>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t="str">
        <f aca="false">IF($A34="","",IF(OR($N34="Yes",$S34="Yes",$X34="Yes",$AC34="Yes",$AH34="Yes"),"Yes","No"))</f>
        <v/>
      </c>
      <c r="AN36" s="198" t="str">
        <f aca="false">IF($A34="","",IFERROR(IF($AI34&lt;&gt;"",$AI34,IF($AD34&lt;&gt;"",$AD34,IF($Y34&lt;&gt;"",$Y34,IF($T34&lt;&gt;"",$T34,IF($O34&lt;&gt;"",$O34,""))))),""))</f>
        <v/>
      </c>
      <c r="AO36" s="198" t="str">
        <f aca="false">IFERROR(IF($AJ34&lt;&gt;"",$AJ34,IF($AE34&lt;&gt;"",$AE34,IF($Z34&lt;&gt;"",$Z34,IF($U34&lt;&gt;"",$U34,IF($P34&lt;&gt;"",$P34,""))))),"")</f>
        <v/>
      </c>
      <c r="AP36" s="199"/>
    </row>
    <row r="37" customFormat="false" ht="45" hidden="false" customHeight="true" outlineLevel="0" collapsed="false">
      <c r="A37" s="194" t="str">
        <f aca="false">IF(C37="","",$C$2&amp;"."&amp;COUNTA($C$8:C37)&amp;"")</f>
        <v>TC_04.25</v>
      </c>
      <c r="B37" s="194" t="s">
        <v>544</v>
      </c>
      <c r="C37" s="194" t="s">
        <v>1145</v>
      </c>
      <c r="D37" s="194" t="s">
        <v>40</v>
      </c>
      <c r="E37" s="194" t="s">
        <v>157</v>
      </c>
      <c r="F37" s="195" t="s">
        <v>1146</v>
      </c>
      <c r="G37" s="195" t="s">
        <v>1147</v>
      </c>
      <c r="H37" s="195" t="s">
        <v>1148</v>
      </c>
      <c r="I37" s="195" t="s">
        <v>1149</v>
      </c>
      <c r="J37" s="194" t="s">
        <v>637</v>
      </c>
      <c r="K37" s="194" t="s">
        <v>241</v>
      </c>
      <c r="L37" s="194" t="s">
        <v>638</v>
      </c>
      <c r="M37" s="194"/>
      <c r="N37" s="196"/>
      <c r="O37" s="196"/>
      <c r="P37" s="196"/>
      <c r="Q37" s="196"/>
      <c r="R37" s="196"/>
      <c r="S37" s="196"/>
      <c r="T37" s="196"/>
      <c r="U37" s="196"/>
      <c r="V37" s="196"/>
      <c r="W37" s="196"/>
      <c r="X37" s="196"/>
      <c r="Y37" s="196"/>
      <c r="Z37" s="196"/>
      <c r="AA37" s="196"/>
      <c r="AB37" s="197"/>
      <c r="AC37" s="197"/>
      <c r="AD37" s="197"/>
      <c r="AE37" s="197"/>
      <c r="AF37" s="197"/>
      <c r="AG37" s="197"/>
      <c r="AH37" s="197"/>
      <c r="AI37" s="197"/>
      <c r="AJ37" s="197"/>
      <c r="AK37" s="197"/>
      <c r="AL37" s="197"/>
      <c r="AM37" s="198" t="str">
        <f aca="false">IF($A35="","",IF(OR($N35="Yes",$S35="Yes",$X35="Yes",$AC35="Yes",$AH35="Yes"),"Yes","No"))</f>
        <v>No</v>
      </c>
      <c r="AN37" s="198" t="str">
        <f aca="false">IF($A35="","",IFERROR(IF($AI35&lt;&gt;"",$AI35,IF($AD35&lt;&gt;"",$AD35,IF($Y35&lt;&gt;"",$Y35,IF($T35&lt;&gt;"",$T35,IF($O35&lt;&gt;"",$O35,""))))),""))</f>
        <v/>
      </c>
      <c r="AO37" s="198" t="str">
        <f aca="false">IFERROR(IF($AJ35&lt;&gt;"",$AJ35,IF($AE35&lt;&gt;"",$AE35,IF($Z35&lt;&gt;"",$Z35,IF($U35&lt;&gt;"",$U35,IF($P35&lt;&gt;"",$P35,""))))),"")</f>
        <v/>
      </c>
      <c r="AP37" s="199"/>
    </row>
    <row r="38" customFormat="false" ht="45" hidden="false" customHeight="true" outlineLevel="0" collapsed="false">
      <c r="A38" s="194" t="str">
        <f aca="false">IF(C38="","",$C$2&amp;"."&amp;COUNTA($C$8:C38)&amp;"")</f>
        <v>TC_04.26</v>
      </c>
      <c r="B38" s="194" t="s">
        <v>544</v>
      </c>
      <c r="C38" s="194" t="s">
        <v>1145</v>
      </c>
      <c r="D38" s="194" t="s">
        <v>40</v>
      </c>
      <c r="E38" s="194" t="s">
        <v>157</v>
      </c>
      <c r="F38" s="195" t="s">
        <v>1150</v>
      </c>
      <c r="G38" s="195" t="s">
        <v>1151</v>
      </c>
      <c r="H38" s="195" t="s">
        <v>1152</v>
      </c>
      <c r="I38" s="195" t="s">
        <v>1153</v>
      </c>
      <c r="J38" s="194" t="s">
        <v>637</v>
      </c>
      <c r="K38" s="194" t="s">
        <v>241</v>
      </c>
      <c r="L38" s="194" t="s">
        <v>638</v>
      </c>
      <c r="M38" s="194"/>
      <c r="N38" s="196"/>
      <c r="O38" s="196"/>
      <c r="P38" s="196"/>
      <c r="Q38" s="196"/>
      <c r="R38" s="196"/>
      <c r="S38" s="196"/>
      <c r="T38" s="196"/>
      <c r="U38" s="196"/>
      <c r="V38" s="196"/>
      <c r="W38" s="196"/>
      <c r="X38" s="196"/>
      <c r="Y38" s="196"/>
      <c r="Z38" s="196"/>
      <c r="AA38" s="196"/>
      <c r="AB38" s="197"/>
      <c r="AC38" s="197"/>
      <c r="AD38" s="197"/>
      <c r="AE38" s="197"/>
      <c r="AF38" s="197"/>
      <c r="AG38" s="197"/>
      <c r="AH38" s="197"/>
      <c r="AI38" s="197"/>
      <c r="AJ38" s="197"/>
      <c r="AK38" s="197"/>
      <c r="AL38" s="197"/>
      <c r="AM38" s="198" t="str">
        <f aca="false">IF($A36="","",IF(OR($N36="Yes",$S36="Yes",$X36="Yes",$AC36="Yes",$AH36="Yes"),"Yes","No"))</f>
        <v>No</v>
      </c>
      <c r="AN38" s="198" t="str">
        <f aca="false">IF($A36="","",IFERROR(IF($AI36&lt;&gt;"",$AI36,IF($AD36&lt;&gt;"",$AD36,IF($Y36&lt;&gt;"",$Y36,IF($T36&lt;&gt;"",$T36,IF($O36&lt;&gt;"",$O36,""))))),""))</f>
        <v/>
      </c>
      <c r="AO38" s="198" t="str">
        <f aca="false">IFERROR(IF($AJ36&lt;&gt;"",$AJ36,IF($AE36&lt;&gt;"",$AE36,IF($Z36&lt;&gt;"",$Z36,IF($U36&lt;&gt;"",$U36,IF($P36&lt;&gt;"",$P36,""))))),"")</f>
        <v/>
      </c>
      <c r="AP38" s="199"/>
    </row>
    <row r="39" customFormat="false" ht="45" hidden="false" customHeight="true" outlineLevel="0" collapsed="false">
      <c r="A39" s="194" t="str">
        <f aca="false">IF(C39="","",$C$2&amp;"."&amp;COUNTA($C$8:C39)&amp;"")</f>
        <v>TC_04.27</v>
      </c>
      <c r="B39" s="194" t="s">
        <v>544</v>
      </c>
      <c r="C39" s="194" t="s">
        <v>1145</v>
      </c>
      <c r="D39" s="194" t="s">
        <v>40</v>
      </c>
      <c r="E39" s="194" t="s">
        <v>157</v>
      </c>
      <c r="F39" s="195" t="s">
        <v>1154</v>
      </c>
      <c r="G39" s="195" t="s">
        <v>1151</v>
      </c>
      <c r="H39" s="195" t="s">
        <v>1155</v>
      </c>
      <c r="I39" s="195" t="s">
        <v>1156</v>
      </c>
      <c r="J39" s="194" t="s">
        <v>637</v>
      </c>
      <c r="K39" s="194" t="s">
        <v>241</v>
      </c>
      <c r="L39" s="194" t="s">
        <v>638</v>
      </c>
      <c r="M39" s="194"/>
      <c r="N39" s="196"/>
      <c r="O39" s="196"/>
      <c r="P39" s="196"/>
      <c r="Q39" s="196"/>
      <c r="R39" s="196"/>
      <c r="S39" s="196"/>
      <c r="T39" s="196"/>
      <c r="U39" s="196"/>
      <c r="V39" s="196"/>
      <c r="W39" s="196"/>
      <c r="X39" s="196"/>
      <c r="Y39" s="196"/>
      <c r="Z39" s="196"/>
      <c r="AA39" s="196"/>
      <c r="AB39" s="197"/>
      <c r="AC39" s="197"/>
      <c r="AD39" s="197"/>
      <c r="AE39" s="197"/>
      <c r="AF39" s="197"/>
      <c r="AG39" s="197"/>
      <c r="AH39" s="197"/>
      <c r="AI39" s="197"/>
      <c r="AJ39" s="197"/>
      <c r="AK39" s="197"/>
      <c r="AL39" s="197"/>
      <c r="AM39" s="198" t="str">
        <f aca="false">IF($A37="","",IF(OR($N37="Yes",$S37="Yes",$X37="Yes",$AC37="Yes",$AH37="Yes"),"Yes","No"))</f>
        <v>No</v>
      </c>
      <c r="AN39" s="198" t="str">
        <f aca="false">IF($A37="","",IFERROR(IF($AI37&lt;&gt;"",$AI37,IF($AD37&lt;&gt;"",$AD37,IF($Y37&lt;&gt;"",$Y37,IF($T37&lt;&gt;"",$T37,IF($O37&lt;&gt;"",$O37,""))))),""))</f>
        <v/>
      </c>
      <c r="AO39" s="198" t="str">
        <f aca="false">IFERROR(IF($AJ37&lt;&gt;"",$AJ37,IF($AE37&lt;&gt;"",$AE37,IF($Z37&lt;&gt;"",$Z37,IF($U37&lt;&gt;"",$U37,IF($P37&lt;&gt;"",$P37,""))))),"")</f>
        <v/>
      </c>
      <c r="AP39" s="199"/>
    </row>
    <row r="40" customFormat="false" ht="15.75" hidden="false" customHeight="true" outlineLevel="0" collapsed="false">
      <c r="A40" s="194" t="str">
        <f aca="false">IF(C40="","",$C$2&amp;"."&amp;COUNTA($C$8:C40)&amp;"")</f>
        <v>TC_04.28</v>
      </c>
      <c r="B40" s="194" t="s">
        <v>532</v>
      </c>
      <c r="C40" s="194" t="s">
        <v>676</v>
      </c>
      <c r="D40" s="194" t="s">
        <v>40</v>
      </c>
      <c r="E40" s="194" t="s">
        <v>158</v>
      </c>
      <c r="F40" s="195" t="s">
        <v>1157</v>
      </c>
      <c r="G40" s="195" t="s">
        <v>1158</v>
      </c>
      <c r="H40" s="195" t="s">
        <v>1159</v>
      </c>
      <c r="I40" s="195" t="s">
        <v>1160</v>
      </c>
      <c r="J40" s="194" t="s">
        <v>637</v>
      </c>
      <c r="K40" s="194" t="s">
        <v>241</v>
      </c>
      <c r="L40" s="194" t="s">
        <v>638</v>
      </c>
      <c r="M40" s="194"/>
      <c r="N40" s="196"/>
      <c r="O40" s="196"/>
      <c r="P40" s="196"/>
      <c r="Q40" s="196"/>
      <c r="R40" s="196"/>
      <c r="S40" s="196"/>
      <c r="T40" s="196"/>
      <c r="U40" s="196"/>
      <c r="V40" s="196"/>
      <c r="W40" s="196"/>
      <c r="X40" s="196"/>
      <c r="Y40" s="196"/>
      <c r="Z40" s="196"/>
      <c r="AA40" s="196"/>
      <c r="AB40" s="197"/>
      <c r="AC40" s="197"/>
      <c r="AD40" s="197"/>
      <c r="AE40" s="197"/>
      <c r="AF40" s="197"/>
      <c r="AG40" s="197"/>
      <c r="AH40" s="197"/>
      <c r="AI40" s="197"/>
      <c r="AJ40" s="197"/>
      <c r="AK40" s="197"/>
      <c r="AL40" s="197"/>
      <c r="AM40" s="198" t="str">
        <f aca="false">IF($A38="","",IF(OR($N38="Yes",$S38="Yes",$X38="Yes",$AC38="Yes",$AH38="Yes"),"Yes","No"))</f>
        <v>No</v>
      </c>
      <c r="AN40" s="198" t="str">
        <f aca="false">IF($A38="","",IFERROR(IF($AI38&lt;&gt;"",$AI38,IF($AD38&lt;&gt;"",$AD38,IF($Y38&lt;&gt;"",$Y38,IF($T38&lt;&gt;"",$T38,IF($O38&lt;&gt;"",$O38,""))))),""))</f>
        <v/>
      </c>
      <c r="AO40" s="198" t="str">
        <f aca="false">IFERROR(IF($AJ38&lt;&gt;"",$AJ38,IF($AE38&lt;&gt;"",$AE38,IF($Z38&lt;&gt;"",$Z38,IF($U38&lt;&gt;"",$U38,IF($P38&lt;&gt;"",$P38,""))))),"")</f>
        <v/>
      </c>
      <c r="AP40" s="199" t="s">
        <v>1161</v>
      </c>
    </row>
    <row r="41" customFormat="false" ht="15.75" hidden="false" customHeight="true" outlineLevel="0" collapsed="false">
      <c r="A41" s="194" t="str">
        <f aca="false">IF(C41="","",$C$2&amp;"."&amp;COUNTA($C$8:C41)&amp;"")</f>
        <v>TC_04.29</v>
      </c>
      <c r="B41" s="194" t="s">
        <v>532</v>
      </c>
      <c r="C41" s="194" t="s">
        <v>676</v>
      </c>
      <c r="D41" s="194" t="s">
        <v>42</v>
      </c>
      <c r="E41" s="194" t="s">
        <v>158</v>
      </c>
      <c r="F41" s="195" t="s">
        <v>1162</v>
      </c>
      <c r="G41" s="195" t="s">
        <v>1163</v>
      </c>
      <c r="H41" s="195" t="s">
        <v>1164</v>
      </c>
      <c r="I41" s="195" t="s">
        <v>1165</v>
      </c>
      <c r="J41" s="194" t="s">
        <v>637</v>
      </c>
      <c r="K41" s="194" t="s">
        <v>241</v>
      </c>
      <c r="L41" s="194" t="s">
        <v>638</v>
      </c>
      <c r="M41" s="194"/>
      <c r="N41" s="196"/>
      <c r="O41" s="196"/>
      <c r="P41" s="196"/>
      <c r="Q41" s="196"/>
      <c r="R41" s="196"/>
      <c r="S41" s="196"/>
      <c r="T41" s="196"/>
      <c r="U41" s="196"/>
      <c r="V41" s="196"/>
      <c r="W41" s="196"/>
      <c r="X41" s="196"/>
      <c r="Y41" s="196"/>
      <c r="Z41" s="196"/>
      <c r="AA41" s="196"/>
      <c r="AB41" s="197"/>
      <c r="AC41" s="197"/>
      <c r="AD41" s="197"/>
      <c r="AE41" s="197"/>
      <c r="AF41" s="197"/>
      <c r="AG41" s="197"/>
      <c r="AH41" s="197"/>
      <c r="AI41" s="197"/>
      <c r="AJ41" s="197"/>
      <c r="AK41" s="197"/>
      <c r="AL41" s="197"/>
      <c r="AM41" s="198" t="str">
        <f aca="false">IF($A39="","",IF(OR($N39="Yes",$S39="Yes",$X39="Yes",$AC39="Yes",$AH39="Yes"),"Yes","No"))</f>
        <v>No</v>
      </c>
      <c r="AN41" s="198" t="str">
        <f aca="false">IF($A39="","",IFERROR(IF($AI39&lt;&gt;"",$AI39,IF($AD39&lt;&gt;"",$AD39,IF($Y39&lt;&gt;"",$Y39,IF($T39&lt;&gt;"",$T39,IF($O39&lt;&gt;"",$O39,""))))),""))</f>
        <v/>
      </c>
      <c r="AO41" s="198" t="str">
        <f aca="false">IFERROR(IF($AJ39&lt;&gt;"",$AJ39,IF($AE39&lt;&gt;"",$AE39,IF($Z39&lt;&gt;"",$Z39,IF($U39&lt;&gt;"",$U39,IF($P39&lt;&gt;"",$P39,""))))),"")</f>
        <v/>
      </c>
      <c r="AP41" s="199" t="s">
        <v>675</v>
      </c>
    </row>
    <row r="42" customFormat="false" ht="15.75" hidden="false" customHeight="true" outlineLevel="0" collapsed="false">
      <c r="A42" s="194" t="str">
        <f aca="false">IF(C42="","",$C$2&amp;"."&amp;COUNTA($C$8:C42)&amp;"")</f>
        <v>TC_04.30</v>
      </c>
      <c r="B42" s="194" t="s">
        <v>544</v>
      </c>
      <c r="C42" s="194" t="s">
        <v>1064</v>
      </c>
      <c r="D42" s="194" t="s">
        <v>40</v>
      </c>
      <c r="E42" s="194" t="s">
        <v>158</v>
      </c>
      <c r="F42" s="195" t="s">
        <v>1166</v>
      </c>
      <c r="G42" s="195" t="s">
        <v>1167</v>
      </c>
      <c r="H42" s="195" t="s">
        <v>1168</v>
      </c>
      <c r="I42" s="195" t="s">
        <v>1169</v>
      </c>
      <c r="J42" s="194" t="s">
        <v>637</v>
      </c>
      <c r="K42" s="194" t="s">
        <v>241</v>
      </c>
      <c r="L42" s="194" t="s">
        <v>638</v>
      </c>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t="str">
        <f aca="false">IF($A40="","",IF(OR($N40="Yes",$S40="Yes",$X40="Yes",$AC40="Yes",$AH40="Yes"),"Yes","No"))</f>
        <v>No</v>
      </c>
      <c r="AN42" s="198" t="str">
        <f aca="false">IF($A40="","",IFERROR(IF($AI40&lt;&gt;"",$AI40,IF($AD40&lt;&gt;"",$AD40,IF($Y40&lt;&gt;"",$Y40,IF($T40&lt;&gt;"",$T40,IF($O40&lt;&gt;"",$O40,""))))),""))</f>
        <v/>
      </c>
      <c r="AO42" s="198" t="str">
        <f aca="false">IFERROR(IF($AJ40&lt;&gt;"",$AJ40,IF($AE40&lt;&gt;"",$AE40,IF($Z40&lt;&gt;"",$Z40,IF($U40&lt;&gt;"",$U40,IF($P40&lt;&gt;"",$P40,""))))),"")</f>
        <v/>
      </c>
      <c r="AP42" s="199" t="s">
        <v>1170</v>
      </c>
    </row>
    <row r="43" customFormat="false" ht="45" hidden="false" customHeight="true" outlineLevel="0" collapsed="false">
      <c r="A43" s="194" t="str">
        <f aca="false">IF(C43="","",$C$2&amp;"."&amp;COUNTA($C$8:C43)&amp;"")</f>
        <v>TC_04.31</v>
      </c>
      <c r="B43" s="194" t="s">
        <v>553</v>
      </c>
      <c r="C43" s="194" t="s">
        <v>555</v>
      </c>
      <c r="D43" s="194" t="s">
        <v>40</v>
      </c>
      <c r="E43" s="194" t="s">
        <v>157</v>
      </c>
      <c r="F43" s="195" t="s">
        <v>1171</v>
      </c>
      <c r="G43" s="195" t="s">
        <v>1172</v>
      </c>
      <c r="H43" s="195" t="s">
        <v>1173</v>
      </c>
      <c r="I43" s="195" t="s">
        <v>1174</v>
      </c>
      <c r="J43" s="194" t="s">
        <v>637</v>
      </c>
      <c r="K43" s="194" t="s">
        <v>241</v>
      </c>
      <c r="L43" s="194" t="s">
        <v>638</v>
      </c>
      <c r="M43" s="194"/>
      <c r="N43" s="196"/>
      <c r="O43" s="196"/>
      <c r="P43" s="196"/>
      <c r="Q43" s="196"/>
      <c r="R43" s="196"/>
      <c r="S43" s="196"/>
      <c r="T43" s="196"/>
      <c r="U43" s="196"/>
      <c r="V43" s="196"/>
      <c r="W43" s="196"/>
      <c r="X43" s="196"/>
      <c r="Y43" s="196"/>
      <c r="Z43" s="196"/>
      <c r="AA43" s="196"/>
      <c r="AB43" s="197"/>
      <c r="AC43" s="197"/>
      <c r="AD43" s="197"/>
      <c r="AE43" s="197"/>
      <c r="AF43" s="197"/>
      <c r="AG43" s="197"/>
      <c r="AH43" s="197"/>
      <c r="AI43" s="197"/>
      <c r="AJ43" s="197"/>
      <c r="AK43" s="197"/>
      <c r="AL43" s="197"/>
      <c r="AM43" s="198" t="str">
        <f aca="false">IF($A41="","",IF(OR($N41="Yes",$S41="Yes",$X41="Yes",$AC41="Yes",$AH41="Yes"),"Yes","No"))</f>
        <v>No</v>
      </c>
      <c r="AN43" s="198" t="str">
        <f aca="false">IF($A41="","",IFERROR(IF($AI41&lt;&gt;"",$AI41,IF($AD41&lt;&gt;"",$AD41,IF($Y41&lt;&gt;"",$Y41,IF($T41&lt;&gt;"",$T41,IF($O41&lt;&gt;"",$O41,""))))),""))</f>
        <v/>
      </c>
      <c r="AO43" s="198" t="str">
        <f aca="false">IFERROR(IF($AJ41&lt;&gt;"",$AJ41,IF($AE41&lt;&gt;"",$AE41,IF($Z41&lt;&gt;"",$Z41,IF($U41&lt;&gt;"",$U41,IF($P41&lt;&gt;"",$P41,""))))),"")</f>
        <v/>
      </c>
      <c r="AP43" s="199"/>
    </row>
    <row r="44" customFormat="false" ht="45" hidden="false" customHeight="true" outlineLevel="0" collapsed="false">
      <c r="A44" s="194" t="str">
        <f aca="false">IF(C44="","",$C$2&amp;"."&amp;COUNTA($C$8:C44)&amp;"")</f>
        <v>TC_04.32</v>
      </c>
      <c r="B44" s="194" t="s">
        <v>553</v>
      </c>
      <c r="C44" s="194" t="s">
        <v>555</v>
      </c>
      <c r="D44" s="194" t="s">
        <v>40</v>
      </c>
      <c r="E44" s="194" t="s">
        <v>158</v>
      </c>
      <c r="F44" s="195" t="s">
        <v>1175</v>
      </c>
      <c r="G44" s="195" t="s">
        <v>1172</v>
      </c>
      <c r="H44" s="195" t="s">
        <v>1176</v>
      </c>
      <c r="I44" s="195" t="s">
        <v>1177</v>
      </c>
      <c r="J44" s="194" t="s">
        <v>637</v>
      </c>
      <c r="K44" s="194" t="s">
        <v>241</v>
      </c>
      <c r="L44" s="194" t="s">
        <v>638</v>
      </c>
      <c r="M44" s="194"/>
      <c r="N44" s="196"/>
      <c r="O44" s="196"/>
      <c r="P44" s="196"/>
      <c r="Q44" s="196"/>
      <c r="R44" s="196"/>
      <c r="S44" s="196"/>
      <c r="T44" s="196"/>
      <c r="U44" s="196"/>
      <c r="V44" s="196"/>
      <c r="W44" s="196"/>
      <c r="X44" s="196"/>
      <c r="Y44" s="196"/>
      <c r="Z44" s="196"/>
      <c r="AA44" s="196"/>
      <c r="AB44" s="197"/>
      <c r="AC44" s="197"/>
      <c r="AD44" s="197"/>
      <c r="AE44" s="197"/>
      <c r="AF44" s="197"/>
      <c r="AG44" s="197"/>
      <c r="AH44" s="197"/>
      <c r="AI44" s="197"/>
      <c r="AJ44" s="197"/>
      <c r="AK44" s="197"/>
      <c r="AL44" s="197"/>
      <c r="AM44" s="198" t="str">
        <f aca="false">IF($A42="","",IF(OR($N42="Yes",$S42="Yes",$X42="Yes",$AC42="Yes",$AH42="Yes"),"Yes","No"))</f>
        <v>No</v>
      </c>
      <c r="AN44" s="198" t="str">
        <f aca="false">IF($A42="","",IFERROR(IF($AI42&lt;&gt;"",$AI42,IF($AD42&lt;&gt;"",$AD42,IF($Y42&lt;&gt;"",$Y42,IF($T42&lt;&gt;"",$T42,IF($O42&lt;&gt;"",$O42,""))))),""))</f>
        <v/>
      </c>
      <c r="AO44" s="198" t="str">
        <f aca="false">IFERROR(IF($AJ42&lt;&gt;"",$AJ42,IF($AE42&lt;&gt;"",$AE42,IF($Z42&lt;&gt;"",$Z42,IF($U42&lt;&gt;"",$U42,IF($P42&lt;&gt;"",$P42,""))))),"")</f>
        <v/>
      </c>
      <c r="AP44" s="199"/>
    </row>
    <row r="45" customFormat="false" ht="45" hidden="false" customHeight="true" outlineLevel="0" collapsed="false">
      <c r="A45" s="194" t="str">
        <f aca="false">IF(C45="","",$C$2&amp;"."&amp;COUNTA($C$8:C45)&amp;"")</f>
        <v>TC_04.33</v>
      </c>
      <c r="B45" s="194" t="s">
        <v>553</v>
      </c>
      <c r="C45" s="194" t="s">
        <v>555</v>
      </c>
      <c r="D45" s="194" t="s">
        <v>40</v>
      </c>
      <c r="E45" s="194" t="s">
        <v>157</v>
      </c>
      <c r="F45" s="195" t="s">
        <v>1178</v>
      </c>
      <c r="G45" s="195" t="s">
        <v>1172</v>
      </c>
      <c r="H45" s="195" t="s">
        <v>1179</v>
      </c>
      <c r="I45" s="195" t="s">
        <v>1180</v>
      </c>
      <c r="J45" s="194" t="s">
        <v>637</v>
      </c>
      <c r="K45" s="194" t="s">
        <v>241</v>
      </c>
      <c r="L45" s="194" t="s">
        <v>638</v>
      </c>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t="str">
        <f aca="false">IF($A43="","",IF(OR($N43="Yes",$S43="Yes",$X43="Yes",$AC43="Yes",$AH43="Yes"),"Yes","No"))</f>
        <v>No</v>
      </c>
      <c r="AN45" s="198" t="str">
        <f aca="false">IF($A43="","",IFERROR(IF($AI43&lt;&gt;"",$AI43,IF($AD43&lt;&gt;"",$AD43,IF($Y43&lt;&gt;"",$Y43,IF($T43&lt;&gt;"",$T43,IF($O43&lt;&gt;"",$O43,""))))),""))</f>
        <v/>
      </c>
      <c r="AO45" s="198" t="str">
        <f aca="false">IFERROR(IF($AJ43&lt;&gt;"",$AJ43,IF($AE43&lt;&gt;"",$AE43,IF($Z43&lt;&gt;"",$Z43,IF($U43&lt;&gt;"",$U43,IF($P43&lt;&gt;"",$P43,""))))),"")</f>
        <v/>
      </c>
      <c r="AP45" s="199"/>
    </row>
    <row r="46" customFormat="false" ht="15.75" hidden="false" customHeight="true" outlineLevel="0" collapsed="false">
      <c r="A46" s="194"/>
      <c r="B46" s="200" t="s">
        <v>1181</v>
      </c>
      <c r="C46" s="200"/>
      <c r="D46" s="200"/>
      <c r="E46" s="200"/>
      <c r="F46" s="200"/>
      <c r="G46" s="200"/>
      <c r="H46" s="200"/>
      <c r="I46" s="200"/>
      <c r="J46" s="194"/>
      <c r="K46" s="194"/>
      <c r="L46" s="194"/>
      <c r="M46" s="194"/>
      <c r="N46" s="196"/>
      <c r="O46" s="196"/>
      <c r="P46" s="196"/>
      <c r="Q46" s="196"/>
      <c r="R46" s="196"/>
      <c r="S46" s="196"/>
      <c r="T46" s="196"/>
      <c r="U46" s="196"/>
      <c r="V46" s="196"/>
      <c r="W46" s="196"/>
      <c r="X46" s="196"/>
      <c r="Y46" s="196"/>
      <c r="Z46" s="196"/>
      <c r="AA46" s="196"/>
      <c r="AB46" s="197"/>
      <c r="AC46" s="197"/>
      <c r="AD46" s="197"/>
      <c r="AE46" s="197"/>
      <c r="AF46" s="197"/>
      <c r="AG46" s="197"/>
      <c r="AH46" s="197"/>
      <c r="AI46" s="197"/>
      <c r="AJ46" s="197"/>
      <c r="AK46" s="197"/>
      <c r="AL46" s="197"/>
      <c r="AM46" s="198"/>
      <c r="AN46" s="198"/>
      <c r="AO46" s="198"/>
      <c r="AP46" s="199"/>
    </row>
    <row r="47" customFormat="false" ht="84.75" hidden="false" customHeight="true" outlineLevel="0" collapsed="false">
      <c r="A47" s="194" t="str">
        <f aca="false">IF(C47="","",$C$2&amp;"."&amp;COUNTA($C$8:C47)&amp;"")</f>
        <v>TC_04.34</v>
      </c>
      <c r="B47" s="194" t="s">
        <v>1182</v>
      </c>
      <c r="C47" s="194" t="s">
        <v>676</v>
      </c>
      <c r="D47" s="194" t="s">
        <v>42</v>
      </c>
      <c r="E47" s="194" t="s">
        <v>157</v>
      </c>
      <c r="F47" s="195" t="s">
        <v>1183</v>
      </c>
      <c r="G47" s="195" t="s">
        <v>1184</v>
      </c>
      <c r="H47" s="195" t="s">
        <v>1185</v>
      </c>
      <c r="I47" s="195" t="s">
        <v>1186</v>
      </c>
      <c r="J47" s="194" t="s">
        <v>637</v>
      </c>
      <c r="K47" s="194" t="s">
        <v>241</v>
      </c>
      <c r="L47" s="194" t="s">
        <v>638</v>
      </c>
      <c r="M47" s="194"/>
      <c r="N47" s="196"/>
      <c r="O47" s="196"/>
      <c r="P47" s="196"/>
      <c r="Q47" s="196"/>
      <c r="R47" s="196"/>
      <c r="S47" s="196"/>
      <c r="T47" s="196"/>
      <c r="U47" s="196"/>
      <c r="V47" s="196"/>
      <c r="W47" s="196"/>
      <c r="X47" s="196"/>
      <c r="Y47" s="196"/>
      <c r="Z47" s="196"/>
      <c r="AA47" s="196"/>
      <c r="AB47" s="197"/>
      <c r="AC47" s="197"/>
      <c r="AD47" s="197"/>
      <c r="AE47" s="197"/>
      <c r="AF47" s="197"/>
      <c r="AG47" s="197"/>
      <c r="AH47" s="197"/>
      <c r="AI47" s="197"/>
      <c r="AJ47" s="197"/>
      <c r="AK47" s="197"/>
      <c r="AL47" s="197"/>
      <c r="AM47" s="198" t="str">
        <f aca="false">IF($A45="","",IF(OR($N45="Yes",$S45="Yes",$X45="Yes",$AC45="Yes",$AH45="Yes"),"Yes","No"))</f>
        <v>No</v>
      </c>
      <c r="AN47" s="198" t="str">
        <f aca="false">IF($A45="","",IFERROR(IF($AI45&lt;&gt;"",$AI45,IF($AD45&lt;&gt;"",$AD45,IF($Y45&lt;&gt;"",$Y45,IF($T45&lt;&gt;"",$T45,IF($O45&lt;&gt;"",$O45,""))))),""))</f>
        <v/>
      </c>
      <c r="AO47" s="198" t="str">
        <f aca="false">IFERROR(IF($AJ45&lt;&gt;"",$AJ45,IF($AE45&lt;&gt;"",$AE45,IF($Z45&lt;&gt;"",$Z45,IF($U45&lt;&gt;"",$U45,IF($P45&lt;&gt;"",$P45,""))))),"")</f>
        <v/>
      </c>
      <c r="AP47" s="199" t="s">
        <v>675</v>
      </c>
    </row>
    <row r="48" customFormat="false" ht="15.75" hidden="false" customHeight="true" outlineLevel="0" collapsed="false">
      <c r="A48" s="194" t="str">
        <f aca="false">IF(C48="","",$C$2&amp;"."&amp;COUNTA($C$8:C48)&amp;"")</f>
        <v>TC_04.35</v>
      </c>
      <c r="B48" s="194" t="s">
        <v>535</v>
      </c>
      <c r="C48" s="194" t="s">
        <v>676</v>
      </c>
      <c r="D48" s="194" t="s">
        <v>40</v>
      </c>
      <c r="E48" s="194" t="s">
        <v>157</v>
      </c>
      <c r="F48" s="195" t="s">
        <v>1187</v>
      </c>
      <c r="G48" s="195" t="s">
        <v>1188</v>
      </c>
      <c r="H48" s="195" t="s">
        <v>1189</v>
      </c>
      <c r="I48" s="195" t="s">
        <v>1190</v>
      </c>
      <c r="J48" s="194" t="s">
        <v>637</v>
      </c>
      <c r="K48" s="194" t="s">
        <v>241</v>
      </c>
      <c r="L48" s="194" t="s">
        <v>638</v>
      </c>
      <c r="M48" s="194"/>
      <c r="N48" s="196"/>
      <c r="O48" s="196"/>
      <c r="P48" s="196"/>
      <c r="Q48" s="196"/>
      <c r="R48" s="196"/>
      <c r="S48" s="196"/>
      <c r="T48" s="196"/>
      <c r="U48" s="196"/>
      <c r="V48" s="196"/>
      <c r="W48" s="196"/>
      <c r="X48" s="196"/>
      <c r="Y48" s="196"/>
      <c r="Z48" s="196"/>
      <c r="AA48" s="196"/>
      <c r="AB48" s="197"/>
      <c r="AC48" s="197"/>
      <c r="AD48" s="197"/>
      <c r="AE48" s="197"/>
      <c r="AF48" s="197"/>
      <c r="AG48" s="197"/>
      <c r="AH48" s="197"/>
      <c r="AI48" s="197"/>
      <c r="AJ48" s="197"/>
      <c r="AK48" s="197"/>
      <c r="AL48" s="197"/>
      <c r="AM48" s="198" t="str">
        <f aca="false">IF($A46="","",IF(OR($N46="Yes",$S46="Yes",$X46="Yes",$AC46="Yes",$AH46="Yes"),"Yes","No"))</f>
        <v/>
      </c>
      <c r="AN48" s="198" t="str">
        <f aca="false">IF($A46="","",IFERROR(IF($AI46&lt;&gt;"",$AI46,IF($AD46&lt;&gt;"",$AD46,IF($Y46&lt;&gt;"",$Y46,IF($T46&lt;&gt;"",$T46,IF($O46&lt;&gt;"",$O46,""))))),""))</f>
        <v/>
      </c>
      <c r="AO48" s="198" t="str">
        <f aca="false">IFERROR(IF($AJ46&lt;&gt;"",$AJ46,IF($AE46&lt;&gt;"",$AE46,IF($Z46&lt;&gt;"",$Z46,IF($U46&lt;&gt;"",$U46,IF($P46&lt;&gt;"",$P46,""))))),"")</f>
        <v/>
      </c>
      <c r="AP48" s="199"/>
    </row>
    <row r="49" customFormat="false" ht="15.75" hidden="false" customHeight="true" outlineLevel="0" collapsed="false">
      <c r="A49" s="194" t="str">
        <f aca="false">IF(C49="","",$C$2&amp;"."&amp;COUNTA($C$8:C49)&amp;"")</f>
        <v>TC_04.36</v>
      </c>
      <c r="B49" s="194" t="s">
        <v>535</v>
      </c>
      <c r="C49" s="194" t="s">
        <v>676</v>
      </c>
      <c r="D49" s="194" t="s">
        <v>40</v>
      </c>
      <c r="E49" s="194" t="s">
        <v>157</v>
      </c>
      <c r="F49" s="195" t="s">
        <v>1191</v>
      </c>
      <c r="G49" s="195" t="s">
        <v>1188</v>
      </c>
      <c r="H49" s="195" t="s">
        <v>1192</v>
      </c>
      <c r="I49" s="195" t="s">
        <v>1193</v>
      </c>
      <c r="J49" s="194" t="s">
        <v>637</v>
      </c>
      <c r="K49" s="194" t="s">
        <v>241</v>
      </c>
      <c r="L49" s="194" t="s">
        <v>638</v>
      </c>
      <c r="M49" s="194"/>
      <c r="N49" s="196"/>
      <c r="O49" s="196"/>
      <c r="P49" s="196"/>
      <c r="Q49" s="196"/>
      <c r="R49" s="196"/>
      <c r="S49" s="196"/>
      <c r="T49" s="196"/>
      <c r="U49" s="196"/>
      <c r="V49" s="196"/>
      <c r="W49" s="196"/>
      <c r="X49" s="196"/>
      <c r="Y49" s="196"/>
      <c r="Z49" s="196"/>
      <c r="AA49" s="196"/>
      <c r="AB49" s="197"/>
      <c r="AC49" s="197"/>
      <c r="AD49" s="197"/>
      <c r="AE49" s="197"/>
      <c r="AF49" s="197"/>
      <c r="AG49" s="197"/>
      <c r="AH49" s="197"/>
      <c r="AI49" s="197"/>
      <c r="AJ49" s="197"/>
      <c r="AK49" s="197"/>
      <c r="AL49" s="197"/>
      <c r="AM49" s="198" t="str">
        <f aca="false">IF($A47="","",IF(OR($N47="Yes",$S47="Yes",$X47="Yes",$AC47="Yes",$AH47="Yes"),"Yes","No"))</f>
        <v>No</v>
      </c>
      <c r="AN49" s="198" t="str">
        <f aca="false">IF($A47="","",IFERROR(IF($AI47&lt;&gt;"",$AI47,IF($AD47&lt;&gt;"",$AD47,IF($Y47&lt;&gt;"",$Y47,IF($T47&lt;&gt;"",$T47,IF($O47&lt;&gt;"",$O47,""))))),""))</f>
        <v/>
      </c>
      <c r="AO49" s="198" t="str">
        <f aca="false">IFERROR(IF($AJ47&lt;&gt;"",$AJ47,IF($AE47&lt;&gt;"",$AE47,IF($Z47&lt;&gt;"",$Z47,IF($U47&lt;&gt;"",$U47,IF($P47&lt;&gt;"",$P47,""))))),"")</f>
        <v/>
      </c>
      <c r="AP49" s="199"/>
    </row>
    <row r="50" customFormat="false" ht="15.75" hidden="false" customHeight="true" outlineLevel="0" collapsed="false">
      <c r="A50" s="194" t="str">
        <f aca="false">IF(C50="","",$C$2&amp;"."&amp;COUNTA($C$8:C50)&amp;"")</f>
        <v>TC_04.37</v>
      </c>
      <c r="B50" s="194" t="s">
        <v>1182</v>
      </c>
      <c r="C50" s="194" t="s">
        <v>1064</v>
      </c>
      <c r="D50" s="194" t="s">
        <v>40</v>
      </c>
      <c r="E50" s="194" t="s">
        <v>157</v>
      </c>
      <c r="F50" s="195" t="s">
        <v>1194</v>
      </c>
      <c r="G50" s="195" t="s">
        <v>1188</v>
      </c>
      <c r="H50" s="195" t="s">
        <v>1195</v>
      </c>
      <c r="I50" s="195" t="s">
        <v>1196</v>
      </c>
      <c r="J50" s="194" t="s">
        <v>637</v>
      </c>
      <c r="K50" s="194" t="s">
        <v>241</v>
      </c>
      <c r="L50" s="194" t="s">
        <v>638</v>
      </c>
      <c r="M50" s="194"/>
      <c r="N50" s="196"/>
      <c r="O50" s="196"/>
      <c r="P50" s="196"/>
      <c r="Q50" s="196"/>
      <c r="R50" s="196"/>
      <c r="S50" s="196"/>
      <c r="T50" s="196"/>
      <c r="U50" s="196"/>
      <c r="V50" s="196"/>
      <c r="W50" s="196"/>
      <c r="X50" s="196"/>
      <c r="Y50" s="196"/>
      <c r="Z50" s="196"/>
      <c r="AA50" s="196"/>
      <c r="AB50" s="197"/>
      <c r="AC50" s="197"/>
      <c r="AD50" s="197"/>
      <c r="AE50" s="197"/>
      <c r="AF50" s="197"/>
      <c r="AG50" s="197"/>
      <c r="AH50" s="197"/>
      <c r="AI50" s="197"/>
      <c r="AJ50" s="197"/>
      <c r="AK50" s="197"/>
      <c r="AL50" s="197"/>
      <c r="AM50" s="198" t="str">
        <f aca="false">IF($A48="","",IF(OR($N48="Yes",$S48="Yes",$X48="Yes",$AC48="Yes",$AH48="Yes"),"Yes","No"))</f>
        <v>No</v>
      </c>
      <c r="AN50" s="198" t="str">
        <f aca="false">IF($A48="","",IFERROR(IF($AI48&lt;&gt;"",$AI48,IF($AD48&lt;&gt;"",$AD48,IF($Y48&lt;&gt;"",$Y48,IF($T48&lt;&gt;"",$T48,IF($O48&lt;&gt;"",$O48,""))))),""))</f>
        <v/>
      </c>
      <c r="AO50" s="198" t="str">
        <f aca="false">IFERROR(IF($AJ48&lt;&gt;"",$AJ48,IF($AE48&lt;&gt;"",$AE48,IF($Z48&lt;&gt;"",$Z48,IF($U48&lt;&gt;"",$U48,IF($P48&lt;&gt;"",$P48,""))))),"")</f>
        <v/>
      </c>
      <c r="AP50" s="199" t="s">
        <v>1197</v>
      </c>
    </row>
    <row r="51" customFormat="false" ht="15.75" hidden="false" customHeight="true" outlineLevel="0" collapsed="false">
      <c r="A51" s="194" t="str">
        <f aca="false">IF(C51="","",$C$2&amp;"."&amp;COUNTA($C$8:C51)&amp;"")</f>
        <v>TC_04.38</v>
      </c>
      <c r="B51" s="194" t="s">
        <v>1182</v>
      </c>
      <c r="C51" s="194" t="s">
        <v>1064</v>
      </c>
      <c r="D51" s="194" t="s">
        <v>40</v>
      </c>
      <c r="E51" s="194" t="s">
        <v>157</v>
      </c>
      <c r="F51" s="195" t="s">
        <v>1198</v>
      </c>
      <c r="G51" s="195" t="s">
        <v>1188</v>
      </c>
      <c r="H51" s="195" t="s">
        <v>1199</v>
      </c>
      <c r="I51" s="195" t="s">
        <v>1200</v>
      </c>
      <c r="J51" s="194" t="s">
        <v>637</v>
      </c>
      <c r="K51" s="194" t="s">
        <v>241</v>
      </c>
      <c r="L51" s="194" t="s">
        <v>638</v>
      </c>
      <c r="M51" s="194"/>
      <c r="N51" s="196"/>
      <c r="O51" s="196"/>
      <c r="P51" s="196"/>
      <c r="Q51" s="196"/>
      <c r="R51" s="196"/>
      <c r="S51" s="196"/>
      <c r="T51" s="196"/>
      <c r="U51" s="196"/>
      <c r="V51" s="196"/>
      <c r="W51" s="196"/>
      <c r="X51" s="196"/>
      <c r="Y51" s="196"/>
      <c r="Z51" s="196"/>
      <c r="AA51" s="196"/>
      <c r="AB51" s="197"/>
      <c r="AC51" s="197"/>
      <c r="AD51" s="197"/>
      <c r="AE51" s="197"/>
      <c r="AF51" s="197"/>
      <c r="AG51" s="197"/>
      <c r="AH51" s="197"/>
      <c r="AI51" s="197"/>
      <c r="AJ51" s="197"/>
      <c r="AK51" s="197"/>
      <c r="AL51" s="197"/>
      <c r="AM51" s="198" t="str">
        <f aca="false">IF($A49="","",IF(OR($N49="Yes",$S49="Yes",$X49="Yes",$AC49="Yes",$AH49="Yes"),"Yes","No"))</f>
        <v>No</v>
      </c>
      <c r="AN51" s="198" t="str">
        <f aca="false">IF($A49="","",IFERROR(IF($AI49&lt;&gt;"",$AI49,IF($AD49&lt;&gt;"",$AD49,IF($Y49&lt;&gt;"",$Y49,IF($T49&lt;&gt;"",$T49,IF($O49&lt;&gt;"",$O49,""))))),""))</f>
        <v/>
      </c>
      <c r="AO51" s="198" t="str">
        <f aca="false">IFERROR(IF($AJ49&lt;&gt;"",$AJ49,IF($AE49&lt;&gt;"",$AE49,IF($Z49&lt;&gt;"",$Z49,IF($U49&lt;&gt;"",$U49,IF($P49&lt;&gt;"",$P49,""))))),"")</f>
        <v/>
      </c>
      <c r="AP51" s="199" t="s">
        <v>1201</v>
      </c>
    </row>
    <row r="52" customFormat="false" ht="15.75" hidden="false" customHeight="true" outlineLevel="0" collapsed="false">
      <c r="A52" s="194" t="str">
        <f aca="false">IF(C52="","",$C$2&amp;"."&amp;COUNTA($C$8:C52)&amp;"")</f>
        <v>TC_04.39</v>
      </c>
      <c r="B52" s="194" t="s">
        <v>1182</v>
      </c>
      <c r="C52" s="194" t="s">
        <v>1064</v>
      </c>
      <c r="D52" s="194" t="s">
        <v>40</v>
      </c>
      <c r="E52" s="194" t="s">
        <v>157</v>
      </c>
      <c r="F52" s="195" t="s">
        <v>1202</v>
      </c>
      <c r="G52" s="195" t="s">
        <v>1188</v>
      </c>
      <c r="H52" s="195" t="s">
        <v>1203</v>
      </c>
      <c r="I52" s="195" t="s">
        <v>1204</v>
      </c>
      <c r="J52" s="194" t="s">
        <v>637</v>
      </c>
      <c r="K52" s="194" t="s">
        <v>241</v>
      </c>
      <c r="L52" s="194" t="s">
        <v>638</v>
      </c>
      <c r="M52" s="194"/>
      <c r="N52" s="196"/>
      <c r="O52" s="196"/>
      <c r="P52" s="196"/>
      <c r="Q52" s="196"/>
      <c r="R52" s="196"/>
      <c r="S52" s="196"/>
      <c r="T52" s="196"/>
      <c r="U52" s="196"/>
      <c r="V52" s="196"/>
      <c r="W52" s="196"/>
      <c r="X52" s="196"/>
      <c r="Y52" s="196"/>
      <c r="Z52" s="196"/>
      <c r="AA52" s="196"/>
      <c r="AB52" s="197"/>
      <c r="AC52" s="197"/>
      <c r="AD52" s="197"/>
      <c r="AE52" s="197"/>
      <c r="AF52" s="197"/>
      <c r="AG52" s="197"/>
      <c r="AH52" s="197"/>
      <c r="AI52" s="197"/>
      <c r="AJ52" s="197"/>
      <c r="AK52" s="197"/>
      <c r="AL52" s="197"/>
      <c r="AM52" s="198" t="str">
        <f aca="false">IF($A50="","",IF(OR($N50="Yes",$S50="Yes",$X50="Yes",$AC50="Yes",$AH50="Yes"),"Yes","No"))</f>
        <v>No</v>
      </c>
      <c r="AN52" s="198" t="str">
        <f aca="false">IF($A50="","",IFERROR(IF($AI50&lt;&gt;"",$AI50,IF($AD50&lt;&gt;"",$AD50,IF($Y50&lt;&gt;"",$Y50,IF($T50&lt;&gt;"",$T50,IF($O50&lt;&gt;"",$O50,""))))),""))</f>
        <v/>
      </c>
      <c r="AO52" s="198" t="str">
        <f aca="false">IFERROR(IF($AJ50&lt;&gt;"",$AJ50,IF($AE50&lt;&gt;"",$AE50,IF($Z50&lt;&gt;"",$Z50,IF($U50&lt;&gt;"",$U50,IF($P50&lt;&gt;"",$P50,""))))),"")</f>
        <v/>
      </c>
      <c r="AP52" s="199" t="s">
        <v>1205</v>
      </c>
    </row>
    <row r="53" customFormat="false" ht="15.75" hidden="false" customHeight="true" outlineLevel="0" collapsed="false">
      <c r="A53" s="194" t="str">
        <f aca="false">IF(C53="","",$C$2&amp;"."&amp;COUNTA($C$8:C53)&amp;"")</f>
        <v>TC_04.40</v>
      </c>
      <c r="B53" s="194" t="s">
        <v>1182</v>
      </c>
      <c r="C53" s="194" t="s">
        <v>1064</v>
      </c>
      <c r="D53" s="194" t="s">
        <v>40</v>
      </c>
      <c r="E53" s="194" t="s">
        <v>157</v>
      </c>
      <c r="F53" s="195" t="s">
        <v>1206</v>
      </c>
      <c r="G53" s="195" t="s">
        <v>1188</v>
      </c>
      <c r="H53" s="195" t="s">
        <v>1207</v>
      </c>
      <c r="I53" s="195" t="s">
        <v>1208</v>
      </c>
      <c r="J53" s="194" t="s">
        <v>637</v>
      </c>
      <c r="K53" s="194" t="s">
        <v>241</v>
      </c>
      <c r="L53" s="194" t="s">
        <v>638</v>
      </c>
      <c r="M53" s="194"/>
      <c r="N53" s="196"/>
      <c r="O53" s="196"/>
      <c r="P53" s="196"/>
      <c r="Q53" s="196"/>
      <c r="R53" s="196"/>
      <c r="S53" s="196"/>
      <c r="T53" s="196"/>
      <c r="U53" s="196"/>
      <c r="V53" s="196"/>
      <c r="W53" s="196"/>
      <c r="X53" s="196"/>
      <c r="Y53" s="196"/>
      <c r="Z53" s="196"/>
      <c r="AA53" s="196"/>
      <c r="AB53" s="197"/>
      <c r="AC53" s="197"/>
      <c r="AD53" s="197"/>
      <c r="AE53" s="197"/>
      <c r="AF53" s="197"/>
      <c r="AG53" s="197"/>
      <c r="AH53" s="197"/>
      <c r="AI53" s="197"/>
      <c r="AJ53" s="197"/>
      <c r="AK53" s="197"/>
      <c r="AL53" s="197"/>
      <c r="AM53" s="198" t="str">
        <f aca="false">IF($A51="","",IF(OR($N51="Yes",$S51="Yes",$X51="Yes",$AC51="Yes",$AH51="Yes"),"Yes","No"))</f>
        <v>No</v>
      </c>
      <c r="AN53" s="198" t="str">
        <f aca="false">IF($A51="","",IFERROR(IF($AI51&lt;&gt;"",$AI51,IF($AD51&lt;&gt;"",$AD51,IF($Y51&lt;&gt;"",$Y51,IF($T51&lt;&gt;"",$T51,IF($O51&lt;&gt;"",$O51,""))))),""))</f>
        <v/>
      </c>
      <c r="AO53" s="198" t="str">
        <f aca="false">IFERROR(IF($AJ51&lt;&gt;"",$AJ51,IF($AE51&lt;&gt;"",$AE51,IF($Z51&lt;&gt;"",$Z51,IF($U51&lt;&gt;"",$U51,IF($P51&lt;&gt;"",$P51,""))))),"")</f>
        <v/>
      </c>
      <c r="AP53" s="199" t="s">
        <v>1209</v>
      </c>
    </row>
    <row r="54" customFormat="false" ht="15.75" hidden="false" customHeight="true" outlineLevel="0" collapsed="false">
      <c r="A54" s="194" t="str">
        <f aca="false">IF(C54="","",$C$2&amp;"."&amp;COUNTA($C$8:C54)&amp;"")</f>
        <v>TC_04.41</v>
      </c>
      <c r="B54" s="194" t="s">
        <v>1182</v>
      </c>
      <c r="C54" s="194" t="s">
        <v>1064</v>
      </c>
      <c r="D54" s="194" t="s">
        <v>40</v>
      </c>
      <c r="E54" s="194" t="s">
        <v>157</v>
      </c>
      <c r="F54" s="195" t="s">
        <v>1210</v>
      </c>
      <c r="G54" s="195" t="s">
        <v>1188</v>
      </c>
      <c r="H54" s="195" t="s">
        <v>1211</v>
      </c>
      <c r="I54" s="195" t="s">
        <v>1212</v>
      </c>
      <c r="J54" s="194" t="s">
        <v>637</v>
      </c>
      <c r="K54" s="194" t="s">
        <v>241</v>
      </c>
      <c r="L54" s="194" t="s">
        <v>638</v>
      </c>
      <c r="M54" s="194"/>
      <c r="N54" s="196"/>
      <c r="O54" s="196"/>
      <c r="P54" s="196"/>
      <c r="Q54" s="196"/>
      <c r="R54" s="196"/>
      <c r="S54" s="196"/>
      <c r="T54" s="196"/>
      <c r="U54" s="196"/>
      <c r="V54" s="196"/>
      <c r="W54" s="196"/>
      <c r="X54" s="196"/>
      <c r="Y54" s="196"/>
      <c r="Z54" s="196"/>
      <c r="AA54" s="196"/>
      <c r="AB54" s="197"/>
      <c r="AC54" s="197"/>
      <c r="AD54" s="197"/>
      <c r="AE54" s="197"/>
      <c r="AF54" s="197"/>
      <c r="AG54" s="197"/>
      <c r="AH54" s="197"/>
      <c r="AI54" s="197"/>
      <c r="AJ54" s="197"/>
      <c r="AK54" s="197"/>
      <c r="AL54" s="197"/>
      <c r="AM54" s="198" t="str">
        <f aca="false">IF($A52="","",IF(OR($N52="Yes",$S52="Yes",$X52="Yes",$AC52="Yes",$AH52="Yes"),"Yes","No"))</f>
        <v>No</v>
      </c>
      <c r="AN54" s="198" t="str">
        <f aca="false">IF($A52="","",IFERROR(IF($AI52&lt;&gt;"",$AI52,IF($AD52&lt;&gt;"",$AD52,IF($Y52&lt;&gt;"",$Y52,IF($T52&lt;&gt;"",$T52,IF($O52&lt;&gt;"",$O52,""))))),""))</f>
        <v/>
      </c>
      <c r="AO54" s="198" t="str">
        <f aca="false">IFERROR(IF($AJ52&lt;&gt;"",$AJ52,IF($AE52&lt;&gt;"",$AE52,IF($Z52&lt;&gt;"",$Z52,IF($U52&lt;&gt;"",$U52,IF($P52&lt;&gt;"",$P52,""))))),"")</f>
        <v/>
      </c>
      <c r="AP54" s="199" t="s">
        <v>1213</v>
      </c>
    </row>
    <row r="55" customFormat="false" ht="15.75" hidden="false" customHeight="true" outlineLevel="0" collapsed="false">
      <c r="A55" s="194" t="str">
        <f aca="false">IF(C55="","",$C$2&amp;"."&amp;COUNTA($C$8:C55)&amp;"")</f>
        <v>TC_04.42</v>
      </c>
      <c r="B55" s="194" t="s">
        <v>1182</v>
      </c>
      <c r="C55" s="194" t="s">
        <v>1064</v>
      </c>
      <c r="D55" s="194" t="s">
        <v>40</v>
      </c>
      <c r="E55" s="194" t="s">
        <v>157</v>
      </c>
      <c r="F55" s="195" t="s">
        <v>1214</v>
      </c>
      <c r="G55" s="195" t="s">
        <v>1188</v>
      </c>
      <c r="H55" s="195" t="s">
        <v>1215</v>
      </c>
      <c r="I55" s="195" t="s">
        <v>1216</v>
      </c>
      <c r="J55" s="194" t="s">
        <v>637</v>
      </c>
      <c r="K55" s="194" t="s">
        <v>241</v>
      </c>
      <c r="L55" s="194" t="s">
        <v>638</v>
      </c>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t="str">
        <f aca="false">IF($A53="","",IF(OR($N53="Yes",$S53="Yes",$X53="Yes",$AC53="Yes",$AH53="Yes"),"Yes","No"))</f>
        <v>No</v>
      </c>
      <c r="AN55" s="198" t="str">
        <f aca="false">IF($A53="","",IFERROR(IF($AI53&lt;&gt;"",$AI53,IF($AD53&lt;&gt;"",$AD53,IF($Y53&lt;&gt;"",$Y53,IF($T53&lt;&gt;"",$T53,IF($O53&lt;&gt;"",$O53,""))))),""))</f>
        <v/>
      </c>
      <c r="AO55" s="198" t="str">
        <f aca="false">IFERROR(IF($AJ53&lt;&gt;"",$AJ53,IF($AE53&lt;&gt;"",$AE53,IF($Z53&lt;&gt;"",$Z53,IF($U53&lt;&gt;"",$U53,IF($P53&lt;&gt;"",$P53,""))))),"")</f>
        <v/>
      </c>
      <c r="AP55" s="199" t="s">
        <v>1217</v>
      </c>
    </row>
    <row r="56" customFormat="false" ht="15.75" hidden="false" customHeight="true" outlineLevel="0" collapsed="false">
      <c r="A56" s="194" t="str">
        <f aca="false">IF(C56="","",$C$2&amp;"."&amp;COUNTA($C$8:C56)&amp;"")</f>
        <v>TC_04.43</v>
      </c>
      <c r="B56" s="194" t="s">
        <v>1182</v>
      </c>
      <c r="C56" s="194" t="s">
        <v>1064</v>
      </c>
      <c r="D56" s="194" t="s">
        <v>40</v>
      </c>
      <c r="E56" s="194" t="s">
        <v>157</v>
      </c>
      <c r="F56" s="195" t="s">
        <v>1218</v>
      </c>
      <c r="G56" s="195" t="s">
        <v>1188</v>
      </c>
      <c r="H56" s="195" t="s">
        <v>1219</v>
      </c>
      <c r="I56" s="195" t="s">
        <v>1220</v>
      </c>
      <c r="J56" s="194" t="s">
        <v>637</v>
      </c>
      <c r="K56" s="194" t="s">
        <v>241</v>
      </c>
      <c r="L56" s="194" t="s">
        <v>638</v>
      </c>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t="str">
        <f aca="false">IF($A54="","",IF(OR($N54="Yes",$S54="Yes",$X54="Yes",$AC54="Yes",$AH54="Yes"),"Yes","No"))</f>
        <v>No</v>
      </c>
      <c r="AN56" s="198" t="str">
        <f aca="false">IF($A54="","",IFERROR(IF($AI54&lt;&gt;"",$AI54,IF($AD54&lt;&gt;"",$AD54,IF($Y54&lt;&gt;"",$Y54,IF($T54&lt;&gt;"",$T54,IF($O54&lt;&gt;"",$O54,""))))),""))</f>
        <v/>
      </c>
      <c r="AO56" s="198" t="str">
        <f aca="false">IFERROR(IF($AJ54&lt;&gt;"",$AJ54,IF($AE54&lt;&gt;"",$AE54,IF($Z54&lt;&gt;"",$Z54,IF($U54&lt;&gt;"",$U54,IF($P54&lt;&gt;"",$P54,""))))),"")</f>
        <v/>
      </c>
      <c r="AP56" s="199" t="s">
        <v>1221</v>
      </c>
    </row>
    <row r="57" customFormat="false" ht="15.75" hidden="false" customHeight="true" outlineLevel="0" collapsed="false">
      <c r="A57" s="194" t="str">
        <f aca="false">IF(C57="","",$C$2&amp;"."&amp;COUNTA($C$8:C57)&amp;"")</f>
        <v>TC_04.44</v>
      </c>
      <c r="B57" s="194" t="s">
        <v>1182</v>
      </c>
      <c r="C57" s="194" t="s">
        <v>1064</v>
      </c>
      <c r="D57" s="194" t="s">
        <v>40</v>
      </c>
      <c r="E57" s="194" t="s">
        <v>157</v>
      </c>
      <c r="F57" s="195" t="s">
        <v>1222</v>
      </c>
      <c r="G57" s="195" t="s">
        <v>1188</v>
      </c>
      <c r="H57" s="195" t="s">
        <v>1223</v>
      </c>
      <c r="I57" s="195" t="s">
        <v>1224</v>
      </c>
      <c r="J57" s="194" t="s">
        <v>637</v>
      </c>
      <c r="K57" s="194" t="s">
        <v>241</v>
      </c>
      <c r="L57" s="194" t="s">
        <v>638</v>
      </c>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t="str">
        <f aca="false">IF($A55="","",IF(OR($N55="Yes",$S55="Yes",$X55="Yes",$AC55="Yes",$AH55="Yes"),"Yes","No"))</f>
        <v>No</v>
      </c>
      <c r="AN57" s="198" t="str">
        <f aca="false">IF($A55="","",IFERROR(IF($AI55&lt;&gt;"",$AI55,IF($AD55&lt;&gt;"",$AD55,IF($Y55&lt;&gt;"",$Y55,IF($T55&lt;&gt;"",$T55,IF($O55&lt;&gt;"",$O55,""))))),""))</f>
        <v/>
      </c>
      <c r="AO57" s="198" t="str">
        <f aca="false">IFERROR(IF($AJ55&lt;&gt;"",$AJ55,IF($AE55&lt;&gt;"",$AE55,IF($Z55&lt;&gt;"",$Z55,IF($U55&lt;&gt;"",$U55,IF($P55&lt;&gt;"",$P55,""))))),"")</f>
        <v/>
      </c>
      <c r="AP57" s="199" t="s">
        <v>1225</v>
      </c>
    </row>
    <row r="58" customFormat="false" ht="15.75" hidden="false" customHeight="true" outlineLevel="0" collapsed="false">
      <c r="A58" s="194" t="str">
        <f aca="false">IF(C58="","",$C$2&amp;"."&amp;COUNTA($C$8:C58)&amp;"")</f>
        <v>TC_04.45</v>
      </c>
      <c r="B58" s="194" t="s">
        <v>1182</v>
      </c>
      <c r="C58" s="194" t="s">
        <v>1064</v>
      </c>
      <c r="D58" s="194" t="s">
        <v>40</v>
      </c>
      <c r="E58" s="194" t="s">
        <v>157</v>
      </c>
      <c r="F58" s="195" t="s">
        <v>1226</v>
      </c>
      <c r="G58" s="195" t="s">
        <v>1188</v>
      </c>
      <c r="H58" s="195" t="s">
        <v>1227</v>
      </c>
      <c r="I58" s="195" t="s">
        <v>1204</v>
      </c>
      <c r="J58" s="194" t="s">
        <v>637</v>
      </c>
      <c r="K58" s="194" t="s">
        <v>241</v>
      </c>
      <c r="L58" s="194" t="s">
        <v>638</v>
      </c>
      <c r="M58" s="194"/>
      <c r="N58" s="196"/>
      <c r="O58" s="196"/>
      <c r="P58" s="196"/>
      <c r="Q58" s="196"/>
      <c r="R58" s="196"/>
      <c r="S58" s="196"/>
      <c r="T58" s="196"/>
      <c r="U58" s="196"/>
      <c r="V58" s="196"/>
      <c r="W58" s="196"/>
      <c r="X58" s="196"/>
      <c r="Y58" s="196"/>
      <c r="Z58" s="196"/>
      <c r="AA58" s="196"/>
      <c r="AB58" s="197"/>
      <c r="AC58" s="197"/>
      <c r="AD58" s="197"/>
      <c r="AE58" s="197"/>
      <c r="AF58" s="197"/>
      <c r="AG58" s="197"/>
      <c r="AH58" s="197"/>
      <c r="AI58" s="197"/>
      <c r="AJ58" s="197"/>
      <c r="AK58" s="197"/>
      <c r="AL58" s="197"/>
      <c r="AM58" s="198" t="str">
        <f aca="false">IF($A56="","",IF(OR($N56="Yes",$S56="Yes",$X56="Yes",$AC56="Yes",$AH56="Yes"),"Yes","No"))</f>
        <v>No</v>
      </c>
      <c r="AN58" s="198" t="str">
        <f aca="false">IF($A56="","",IFERROR(IF($AI56&lt;&gt;"",$AI56,IF($AD56&lt;&gt;"",$AD56,IF($Y56&lt;&gt;"",$Y56,IF($T56&lt;&gt;"",$T56,IF($O56&lt;&gt;"",$O56,""))))),""))</f>
        <v/>
      </c>
      <c r="AO58" s="198" t="str">
        <f aca="false">IFERROR(IF($AJ56&lt;&gt;"",$AJ56,IF($AE56&lt;&gt;"",$AE56,IF($Z56&lt;&gt;"",$Z56,IF($U56&lt;&gt;"",$U56,IF($P56&lt;&gt;"",$P56,""))))),"")</f>
        <v/>
      </c>
      <c r="AP58" s="199" t="s">
        <v>1228</v>
      </c>
    </row>
    <row r="59" customFormat="false" ht="15.75" hidden="false" customHeight="true" outlineLevel="0" collapsed="false">
      <c r="A59" s="194" t="str">
        <f aca="false">IF(C59="","",$C$2&amp;"."&amp;COUNTA($C$8:C59)&amp;"")</f>
        <v>TC_04.46</v>
      </c>
      <c r="B59" s="194" t="s">
        <v>1182</v>
      </c>
      <c r="C59" s="194" t="s">
        <v>1064</v>
      </c>
      <c r="D59" s="194" t="s">
        <v>40</v>
      </c>
      <c r="E59" s="194" t="s">
        <v>157</v>
      </c>
      <c r="F59" s="195" t="s">
        <v>1229</v>
      </c>
      <c r="G59" s="195" t="s">
        <v>1188</v>
      </c>
      <c r="H59" s="195" t="s">
        <v>1230</v>
      </c>
      <c r="I59" s="195" t="s">
        <v>1231</v>
      </c>
      <c r="J59" s="194" t="s">
        <v>637</v>
      </c>
      <c r="K59" s="194" t="s">
        <v>241</v>
      </c>
      <c r="L59" s="194" t="s">
        <v>638</v>
      </c>
      <c r="M59" s="194"/>
      <c r="N59" s="196"/>
      <c r="O59" s="196"/>
      <c r="P59" s="196"/>
      <c r="Q59" s="196"/>
      <c r="R59" s="196"/>
      <c r="S59" s="196"/>
      <c r="T59" s="196"/>
      <c r="U59" s="196"/>
      <c r="V59" s="196"/>
      <c r="W59" s="196"/>
      <c r="X59" s="196"/>
      <c r="Y59" s="196"/>
      <c r="Z59" s="196"/>
      <c r="AA59" s="196"/>
      <c r="AB59" s="197"/>
      <c r="AC59" s="197"/>
      <c r="AD59" s="197"/>
      <c r="AE59" s="197"/>
      <c r="AF59" s="197"/>
      <c r="AG59" s="197"/>
      <c r="AH59" s="197"/>
      <c r="AI59" s="197"/>
      <c r="AJ59" s="197"/>
      <c r="AK59" s="197"/>
      <c r="AL59" s="197"/>
      <c r="AM59" s="198" t="str">
        <f aca="false">IF($A57="","",IF(OR($N57="Yes",$S57="Yes",$X57="Yes",$AC57="Yes",$AH57="Yes"),"Yes","No"))</f>
        <v>No</v>
      </c>
      <c r="AN59" s="198" t="str">
        <f aca="false">IF($A57="","",IFERROR(IF($AI57&lt;&gt;"",$AI57,IF($AD57&lt;&gt;"",$AD57,IF($Y57&lt;&gt;"",$Y57,IF($T57&lt;&gt;"",$T57,IF($O57&lt;&gt;"",$O57,""))))),""))</f>
        <v/>
      </c>
      <c r="AO59" s="198" t="str">
        <f aca="false">IFERROR(IF($AJ57&lt;&gt;"",$AJ57,IF($AE57&lt;&gt;"",$AE57,IF($Z57&lt;&gt;"",$Z57,IF($U57&lt;&gt;"",$U57,IF($P57&lt;&gt;"",$P57,""))))),"")</f>
        <v/>
      </c>
      <c r="AP59" s="199" t="s">
        <v>1232</v>
      </c>
    </row>
    <row r="60" customFormat="false" ht="15.75" hidden="false" customHeight="true" outlineLevel="0" collapsed="false">
      <c r="A60" s="194" t="str">
        <f aca="false">IF(C60="","",$C$2&amp;"."&amp;COUNTA($C$8:C60)&amp;"")</f>
        <v>TC_04.47</v>
      </c>
      <c r="B60" s="194" t="s">
        <v>520</v>
      </c>
      <c r="C60" s="194" t="s">
        <v>504</v>
      </c>
      <c r="D60" s="194" t="s">
        <v>40</v>
      </c>
      <c r="E60" s="194" t="s">
        <v>157</v>
      </c>
      <c r="F60" s="195" t="s">
        <v>1233</v>
      </c>
      <c r="G60" s="195" t="s">
        <v>1234</v>
      </c>
      <c r="H60" s="195" t="s">
        <v>1235</v>
      </c>
      <c r="I60" s="195" t="s">
        <v>1236</v>
      </c>
      <c r="J60" s="194" t="s">
        <v>637</v>
      </c>
      <c r="K60" s="194" t="s">
        <v>241</v>
      </c>
      <c r="L60" s="194" t="s">
        <v>638</v>
      </c>
      <c r="M60" s="194"/>
      <c r="N60" s="196"/>
      <c r="O60" s="196"/>
      <c r="P60" s="196"/>
      <c r="Q60" s="196"/>
      <c r="R60" s="196"/>
      <c r="S60" s="196"/>
      <c r="T60" s="196"/>
      <c r="U60" s="196"/>
      <c r="V60" s="196"/>
      <c r="W60" s="196"/>
      <c r="X60" s="196"/>
      <c r="Y60" s="196"/>
      <c r="Z60" s="196"/>
      <c r="AA60" s="196"/>
      <c r="AB60" s="197"/>
      <c r="AC60" s="197"/>
      <c r="AD60" s="197"/>
      <c r="AE60" s="197"/>
      <c r="AF60" s="197"/>
      <c r="AG60" s="197"/>
      <c r="AH60" s="197"/>
      <c r="AI60" s="197"/>
      <c r="AJ60" s="197"/>
      <c r="AK60" s="197"/>
      <c r="AL60" s="197"/>
      <c r="AM60" s="198" t="str">
        <f aca="false">IF($A58="","",IF(OR($N58="Yes",$S58="Yes",$X58="Yes",$AC58="Yes",$AH58="Yes"),"Yes","No"))</f>
        <v>No</v>
      </c>
      <c r="AN60" s="198" t="str">
        <f aca="false">IF($A58="","",IFERROR(IF($AI58&lt;&gt;"",$AI58,IF($AD58&lt;&gt;"",$AD58,IF($Y58&lt;&gt;"",$Y58,IF($T58&lt;&gt;"",$T58,IF($O58&lt;&gt;"",$O58,""))))),""))</f>
        <v/>
      </c>
      <c r="AO60" s="198" t="str">
        <f aca="false">IFERROR(IF($AJ58&lt;&gt;"",$AJ58,IF($AE58&lt;&gt;"",$AE58,IF($Z58&lt;&gt;"",$Z58,IF($U58&lt;&gt;"",$U58,IF($P58&lt;&gt;"",$P58,""))))),"")</f>
        <v/>
      </c>
      <c r="AP60" s="199" t="s">
        <v>1237</v>
      </c>
    </row>
    <row r="61" customFormat="false" ht="15.75" hidden="false" customHeight="true" outlineLevel="0" collapsed="false">
      <c r="A61" s="194" t="str">
        <f aca="false">IF(C61="","",$C$2&amp;"."&amp;COUNTA($C$8:C61)&amp;"")</f>
        <v>TC_04.48</v>
      </c>
      <c r="B61" s="194" t="s">
        <v>544</v>
      </c>
      <c r="C61" s="194" t="s">
        <v>1064</v>
      </c>
      <c r="D61" s="194" t="s">
        <v>40</v>
      </c>
      <c r="E61" s="194" t="s">
        <v>158</v>
      </c>
      <c r="F61" s="195" t="s">
        <v>1238</v>
      </c>
      <c r="G61" s="195" t="s">
        <v>1188</v>
      </c>
      <c r="H61" s="195" t="s">
        <v>1239</v>
      </c>
      <c r="I61" s="195" t="s">
        <v>1240</v>
      </c>
      <c r="J61" s="194" t="s">
        <v>637</v>
      </c>
      <c r="K61" s="194" t="s">
        <v>241</v>
      </c>
      <c r="L61" s="194" t="s">
        <v>638</v>
      </c>
      <c r="M61" s="194"/>
      <c r="N61" s="196"/>
      <c r="O61" s="196"/>
      <c r="P61" s="196"/>
      <c r="Q61" s="196"/>
      <c r="R61" s="196"/>
      <c r="S61" s="196"/>
      <c r="T61" s="196"/>
      <c r="U61" s="196"/>
      <c r="V61" s="196"/>
      <c r="W61" s="196"/>
      <c r="X61" s="196"/>
      <c r="Y61" s="196"/>
      <c r="Z61" s="196"/>
      <c r="AA61" s="196"/>
      <c r="AB61" s="197"/>
      <c r="AC61" s="197"/>
      <c r="AD61" s="197"/>
      <c r="AE61" s="197"/>
      <c r="AF61" s="197"/>
      <c r="AG61" s="197"/>
      <c r="AH61" s="197"/>
      <c r="AI61" s="197"/>
      <c r="AJ61" s="197"/>
      <c r="AK61" s="197"/>
      <c r="AL61" s="197"/>
      <c r="AM61" s="198" t="str">
        <f aca="false">IF($A59="","",IF(OR($N59="Yes",$S59="Yes",$X59="Yes",$AC59="Yes",$AH59="Yes"),"Yes","No"))</f>
        <v>No</v>
      </c>
      <c r="AN61" s="198" t="str">
        <f aca="false">IF($A59="","",IFERROR(IF($AI59&lt;&gt;"",$AI59,IF($AD59&lt;&gt;"",$AD59,IF($Y59&lt;&gt;"",$Y59,IF($T59&lt;&gt;"",$T59,IF($O59&lt;&gt;"",$O59,""))))),""))</f>
        <v/>
      </c>
      <c r="AO61" s="198" t="str">
        <f aca="false">IFERROR(IF($AJ59&lt;&gt;"",$AJ59,IF($AE59&lt;&gt;"",$AE59,IF($Z59&lt;&gt;"",$Z59,IF($U59&lt;&gt;"",$U59,IF($P59&lt;&gt;"",$P59,""))))),"")</f>
        <v/>
      </c>
      <c r="AP61" s="199" t="s">
        <v>1241</v>
      </c>
    </row>
    <row r="62" customFormat="false" ht="15.75" hidden="false" customHeight="true" outlineLevel="0" collapsed="false">
      <c r="A62" s="194" t="str">
        <f aca="false">IF(C62="","",$C$2&amp;"."&amp;COUNTA($C$8:C62)&amp;"")</f>
        <v>TC_04.49</v>
      </c>
      <c r="B62" s="194" t="s">
        <v>544</v>
      </c>
      <c r="C62" s="194" t="s">
        <v>1064</v>
      </c>
      <c r="D62" s="194" t="s">
        <v>40</v>
      </c>
      <c r="E62" s="194" t="s">
        <v>158</v>
      </c>
      <c r="F62" s="195" t="s">
        <v>1242</v>
      </c>
      <c r="G62" s="195" t="s">
        <v>1188</v>
      </c>
      <c r="H62" s="195" t="s">
        <v>1243</v>
      </c>
      <c r="I62" s="195" t="s">
        <v>1244</v>
      </c>
      <c r="J62" s="194" t="s">
        <v>637</v>
      </c>
      <c r="K62" s="194" t="s">
        <v>241</v>
      </c>
      <c r="L62" s="194" t="s">
        <v>638</v>
      </c>
      <c r="M62" s="194"/>
      <c r="N62" s="196"/>
      <c r="O62" s="196"/>
      <c r="P62" s="196"/>
      <c r="Q62" s="196"/>
      <c r="R62" s="196"/>
      <c r="S62" s="196"/>
      <c r="T62" s="196"/>
      <c r="U62" s="196"/>
      <c r="V62" s="196"/>
      <c r="W62" s="196"/>
      <c r="X62" s="196"/>
      <c r="Y62" s="196"/>
      <c r="Z62" s="196"/>
      <c r="AA62" s="196"/>
      <c r="AB62" s="197"/>
      <c r="AC62" s="197"/>
      <c r="AD62" s="197"/>
      <c r="AE62" s="197"/>
      <c r="AF62" s="197"/>
      <c r="AG62" s="197"/>
      <c r="AH62" s="197"/>
      <c r="AI62" s="197"/>
      <c r="AJ62" s="197"/>
      <c r="AK62" s="197"/>
      <c r="AL62" s="197"/>
      <c r="AM62" s="198" t="str">
        <f aca="false">IF($A60="","",IF(OR($N60="Yes",$S60="Yes",$X60="Yes",$AC60="Yes",$AH60="Yes"),"Yes","No"))</f>
        <v>No</v>
      </c>
      <c r="AN62" s="198" t="str">
        <f aca="false">IF($A60="","",IFERROR(IF($AI60&lt;&gt;"",$AI60,IF($AD60&lt;&gt;"",$AD60,IF($Y60&lt;&gt;"",$Y60,IF($T60&lt;&gt;"",$T60,IF($O60&lt;&gt;"",$O60,""))))),""))</f>
        <v/>
      </c>
      <c r="AO62" s="198" t="str">
        <f aca="false">IFERROR(IF($AJ60&lt;&gt;"",$AJ60,IF($AE60&lt;&gt;"",$AE60,IF($Z60&lt;&gt;"",$Z60,IF($U60&lt;&gt;"",$U60,IF($P60&lt;&gt;"",$P60,""))))),"")</f>
        <v/>
      </c>
      <c r="AP62" s="199" t="s">
        <v>1245</v>
      </c>
    </row>
    <row r="63" customFormat="false" ht="15.75" hidden="false" customHeight="true" outlineLevel="0" collapsed="false">
      <c r="A63" s="194" t="str">
        <f aca="false">IF(C63="","",$C$2&amp;"."&amp;COUNTA($C$8:C63)&amp;"")</f>
        <v>TC_04.50</v>
      </c>
      <c r="B63" s="194" t="s">
        <v>544</v>
      </c>
      <c r="C63" s="194" t="s">
        <v>1064</v>
      </c>
      <c r="D63" s="194" t="s">
        <v>40</v>
      </c>
      <c r="E63" s="194" t="s">
        <v>158</v>
      </c>
      <c r="F63" s="195" t="s">
        <v>1246</v>
      </c>
      <c r="G63" s="195" t="s">
        <v>1188</v>
      </c>
      <c r="H63" s="195" t="s">
        <v>1247</v>
      </c>
      <c r="I63" s="195" t="s">
        <v>1244</v>
      </c>
      <c r="J63" s="194" t="s">
        <v>637</v>
      </c>
      <c r="K63" s="194" t="s">
        <v>241</v>
      </c>
      <c r="L63" s="194" t="s">
        <v>638</v>
      </c>
      <c r="M63" s="194"/>
      <c r="N63" s="196"/>
      <c r="O63" s="196"/>
      <c r="P63" s="196"/>
      <c r="Q63" s="196"/>
      <c r="R63" s="196"/>
      <c r="S63" s="196"/>
      <c r="T63" s="196"/>
      <c r="U63" s="196"/>
      <c r="V63" s="196"/>
      <c r="W63" s="196"/>
      <c r="X63" s="196"/>
      <c r="Y63" s="196"/>
      <c r="Z63" s="196"/>
      <c r="AA63" s="196"/>
      <c r="AB63" s="197"/>
      <c r="AC63" s="197"/>
      <c r="AD63" s="197"/>
      <c r="AE63" s="197"/>
      <c r="AF63" s="197"/>
      <c r="AG63" s="197"/>
      <c r="AH63" s="197"/>
      <c r="AI63" s="197"/>
      <c r="AJ63" s="197"/>
      <c r="AK63" s="197"/>
      <c r="AL63" s="197"/>
      <c r="AM63" s="198" t="str">
        <f aca="false">IF($A61="","",IF(OR($N61="Yes",$S61="Yes",$X61="Yes",$AC61="Yes",$AH61="Yes"),"Yes","No"))</f>
        <v>No</v>
      </c>
      <c r="AN63" s="198" t="str">
        <f aca="false">IF($A61="","",IFERROR(IF($AI61&lt;&gt;"",$AI61,IF($AD61&lt;&gt;"",$AD61,IF($Y61&lt;&gt;"",$Y61,IF($T61&lt;&gt;"",$T61,IF($O61&lt;&gt;"",$O61,""))))),""))</f>
        <v/>
      </c>
      <c r="AO63" s="198" t="str">
        <f aca="false">IFERROR(IF($AJ61&lt;&gt;"",$AJ61,IF($AE61&lt;&gt;"",$AE61,IF($Z61&lt;&gt;"",$Z61,IF($U61&lt;&gt;"",$U61,IF($P61&lt;&gt;"",$P61,""))))),"")</f>
        <v/>
      </c>
      <c r="AP63" s="199" t="s">
        <v>1248</v>
      </c>
      <c r="AQ63" s="1"/>
    </row>
    <row r="64" customFormat="false" ht="15.75" hidden="false" customHeight="true" outlineLevel="0" collapsed="false">
      <c r="A64" s="194" t="str">
        <f aca="false">IF(C64="","",$C$2&amp;"."&amp;COUNTA($C$8:C64)&amp;"")</f>
        <v>TC_04.51</v>
      </c>
      <c r="B64" s="194" t="s">
        <v>544</v>
      </c>
      <c r="C64" s="194" t="s">
        <v>1064</v>
      </c>
      <c r="D64" s="194" t="s">
        <v>40</v>
      </c>
      <c r="E64" s="194" t="s">
        <v>158</v>
      </c>
      <c r="F64" s="195" t="s">
        <v>1249</v>
      </c>
      <c r="G64" s="195" t="s">
        <v>1188</v>
      </c>
      <c r="H64" s="195" t="s">
        <v>1250</v>
      </c>
      <c r="I64" s="195" t="s">
        <v>1244</v>
      </c>
      <c r="J64" s="194" t="s">
        <v>637</v>
      </c>
      <c r="K64" s="194" t="s">
        <v>241</v>
      </c>
      <c r="L64" s="194" t="s">
        <v>638</v>
      </c>
      <c r="M64" s="194"/>
      <c r="N64" s="196"/>
      <c r="O64" s="196"/>
      <c r="P64" s="196"/>
      <c r="Q64" s="196"/>
      <c r="R64" s="196"/>
      <c r="S64" s="196"/>
      <c r="T64" s="196"/>
      <c r="U64" s="196"/>
      <c r="V64" s="196"/>
      <c r="W64" s="196"/>
      <c r="X64" s="196"/>
      <c r="Y64" s="196"/>
      <c r="Z64" s="196"/>
      <c r="AA64" s="196"/>
      <c r="AB64" s="197"/>
      <c r="AC64" s="197"/>
      <c r="AD64" s="197"/>
      <c r="AE64" s="197"/>
      <c r="AF64" s="197"/>
      <c r="AG64" s="197"/>
      <c r="AH64" s="197"/>
      <c r="AI64" s="197"/>
      <c r="AJ64" s="197"/>
      <c r="AK64" s="197"/>
      <c r="AL64" s="197"/>
      <c r="AM64" s="198" t="str">
        <f aca="false">IF($A62="","",IF(OR($N62="Yes",$S62="Yes",$X62="Yes",$AC62="Yes",$AH62="Yes"),"Yes","No"))</f>
        <v>No</v>
      </c>
      <c r="AN64" s="198" t="str">
        <f aca="false">IF($A62="","",IFERROR(IF($AI62&lt;&gt;"",$AI62,IF($AD62&lt;&gt;"",$AD62,IF($Y62&lt;&gt;"",$Y62,IF($T62&lt;&gt;"",$T62,IF($O62&lt;&gt;"",$O62,""))))),""))</f>
        <v/>
      </c>
      <c r="AO64" s="198" t="str">
        <f aca="false">IFERROR(IF($AJ62&lt;&gt;"",$AJ62,IF($AE62&lt;&gt;"",$AE62,IF($Z62&lt;&gt;"",$Z62,IF($U62&lt;&gt;"",$U62,IF($P62&lt;&gt;"",$P62,""))))),"")</f>
        <v/>
      </c>
      <c r="AP64" s="199" t="s">
        <v>1251</v>
      </c>
      <c r="AQ64" s="1"/>
    </row>
    <row r="65" customFormat="false" ht="15.75" hidden="false" customHeight="true" outlineLevel="0" collapsed="false">
      <c r="A65" s="194" t="str">
        <f aca="false">IF(C65="","",$C$2&amp;"."&amp;COUNTA($C$8:C65)&amp;"")</f>
        <v>TC_04.52</v>
      </c>
      <c r="B65" s="194" t="s">
        <v>544</v>
      </c>
      <c r="C65" s="194" t="s">
        <v>1064</v>
      </c>
      <c r="D65" s="194" t="s">
        <v>40</v>
      </c>
      <c r="E65" s="194" t="s">
        <v>158</v>
      </c>
      <c r="F65" s="195" t="s">
        <v>1252</v>
      </c>
      <c r="G65" s="195" t="s">
        <v>1188</v>
      </c>
      <c r="H65" s="195" t="s">
        <v>1253</v>
      </c>
      <c r="I65" s="195" t="s">
        <v>1244</v>
      </c>
      <c r="J65" s="194" t="s">
        <v>637</v>
      </c>
      <c r="K65" s="194" t="s">
        <v>241</v>
      </c>
      <c r="L65" s="194" t="s">
        <v>638</v>
      </c>
      <c r="M65" s="194"/>
      <c r="N65" s="196"/>
      <c r="O65" s="196"/>
      <c r="P65" s="196"/>
      <c r="Q65" s="196"/>
      <c r="R65" s="196"/>
      <c r="S65" s="196"/>
      <c r="T65" s="196"/>
      <c r="U65" s="196"/>
      <c r="V65" s="196"/>
      <c r="W65" s="196"/>
      <c r="X65" s="196"/>
      <c r="Y65" s="196"/>
      <c r="Z65" s="196"/>
      <c r="AA65" s="196"/>
      <c r="AB65" s="197"/>
      <c r="AC65" s="197"/>
      <c r="AD65" s="197"/>
      <c r="AE65" s="197"/>
      <c r="AF65" s="197"/>
      <c r="AG65" s="197"/>
      <c r="AH65" s="197"/>
      <c r="AI65" s="197"/>
      <c r="AJ65" s="197"/>
      <c r="AK65" s="197"/>
      <c r="AL65" s="197"/>
      <c r="AM65" s="198" t="str">
        <f aca="false">IF($A63="","",IF(OR($N63="Yes",$S63="Yes",$X63="Yes",$AC63="Yes",$AH63="Yes"),"Yes","No"))</f>
        <v>No</v>
      </c>
      <c r="AN65" s="198" t="str">
        <f aca="false">IF($A63="","",IFERROR(IF($AI63&lt;&gt;"",$AI63,IF($AD63&lt;&gt;"",$AD63,IF($Y63&lt;&gt;"",$Y63,IF($T63&lt;&gt;"",$T63,IF($O63&lt;&gt;"",$O63,""))))),""))</f>
        <v/>
      </c>
      <c r="AO65" s="198" t="str">
        <f aca="false">IFERROR(IF($AJ63&lt;&gt;"",$AJ63,IF($AE63&lt;&gt;"",$AE63,IF($Z63&lt;&gt;"",$Z63,IF($U63&lt;&gt;"",$U63,IF($P63&lt;&gt;"",$P63,""))))),"")</f>
        <v/>
      </c>
      <c r="AP65" s="199" t="s">
        <v>1254</v>
      </c>
      <c r="AQ65" s="1"/>
    </row>
    <row r="66" customFormat="false" ht="15.75" hidden="false" customHeight="true" outlineLevel="0" collapsed="false">
      <c r="A66" s="194" t="str">
        <f aca="false">IF(C66="","",$C$2&amp;"."&amp;COUNTA($C$8:C66)&amp;"")</f>
        <v>TC_04.53</v>
      </c>
      <c r="B66" s="194" t="s">
        <v>544</v>
      </c>
      <c r="C66" s="194" t="s">
        <v>1064</v>
      </c>
      <c r="D66" s="194" t="s">
        <v>40</v>
      </c>
      <c r="E66" s="194" t="s">
        <v>158</v>
      </c>
      <c r="F66" s="195" t="s">
        <v>1255</v>
      </c>
      <c r="G66" s="195" t="s">
        <v>1188</v>
      </c>
      <c r="H66" s="195" t="s">
        <v>1256</v>
      </c>
      <c r="I66" s="195" t="s">
        <v>1240</v>
      </c>
      <c r="J66" s="194" t="s">
        <v>637</v>
      </c>
      <c r="K66" s="194" t="s">
        <v>241</v>
      </c>
      <c r="L66" s="194" t="s">
        <v>638</v>
      </c>
      <c r="M66" s="194"/>
      <c r="N66" s="196"/>
      <c r="O66" s="196"/>
      <c r="P66" s="196"/>
      <c r="Q66" s="196"/>
      <c r="R66" s="196"/>
      <c r="S66" s="196"/>
      <c r="T66" s="196"/>
      <c r="U66" s="196"/>
      <c r="V66" s="196"/>
      <c r="W66" s="196"/>
      <c r="X66" s="196"/>
      <c r="Y66" s="196"/>
      <c r="Z66" s="196"/>
      <c r="AA66" s="196"/>
      <c r="AB66" s="197"/>
      <c r="AC66" s="197"/>
      <c r="AD66" s="197"/>
      <c r="AE66" s="197"/>
      <c r="AF66" s="197"/>
      <c r="AG66" s="197"/>
      <c r="AH66" s="197"/>
      <c r="AI66" s="197"/>
      <c r="AJ66" s="197"/>
      <c r="AK66" s="197"/>
      <c r="AL66" s="197"/>
      <c r="AM66" s="198" t="str">
        <f aca="false">IF($A64="","",IF(OR($N64="Yes",$S64="Yes",$X64="Yes",$AC64="Yes",$AH64="Yes"),"Yes","No"))</f>
        <v>No</v>
      </c>
      <c r="AN66" s="198" t="str">
        <f aca="false">IF($A64="","",IFERROR(IF($AI64&lt;&gt;"",$AI64,IF($AD64&lt;&gt;"",$AD64,IF($Y64&lt;&gt;"",$Y64,IF($T64&lt;&gt;"",$T64,IF($O64&lt;&gt;"",$O64,""))))),""))</f>
        <v/>
      </c>
      <c r="AO66" s="198" t="str">
        <f aca="false">IFERROR(IF($AJ64&lt;&gt;"",$AJ64,IF($AE64&lt;&gt;"",$AE64,IF($Z64&lt;&gt;"",$Z64,IF($U64&lt;&gt;"",$U64,IF($P64&lt;&gt;"",$P64,""))))),"")</f>
        <v/>
      </c>
      <c r="AP66" s="199" t="s">
        <v>1257</v>
      </c>
      <c r="AQ66" s="1"/>
    </row>
    <row r="67" customFormat="false" ht="45" hidden="false" customHeight="true" outlineLevel="0" collapsed="false">
      <c r="A67" s="194" t="str">
        <f aca="false">IF(C67="","",$C$2&amp;"."&amp;COUNTA($C$8:C67)&amp;"")</f>
        <v>TC_04.54</v>
      </c>
      <c r="B67" s="194" t="s">
        <v>544</v>
      </c>
      <c r="C67" s="194" t="s">
        <v>1089</v>
      </c>
      <c r="D67" s="194" t="s">
        <v>40</v>
      </c>
      <c r="E67" s="194" t="s">
        <v>157</v>
      </c>
      <c r="F67" s="195" t="s">
        <v>1258</v>
      </c>
      <c r="G67" s="195" t="s">
        <v>1259</v>
      </c>
      <c r="H67" s="195" t="s">
        <v>1260</v>
      </c>
      <c r="I67" s="195" t="s">
        <v>1149</v>
      </c>
      <c r="J67" s="194" t="s">
        <v>637</v>
      </c>
      <c r="K67" s="194" t="s">
        <v>241</v>
      </c>
      <c r="L67" s="194" t="s">
        <v>638</v>
      </c>
      <c r="M67" s="194"/>
      <c r="N67" s="196"/>
      <c r="O67" s="196"/>
      <c r="P67" s="196"/>
      <c r="Q67" s="196"/>
      <c r="R67" s="196"/>
      <c r="S67" s="196"/>
      <c r="T67" s="196"/>
      <c r="U67" s="196"/>
      <c r="V67" s="196"/>
      <c r="W67" s="196"/>
      <c r="X67" s="196"/>
      <c r="Y67" s="196"/>
      <c r="Z67" s="196"/>
      <c r="AA67" s="196"/>
      <c r="AB67" s="197"/>
      <c r="AC67" s="197"/>
      <c r="AD67" s="197"/>
      <c r="AE67" s="197"/>
      <c r="AF67" s="197"/>
      <c r="AG67" s="197"/>
      <c r="AH67" s="197"/>
      <c r="AI67" s="197"/>
      <c r="AJ67" s="197"/>
      <c r="AK67" s="197"/>
      <c r="AL67" s="197"/>
      <c r="AM67" s="198" t="str">
        <f aca="false">IF($A65="","",IF(OR($N65="Yes",$S65="Yes",$X65="Yes",$AC65="Yes",$AH65="Yes"),"Yes","No"))</f>
        <v>No</v>
      </c>
      <c r="AN67" s="198" t="str">
        <f aca="false">IF($A65="","",IFERROR(IF($AI65&lt;&gt;"",$AI65,IF($AD65&lt;&gt;"",$AD65,IF($Y65&lt;&gt;"",$Y65,IF($T65&lt;&gt;"",$T65,IF($O65&lt;&gt;"",$O65,""))))),""))</f>
        <v/>
      </c>
      <c r="AO67" s="198" t="str">
        <f aca="false">IFERROR(IF($AJ65&lt;&gt;"",$AJ65,IF($AE65&lt;&gt;"",$AE65,IF($Z65&lt;&gt;"",$Z65,IF($U65&lt;&gt;"",$U65,IF($P65&lt;&gt;"",$P65,""))))),"")</f>
        <v/>
      </c>
      <c r="AP67" s="199"/>
      <c r="AQ67" s="1"/>
    </row>
    <row r="68" customFormat="false" ht="45" hidden="false" customHeight="true" outlineLevel="0" collapsed="false">
      <c r="A68" s="194" t="str">
        <f aca="false">IF(C68="","",$C$2&amp;"."&amp;COUNTA($C$8:C68)&amp;"")</f>
        <v>TC_04.55</v>
      </c>
      <c r="B68" s="194" t="s">
        <v>544</v>
      </c>
      <c r="C68" s="194" t="s">
        <v>1089</v>
      </c>
      <c r="D68" s="194" t="s">
        <v>40</v>
      </c>
      <c r="E68" s="194" t="s">
        <v>157</v>
      </c>
      <c r="F68" s="195" t="s">
        <v>1261</v>
      </c>
      <c r="G68" s="195" t="s">
        <v>1262</v>
      </c>
      <c r="H68" s="195" t="s">
        <v>1263</v>
      </c>
      <c r="I68" s="195" t="s">
        <v>1153</v>
      </c>
      <c r="J68" s="194" t="s">
        <v>637</v>
      </c>
      <c r="K68" s="194" t="s">
        <v>241</v>
      </c>
      <c r="L68" s="194" t="s">
        <v>638</v>
      </c>
      <c r="M68" s="194"/>
      <c r="N68" s="196"/>
      <c r="O68" s="196"/>
      <c r="P68" s="196"/>
      <c r="Q68" s="196"/>
      <c r="R68" s="196"/>
      <c r="S68" s="196"/>
      <c r="T68" s="196"/>
      <c r="U68" s="196"/>
      <c r="V68" s="196"/>
      <c r="W68" s="196"/>
      <c r="X68" s="196"/>
      <c r="Y68" s="196"/>
      <c r="Z68" s="196"/>
      <c r="AA68" s="196"/>
      <c r="AB68" s="197"/>
      <c r="AC68" s="197"/>
      <c r="AD68" s="197"/>
      <c r="AE68" s="197"/>
      <c r="AF68" s="197"/>
      <c r="AG68" s="197"/>
      <c r="AH68" s="197"/>
      <c r="AI68" s="197"/>
      <c r="AJ68" s="197"/>
      <c r="AK68" s="197"/>
      <c r="AL68" s="197"/>
      <c r="AM68" s="198" t="str">
        <f aca="false">IF($A66="","",IF(OR($N66="Yes",$S66="Yes",$X66="Yes",$AC66="Yes",$AH66="Yes"),"Yes","No"))</f>
        <v>No</v>
      </c>
      <c r="AN68" s="198" t="str">
        <f aca="false">IF($A66="","",IFERROR(IF($AI66&lt;&gt;"",$AI66,IF($AD66&lt;&gt;"",$AD66,IF($Y66&lt;&gt;"",$Y66,IF($T66&lt;&gt;"",$T66,IF($O66&lt;&gt;"",$O66,""))))),""))</f>
        <v/>
      </c>
      <c r="AO68" s="198" t="str">
        <f aca="false">IFERROR(IF($AJ66&lt;&gt;"",$AJ66,IF($AE66&lt;&gt;"",$AE66,IF($Z66&lt;&gt;"",$Z66,IF($U66&lt;&gt;"",$U66,IF($P66&lt;&gt;"",$P66,""))))),"")</f>
        <v/>
      </c>
      <c r="AP68" s="199"/>
      <c r="AQ68" s="1"/>
    </row>
    <row r="69" customFormat="false" ht="45" hidden="false" customHeight="true" outlineLevel="0" collapsed="false">
      <c r="A69" s="194" t="str">
        <f aca="false">IF(C69="","",$C$2&amp;"."&amp;COUNTA($C$8:C69)&amp;"")</f>
        <v>TC_04.56</v>
      </c>
      <c r="B69" s="194" t="s">
        <v>544</v>
      </c>
      <c r="C69" s="194" t="s">
        <v>1089</v>
      </c>
      <c r="D69" s="194" t="s">
        <v>40</v>
      </c>
      <c r="E69" s="194" t="s">
        <v>157</v>
      </c>
      <c r="F69" s="195" t="s">
        <v>1264</v>
      </c>
      <c r="G69" s="195" t="s">
        <v>1262</v>
      </c>
      <c r="H69" s="195" t="s">
        <v>1265</v>
      </c>
      <c r="I69" s="195" t="s">
        <v>1266</v>
      </c>
      <c r="J69" s="194" t="s">
        <v>637</v>
      </c>
      <c r="K69" s="194" t="s">
        <v>241</v>
      </c>
      <c r="L69" s="194" t="s">
        <v>638</v>
      </c>
      <c r="M69" s="194"/>
      <c r="N69" s="196"/>
      <c r="O69" s="196"/>
      <c r="P69" s="196"/>
      <c r="Q69" s="196"/>
      <c r="R69" s="196"/>
      <c r="S69" s="196"/>
      <c r="T69" s="196"/>
      <c r="U69" s="196"/>
      <c r="V69" s="196"/>
      <c r="W69" s="196"/>
      <c r="X69" s="196"/>
      <c r="Y69" s="196"/>
      <c r="Z69" s="196"/>
      <c r="AA69" s="196"/>
      <c r="AB69" s="197"/>
      <c r="AC69" s="197"/>
      <c r="AD69" s="197"/>
      <c r="AE69" s="197"/>
      <c r="AF69" s="197"/>
      <c r="AG69" s="197"/>
      <c r="AH69" s="197"/>
      <c r="AI69" s="197"/>
      <c r="AJ69" s="197"/>
      <c r="AK69" s="197"/>
      <c r="AL69" s="197"/>
      <c r="AM69" s="198" t="str">
        <f aca="false">IF($A67="","",IF(OR($N67="Yes",$S67="Yes",$X67="Yes",$AC67="Yes",$AH67="Yes"),"Yes","No"))</f>
        <v>No</v>
      </c>
      <c r="AN69" s="198" t="str">
        <f aca="false">IF($A67="","",IFERROR(IF($AI67&lt;&gt;"",$AI67,IF($AD67&lt;&gt;"",$AD67,IF($Y67&lt;&gt;"",$Y67,IF($T67&lt;&gt;"",$T67,IF($O67&lt;&gt;"",$O67,""))))),""))</f>
        <v/>
      </c>
      <c r="AO69" s="198" t="str">
        <f aca="false">IFERROR(IF($AJ67&lt;&gt;"",$AJ67,IF($AE67&lt;&gt;"",$AE67,IF($Z67&lt;&gt;"",$Z67,IF($U67&lt;&gt;"",$U67,IF($P67&lt;&gt;"",$P67,""))))),"")</f>
        <v/>
      </c>
      <c r="AP69" s="199"/>
      <c r="AQ69" s="1"/>
    </row>
    <row r="70" customFormat="false" ht="15.75" hidden="false" customHeight="true" outlineLevel="0" collapsed="false">
      <c r="A70" s="194" t="str">
        <f aca="false">IF(C70="","",$C$2&amp;"."&amp;COUNTA($C$8:C70)&amp;"")</f>
        <v>TC_04.57</v>
      </c>
      <c r="B70" s="194" t="s">
        <v>544</v>
      </c>
      <c r="C70" s="194" t="s">
        <v>1064</v>
      </c>
      <c r="D70" s="194" t="s">
        <v>40</v>
      </c>
      <c r="E70" s="194" t="s">
        <v>158</v>
      </c>
      <c r="F70" s="195" t="s">
        <v>1267</v>
      </c>
      <c r="G70" s="195" t="s">
        <v>1188</v>
      </c>
      <c r="H70" s="195" t="s">
        <v>1268</v>
      </c>
      <c r="I70" s="195" t="s">
        <v>1269</v>
      </c>
      <c r="J70" s="194" t="s">
        <v>637</v>
      </c>
      <c r="K70" s="194" t="s">
        <v>241</v>
      </c>
      <c r="L70" s="194" t="s">
        <v>638</v>
      </c>
      <c r="M70" s="194"/>
      <c r="N70" s="196"/>
      <c r="O70" s="196"/>
      <c r="P70" s="196"/>
      <c r="Q70" s="196"/>
      <c r="R70" s="196"/>
      <c r="S70" s="196"/>
      <c r="T70" s="196"/>
      <c r="U70" s="196"/>
      <c r="V70" s="196"/>
      <c r="W70" s="196"/>
      <c r="X70" s="196"/>
      <c r="Y70" s="196"/>
      <c r="Z70" s="196"/>
      <c r="AA70" s="196"/>
      <c r="AB70" s="197"/>
      <c r="AC70" s="197"/>
      <c r="AD70" s="197"/>
      <c r="AE70" s="197"/>
      <c r="AF70" s="197"/>
      <c r="AG70" s="197"/>
      <c r="AH70" s="197"/>
      <c r="AI70" s="197"/>
      <c r="AJ70" s="197"/>
      <c r="AK70" s="197"/>
      <c r="AL70" s="197"/>
      <c r="AM70" s="198" t="str">
        <f aca="false">IF($A68="","",IF(OR($N68="Yes",$S68="Yes",$X68="Yes",$AC68="Yes",$AH68="Yes"),"Yes","No"))</f>
        <v>No</v>
      </c>
      <c r="AN70" s="198" t="str">
        <f aca="false">IF($A68="","",IFERROR(IF($AI68&lt;&gt;"",$AI68,IF($AD68&lt;&gt;"",$AD68,IF($Y68&lt;&gt;"",$Y68,IF($T68&lt;&gt;"",$T68,IF($O68&lt;&gt;"",$O68,""))))),""))</f>
        <v/>
      </c>
      <c r="AO70" s="198" t="str">
        <f aca="false">IFERROR(IF($AJ68&lt;&gt;"",$AJ68,IF($AE68&lt;&gt;"",$AE68,IF($Z68&lt;&gt;"",$Z68,IF($U68&lt;&gt;"",$U68,IF($P68&lt;&gt;"",$P68,""))))),"")</f>
        <v/>
      </c>
      <c r="AP70" s="199" t="s">
        <v>1270</v>
      </c>
      <c r="AQ70" s="1"/>
    </row>
    <row r="71" customFormat="false" ht="15.75" hidden="false" customHeight="true" outlineLevel="0" collapsed="false">
      <c r="A71" s="194" t="str">
        <f aca="false">IF(C71="","",$C$2&amp;"."&amp;COUNTA($C$8:C71)&amp;"")</f>
        <v>TC_04.58</v>
      </c>
      <c r="B71" s="194" t="s">
        <v>544</v>
      </c>
      <c r="C71" s="194" t="s">
        <v>1064</v>
      </c>
      <c r="D71" s="194" t="s">
        <v>40</v>
      </c>
      <c r="E71" s="194" t="s">
        <v>158</v>
      </c>
      <c r="F71" s="195" t="s">
        <v>1271</v>
      </c>
      <c r="G71" s="195" t="s">
        <v>1188</v>
      </c>
      <c r="H71" s="195" t="s">
        <v>1272</v>
      </c>
      <c r="I71" s="195" t="s">
        <v>1244</v>
      </c>
      <c r="J71" s="194" t="s">
        <v>637</v>
      </c>
      <c r="K71" s="194" t="s">
        <v>241</v>
      </c>
      <c r="L71" s="194" t="s">
        <v>638</v>
      </c>
      <c r="M71" s="194"/>
      <c r="N71" s="196"/>
      <c r="O71" s="196"/>
      <c r="P71" s="196"/>
      <c r="Q71" s="196"/>
      <c r="R71" s="196"/>
      <c r="S71" s="196"/>
      <c r="T71" s="196"/>
      <c r="U71" s="196"/>
      <c r="V71" s="196"/>
      <c r="W71" s="196"/>
      <c r="X71" s="196"/>
      <c r="Y71" s="196"/>
      <c r="Z71" s="196"/>
      <c r="AA71" s="196"/>
      <c r="AB71" s="197"/>
      <c r="AC71" s="197"/>
      <c r="AD71" s="197"/>
      <c r="AE71" s="197"/>
      <c r="AF71" s="197"/>
      <c r="AG71" s="197"/>
      <c r="AH71" s="197"/>
      <c r="AI71" s="197"/>
      <c r="AJ71" s="197"/>
      <c r="AK71" s="197"/>
      <c r="AL71" s="197"/>
      <c r="AM71" s="198" t="str">
        <f aca="false">IF($A69="","",IF(OR($N69="Yes",$S69="Yes",$X69="Yes",$AC69="Yes",$AH69="Yes"),"Yes","No"))</f>
        <v>No</v>
      </c>
      <c r="AN71" s="198" t="str">
        <f aca="false">IF($A69="","",IFERROR(IF($AI69&lt;&gt;"",$AI69,IF($AD69&lt;&gt;"",$AD69,IF($Y69&lt;&gt;"",$Y69,IF($T69&lt;&gt;"",$T69,IF($O69&lt;&gt;"",$O69,""))))),""))</f>
        <v/>
      </c>
      <c r="AO71" s="198" t="str">
        <f aca="false">IFERROR(IF($AJ69&lt;&gt;"",$AJ69,IF($AE69&lt;&gt;"",$AE69,IF($Z69&lt;&gt;"",$Z69,IF($U69&lt;&gt;"",$U69,IF($P69&lt;&gt;"",$P69,""))))),"")</f>
        <v/>
      </c>
      <c r="AP71" s="199" t="s">
        <v>1273</v>
      </c>
      <c r="AQ71" s="1"/>
    </row>
    <row r="72" customFormat="false" ht="15.75" hidden="false" customHeight="true" outlineLevel="0" collapsed="false">
      <c r="A72" s="194" t="str">
        <f aca="false">IF(C72="","",$C$2&amp;"."&amp;COUNTA($C$8:C72)&amp;"")</f>
        <v>TC_04.59</v>
      </c>
      <c r="B72" s="194" t="s">
        <v>544</v>
      </c>
      <c r="C72" s="194" t="s">
        <v>1064</v>
      </c>
      <c r="D72" s="194" t="s">
        <v>40</v>
      </c>
      <c r="E72" s="194" t="s">
        <v>158</v>
      </c>
      <c r="F72" s="195" t="s">
        <v>1274</v>
      </c>
      <c r="G72" s="195" t="s">
        <v>1188</v>
      </c>
      <c r="H72" s="195" t="s">
        <v>1275</v>
      </c>
      <c r="I72" s="195" t="s">
        <v>1244</v>
      </c>
      <c r="J72" s="194" t="s">
        <v>637</v>
      </c>
      <c r="K72" s="194" t="s">
        <v>241</v>
      </c>
      <c r="L72" s="194" t="s">
        <v>638</v>
      </c>
      <c r="M72" s="194"/>
      <c r="N72" s="196"/>
      <c r="O72" s="196"/>
      <c r="P72" s="196"/>
      <c r="Q72" s="196"/>
      <c r="R72" s="196"/>
      <c r="S72" s="196"/>
      <c r="T72" s="196"/>
      <c r="U72" s="196"/>
      <c r="V72" s="196"/>
      <c r="W72" s="196"/>
      <c r="X72" s="196"/>
      <c r="Y72" s="196"/>
      <c r="Z72" s="196"/>
      <c r="AA72" s="196"/>
      <c r="AB72" s="197"/>
      <c r="AC72" s="197"/>
      <c r="AD72" s="197"/>
      <c r="AE72" s="197"/>
      <c r="AF72" s="197"/>
      <c r="AG72" s="197"/>
      <c r="AH72" s="197"/>
      <c r="AI72" s="197"/>
      <c r="AJ72" s="197"/>
      <c r="AK72" s="197"/>
      <c r="AL72" s="197"/>
      <c r="AM72" s="198" t="str">
        <f aca="false">IF($A70="","",IF(OR($N70="Yes",$S70="Yes",$X70="Yes",$AC70="Yes",$AH70="Yes"),"Yes","No"))</f>
        <v>No</v>
      </c>
      <c r="AN72" s="198" t="str">
        <f aca="false">IF($A70="","",IFERROR(IF($AI70&lt;&gt;"",$AI70,IF($AD70&lt;&gt;"",$AD70,IF($Y70&lt;&gt;"",$Y70,IF($T70&lt;&gt;"",$T70,IF($O70&lt;&gt;"",$O70,""))))),""))</f>
        <v/>
      </c>
      <c r="AO72" s="198" t="str">
        <f aca="false">IFERROR(IF($AJ70&lt;&gt;"",$AJ70,IF($AE70&lt;&gt;"",$AE70,IF($Z70&lt;&gt;"",$Z70,IF($U70&lt;&gt;"",$U70,IF($P70&lt;&gt;"",$P70,""))))),"")</f>
        <v/>
      </c>
      <c r="AP72" s="199" t="s">
        <v>1276</v>
      </c>
      <c r="AQ72" s="1"/>
    </row>
    <row r="73" customFormat="false" ht="15.75" hidden="false" customHeight="true" outlineLevel="0" collapsed="false">
      <c r="A73" s="194" t="str">
        <f aca="false">IF(C73="","",$C$2&amp;"."&amp;COUNTA($C$8:C73)&amp;"")</f>
        <v>TC_04.60</v>
      </c>
      <c r="B73" s="194" t="s">
        <v>544</v>
      </c>
      <c r="C73" s="194" t="s">
        <v>1064</v>
      </c>
      <c r="D73" s="194" t="s">
        <v>40</v>
      </c>
      <c r="E73" s="194" t="s">
        <v>158</v>
      </c>
      <c r="F73" s="195" t="s">
        <v>1277</v>
      </c>
      <c r="G73" s="195" t="s">
        <v>1188</v>
      </c>
      <c r="H73" s="195" t="s">
        <v>1278</v>
      </c>
      <c r="I73" s="195" t="s">
        <v>1269</v>
      </c>
      <c r="J73" s="194" t="s">
        <v>637</v>
      </c>
      <c r="K73" s="194" t="s">
        <v>241</v>
      </c>
      <c r="L73" s="194" t="s">
        <v>638</v>
      </c>
      <c r="M73" s="194"/>
      <c r="N73" s="196"/>
      <c r="O73" s="196"/>
      <c r="P73" s="196"/>
      <c r="Q73" s="196"/>
      <c r="R73" s="196"/>
      <c r="S73" s="196"/>
      <c r="T73" s="196"/>
      <c r="U73" s="196"/>
      <c r="V73" s="196"/>
      <c r="W73" s="196"/>
      <c r="X73" s="196"/>
      <c r="Y73" s="196"/>
      <c r="Z73" s="196"/>
      <c r="AA73" s="196"/>
      <c r="AB73" s="197"/>
      <c r="AC73" s="197"/>
      <c r="AD73" s="197"/>
      <c r="AE73" s="197"/>
      <c r="AF73" s="197"/>
      <c r="AG73" s="197"/>
      <c r="AH73" s="197"/>
      <c r="AI73" s="197"/>
      <c r="AJ73" s="197"/>
      <c r="AK73" s="197"/>
      <c r="AL73" s="197"/>
      <c r="AM73" s="198" t="str">
        <f aca="false">IF($A71="","",IF(OR($N71="Yes",$S71="Yes",$X71="Yes",$AC71="Yes",$AH71="Yes"),"Yes","No"))</f>
        <v>No</v>
      </c>
      <c r="AN73" s="198" t="str">
        <f aca="false">IF($A71="","",IFERROR(IF($AI71&lt;&gt;"",$AI71,IF($AD71&lt;&gt;"",$AD71,IF($Y71&lt;&gt;"",$Y71,IF($T71&lt;&gt;"",$T71,IF($O71&lt;&gt;"",$O71,""))))),""))</f>
        <v/>
      </c>
      <c r="AO73" s="198" t="str">
        <f aca="false">IFERROR(IF($AJ71&lt;&gt;"",$AJ71,IF($AE71&lt;&gt;"",$AE71,IF($Z71&lt;&gt;"",$Z71,IF($U71&lt;&gt;"",$U71,IF($P71&lt;&gt;"",$P71,""))))),"")</f>
        <v/>
      </c>
      <c r="AP73" s="199" t="s">
        <v>1279</v>
      </c>
      <c r="AQ73" s="1"/>
    </row>
    <row r="74" customFormat="false" ht="15.75" hidden="false" customHeight="true" outlineLevel="0" collapsed="false">
      <c r="A74" s="194" t="str">
        <f aca="false">IF(C74="","",$C$2&amp;"."&amp;COUNTA($C$8:C74)&amp;"")</f>
        <v>TC_04.61</v>
      </c>
      <c r="B74" s="194" t="s">
        <v>544</v>
      </c>
      <c r="C74" s="194" t="s">
        <v>1064</v>
      </c>
      <c r="D74" s="194" t="s">
        <v>40</v>
      </c>
      <c r="E74" s="194" t="s">
        <v>157</v>
      </c>
      <c r="F74" s="195" t="s">
        <v>1280</v>
      </c>
      <c r="G74" s="195" t="s">
        <v>1281</v>
      </c>
      <c r="H74" s="195" t="s">
        <v>1282</v>
      </c>
      <c r="I74" s="195" t="s">
        <v>1283</v>
      </c>
      <c r="J74" s="194" t="s">
        <v>637</v>
      </c>
      <c r="K74" s="194" t="s">
        <v>241</v>
      </c>
      <c r="L74" s="194" t="s">
        <v>638</v>
      </c>
      <c r="M74" s="194"/>
      <c r="N74" s="196"/>
      <c r="O74" s="196"/>
      <c r="P74" s="196"/>
      <c r="Q74" s="196"/>
      <c r="R74" s="196"/>
      <c r="S74" s="196"/>
      <c r="T74" s="196"/>
      <c r="U74" s="196"/>
      <c r="V74" s="196"/>
      <c r="W74" s="196"/>
      <c r="X74" s="196"/>
      <c r="Y74" s="196"/>
      <c r="Z74" s="196"/>
      <c r="AA74" s="196"/>
      <c r="AB74" s="197"/>
      <c r="AC74" s="197"/>
      <c r="AD74" s="197"/>
      <c r="AE74" s="197"/>
      <c r="AF74" s="197"/>
      <c r="AG74" s="197"/>
      <c r="AH74" s="197"/>
      <c r="AI74" s="197"/>
      <c r="AJ74" s="197"/>
      <c r="AK74" s="197"/>
      <c r="AL74" s="197"/>
      <c r="AM74" s="198" t="str">
        <f aca="false">IF($A72="","",IF(OR($N72="Yes",$S72="Yes",$X72="Yes",$AC72="Yes",$AH72="Yes"),"Yes","No"))</f>
        <v>No</v>
      </c>
      <c r="AN74" s="198" t="str">
        <f aca="false">IF($A72="","",IFERROR(IF($AI72&lt;&gt;"",$AI72,IF($AD72&lt;&gt;"",$AD72,IF($Y72&lt;&gt;"",$Y72,IF($T72&lt;&gt;"",$T72,IF($O72&lt;&gt;"",$O72,""))))),""))</f>
        <v/>
      </c>
      <c r="AO74" s="198" t="str">
        <f aca="false">IFERROR(IF($AJ72&lt;&gt;"",$AJ72,IF($AE72&lt;&gt;"",$AE72,IF($Z72&lt;&gt;"",$Z72,IF($U72&lt;&gt;"",$U72,IF($P72&lt;&gt;"",$P72,""))))),"")</f>
        <v/>
      </c>
      <c r="AP74" s="199" t="s">
        <v>1284</v>
      </c>
      <c r="AQ74" s="1"/>
    </row>
    <row r="75" customFormat="false" ht="45" hidden="false" customHeight="true" outlineLevel="0" collapsed="false">
      <c r="A75" s="194" t="str">
        <f aca="false">IF(C75="","",$C$2&amp;"."&amp;COUNTA($C$8:C75)&amp;"")</f>
        <v>TC_04.62</v>
      </c>
      <c r="B75" s="194" t="s">
        <v>553</v>
      </c>
      <c r="C75" s="194" t="s">
        <v>555</v>
      </c>
      <c r="D75" s="194" t="s">
        <v>40</v>
      </c>
      <c r="E75" s="194" t="s">
        <v>157</v>
      </c>
      <c r="F75" s="195" t="s">
        <v>1285</v>
      </c>
      <c r="G75" s="195" t="s">
        <v>1286</v>
      </c>
      <c r="H75" s="195" t="s">
        <v>1287</v>
      </c>
      <c r="I75" s="195" t="s">
        <v>1288</v>
      </c>
      <c r="J75" s="194" t="s">
        <v>637</v>
      </c>
      <c r="K75" s="194" t="s">
        <v>241</v>
      </c>
      <c r="L75" s="194" t="s">
        <v>638</v>
      </c>
      <c r="M75" s="194"/>
      <c r="N75" s="196"/>
      <c r="O75" s="196"/>
      <c r="P75" s="196"/>
      <c r="Q75" s="196"/>
      <c r="R75" s="196"/>
      <c r="S75" s="196"/>
      <c r="T75" s="196"/>
      <c r="U75" s="196"/>
      <c r="V75" s="196"/>
      <c r="W75" s="196"/>
      <c r="X75" s="196"/>
      <c r="Y75" s="196"/>
      <c r="Z75" s="196"/>
      <c r="AA75" s="196"/>
      <c r="AB75" s="197"/>
      <c r="AC75" s="197"/>
      <c r="AD75" s="197"/>
      <c r="AE75" s="197"/>
      <c r="AF75" s="197"/>
      <c r="AG75" s="197"/>
      <c r="AH75" s="197"/>
      <c r="AI75" s="197"/>
      <c r="AJ75" s="197"/>
      <c r="AK75" s="197"/>
      <c r="AL75" s="197"/>
      <c r="AM75" s="198" t="str">
        <f aca="false">IF($A73="","",IF(OR($N73="Yes",$S73="Yes",$X73="Yes",$AC73="Yes",$AH73="Yes"),"Yes","No"))</f>
        <v>No</v>
      </c>
      <c r="AN75" s="198" t="str">
        <f aca="false">IF($A73="","",IFERROR(IF($AI73&lt;&gt;"",$AI73,IF($AD73&lt;&gt;"",$AD73,IF($Y73&lt;&gt;"",$Y73,IF($T73&lt;&gt;"",$T73,IF($O73&lt;&gt;"",$O73,""))))),""))</f>
        <v/>
      </c>
      <c r="AO75" s="198" t="str">
        <f aca="false">IFERROR(IF($AJ73&lt;&gt;"",$AJ73,IF($AE73&lt;&gt;"",$AE73,IF($Z73&lt;&gt;"",$Z73,IF($U73&lt;&gt;"",$U73,IF($P73&lt;&gt;"",$P73,""))))),"")</f>
        <v/>
      </c>
      <c r="AP75" s="199"/>
      <c r="AQ75" s="1"/>
    </row>
    <row r="76" customFormat="false" ht="45" hidden="false" customHeight="true" outlineLevel="0" collapsed="false">
      <c r="A76" s="194" t="str">
        <f aca="false">IF(C76="","",$C$2&amp;"."&amp;COUNTA($C$8:C76)&amp;"")</f>
        <v>TC_04.63</v>
      </c>
      <c r="B76" s="194" t="s">
        <v>553</v>
      </c>
      <c r="C76" s="194" t="s">
        <v>555</v>
      </c>
      <c r="D76" s="194" t="s">
        <v>40</v>
      </c>
      <c r="E76" s="194" t="s">
        <v>158</v>
      </c>
      <c r="F76" s="195" t="s">
        <v>1289</v>
      </c>
      <c r="G76" s="195" t="s">
        <v>1286</v>
      </c>
      <c r="H76" s="195" t="s">
        <v>1290</v>
      </c>
      <c r="I76" s="195" t="s">
        <v>1177</v>
      </c>
      <c r="J76" s="194" t="s">
        <v>637</v>
      </c>
      <c r="K76" s="194" t="s">
        <v>241</v>
      </c>
      <c r="L76" s="194" t="s">
        <v>638</v>
      </c>
      <c r="M76" s="194"/>
      <c r="N76" s="196"/>
      <c r="O76" s="196"/>
      <c r="P76" s="196"/>
      <c r="Q76" s="196"/>
      <c r="R76" s="196"/>
      <c r="S76" s="196"/>
      <c r="T76" s="196"/>
      <c r="U76" s="196"/>
      <c r="V76" s="196"/>
      <c r="W76" s="196"/>
      <c r="X76" s="196"/>
      <c r="Y76" s="196"/>
      <c r="Z76" s="196"/>
      <c r="AA76" s="196"/>
      <c r="AB76" s="197"/>
      <c r="AC76" s="197"/>
      <c r="AD76" s="197"/>
      <c r="AE76" s="197"/>
      <c r="AF76" s="197"/>
      <c r="AG76" s="197"/>
      <c r="AH76" s="197"/>
      <c r="AI76" s="197"/>
      <c r="AJ76" s="197"/>
      <c r="AK76" s="197"/>
      <c r="AL76" s="197"/>
      <c r="AM76" s="198" t="str">
        <f aca="false">IF($A74="","",IF(OR($N74="Yes",$S74="Yes",$X74="Yes",$AC74="Yes",$AH74="Yes"),"Yes","No"))</f>
        <v>No</v>
      </c>
      <c r="AN76" s="198" t="str">
        <f aca="false">IF($A74="","",IFERROR(IF($AI74&lt;&gt;"",$AI74,IF($AD74&lt;&gt;"",$AD74,IF($Y74&lt;&gt;"",$Y74,IF($T74&lt;&gt;"",$T74,IF($O74&lt;&gt;"",$O74,""))))),""))</f>
        <v/>
      </c>
      <c r="AO76" s="198" t="str">
        <f aca="false">IFERROR(IF($AJ74&lt;&gt;"",$AJ74,IF($AE74&lt;&gt;"",$AE74,IF($Z74&lt;&gt;"",$Z74,IF($U74&lt;&gt;"",$U74,IF($P74&lt;&gt;"",$P74,""))))),"")</f>
        <v/>
      </c>
      <c r="AP76" s="199"/>
      <c r="AQ76" s="1"/>
    </row>
    <row r="77" customFormat="false" ht="45" hidden="false" customHeight="true" outlineLevel="0" collapsed="false">
      <c r="A77" s="194" t="str">
        <f aca="false">IF(C77="","",$C$2&amp;"."&amp;COUNTA($C$8:C77)&amp;"")</f>
        <v>TC_04.64</v>
      </c>
      <c r="B77" s="194" t="s">
        <v>553</v>
      </c>
      <c r="C77" s="194" t="s">
        <v>555</v>
      </c>
      <c r="D77" s="194" t="s">
        <v>40</v>
      </c>
      <c r="E77" s="194" t="s">
        <v>157</v>
      </c>
      <c r="F77" s="195" t="s">
        <v>1291</v>
      </c>
      <c r="G77" s="195" t="s">
        <v>1286</v>
      </c>
      <c r="H77" s="195" t="s">
        <v>1292</v>
      </c>
      <c r="I77" s="195" t="s">
        <v>1180</v>
      </c>
      <c r="J77" s="194" t="s">
        <v>637</v>
      </c>
      <c r="K77" s="194" t="s">
        <v>241</v>
      </c>
      <c r="L77" s="194" t="s">
        <v>638</v>
      </c>
      <c r="M77" s="194"/>
      <c r="N77" s="196"/>
      <c r="O77" s="196"/>
      <c r="P77" s="196"/>
      <c r="Q77" s="196"/>
      <c r="R77" s="196"/>
      <c r="S77" s="196"/>
      <c r="T77" s="196"/>
      <c r="U77" s="196"/>
      <c r="V77" s="196"/>
      <c r="W77" s="196"/>
      <c r="X77" s="196"/>
      <c r="Y77" s="196"/>
      <c r="Z77" s="196"/>
      <c r="AA77" s="196"/>
      <c r="AB77" s="197"/>
      <c r="AC77" s="197"/>
      <c r="AD77" s="197"/>
      <c r="AE77" s="197"/>
      <c r="AF77" s="197"/>
      <c r="AG77" s="197"/>
      <c r="AH77" s="197"/>
      <c r="AI77" s="197"/>
      <c r="AJ77" s="197"/>
      <c r="AK77" s="197"/>
      <c r="AL77" s="197"/>
      <c r="AM77" s="198" t="str">
        <f aca="false">IF($A75="","",IF(OR($N75="Yes",$S75="Yes",$X75="Yes",$AC75="Yes",$AH75="Yes"),"Yes","No"))</f>
        <v>No</v>
      </c>
      <c r="AN77" s="198" t="str">
        <f aca="false">IF($A75="","",IFERROR(IF($AI75&lt;&gt;"",$AI75,IF($AD75&lt;&gt;"",$AD75,IF($Y75&lt;&gt;"",$Y75,IF($T75&lt;&gt;"",$T75,IF($O75&lt;&gt;"",$O75,""))))),""))</f>
        <v/>
      </c>
      <c r="AO77" s="198" t="str">
        <f aca="false">IFERROR(IF($AJ75&lt;&gt;"",$AJ75,IF($AE75&lt;&gt;"",$AE75,IF($Z75&lt;&gt;"",$Z75,IF($U75&lt;&gt;"",$U75,IF($P75&lt;&gt;"",$P75,""))))),"")</f>
        <v/>
      </c>
      <c r="AP77" s="199"/>
      <c r="AQ77" s="1"/>
    </row>
    <row r="78" customFormat="false" ht="15.75" hidden="false" customHeight="true" outlineLevel="0" collapsed="false">
      <c r="A78" s="194"/>
      <c r="B78" s="200" t="s">
        <v>1293</v>
      </c>
      <c r="C78" s="200"/>
      <c r="D78" s="200"/>
      <c r="E78" s="200"/>
      <c r="F78" s="200"/>
      <c r="G78" s="200"/>
      <c r="H78" s="200"/>
      <c r="I78" s="200"/>
      <c r="J78" s="194"/>
      <c r="K78" s="194"/>
      <c r="L78" s="194"/>
      <c r="M78" s="194"/>
      <c r="N78" s="196"/>
      <c r="O78" s="196"/>
      <c r="P78" s="196"/>
      <c r="Q78" s="196"/>
      <c r="R78" s="196"/>
      <c r="S78" s="196"/>
      <c r="T78" s="196"/>
      <c r="U78" s="196"/>
      <c r="V78" s="196"/>
      <c r="W78" s="196"/>
      <c r="X78" s="196"/>
      <c r="Y78" s="196"/>
      <c r="Z78" s="196"/>
      <c r="AA78" s="196"/>
      <c r="AB78" s="197"/>
      <c r="AC78" s="197"/>
      <c r="AD78" s="197"/>
      <c r="AE78" s="197"/>
      <c r="AF78" s="197"/>
      <c r="AG78" s="197"/>
      <c r="AH78" s="197"/>
      <c r="AI78" s="197"/>
      <c r="AJ78" s="197"/>
      <c r="AK78" s="197"/>
      <c r="AL78" s="197"/>
      <c r="AM78" s="198"/>
      <c r="AN78" s="198"/>
      <c r="AO78" s="198"/>
      <c r="AP78" s="199"/>
      <c r="AQ78" s="1"/>
    </row>
    <row r="79" customFormat="false" ht="54.75" hidden="false" customHeight="true" outlineLevel="0" collapsed="false">
      <c r="A79" s="194" t="str">
        <f aca="false">IF(C79="","",$C$2&amp;"."&amp;COUNTA($C$8:C79)&amp;"")</f>
        <v>TC_04.65</v>
      </c>
      <c r="B79" s="194" t="s">
        <v>1063</v>
      </c>
      <c r="C79" s="194" t="s">
        <v>1064</v>
      </c>
      <c r="D79" s="194" t="s">
        <v>42</v>
      </c>
      <c r="E79" s="194" t="s">
        <v>157</v>
      </c>
      <c r="F79" s="195" t="s">
        <v>1294</v>
      </c>
      <c r="G79" s="195" t="s">
        <v>1295</v>
      </c>
      <c r="H79" s="195" t="s">
        <v>1296</v>
      </c>
      <c r="I79" s="195" t="s">
        <v>1297</v>
      </c>
      <c r="J79" s="194" t="s">
        <v>637</v>
      </c>
      <c r="K79" s="194" t="s">
        <v>241</v>
      </c>
      <c r="L79" s="194" t="s">
        <v>638</v>
      </c>
      <c r="M79" s="194"/>
      <c r="N79" s="196"/>
      <c r="O79" s="196"/>
      <c r="P79" s="196"/>
      <c r="Q79" s="196"/>
      <c r="R79" s="196"/>
      <c r="S79" s="196"/>
      <c r="T79" s="196"/>
      <c r="U79" s="196"/>
      <c r="V79" s="196"/>
      <c r="W79" s="196"/>
      <c r="X79" s="196"/>
      <c r="Y79" s="196"/>
      <c r="Z79" s="196"/>
      <c r="AA79" s="196"/>
      <c r="AB79" s="197"/>
      <c r="AC79" s="197"/>
      <c r="AD79" s="197"/>
      <c r="AE79" s="197"/>
      <c r="AF79" s="197"/>
      <c r="AG79" s="197"/>
      <c r="AH79" s="197"/>
      <c r="AI79" s="197"/>
      <c r="AJ79" s="197"/>
      <c r="AK79" s="197"/>
      <c r="AL79" s="197"/>
      <c r="AM79" s="198" t="str">
        <f aca="false">IF($A77="","",IF(OR($N77="Yes",$S77="Yes",$X77="Yes",$AC77="Yes",$AH77="Yes"),"Yes","No"))</f>
        <v>No</v>
      </c>
      <c r="AN79" s="198" t="str">
        <f aca="false">IF($A77="","",IFERROR(IF($AI77&lt;&gt;"",$AI77,IF($AD77&lt;&gt;"",$AD77,IF($Y77&lt;&gt;"",$Y77,IF($T77&lt;&gt;"",$T77,IF($O77&lt;&gt;"",$O77,""))))),""))</f>
        <v/>
      </c>
      <c r="AO79" s="198" t="str">
        <f aca="false">IFERROR(IF($AJ77&lt;&gt;"",$AJ77,IF($AE77&lt;&gt;"",$AE77,IF($Z77&lt;&gt;"",$Z77,IF($U77&lt;&gt;"",$U77,IF($P77&lt;&gt;"",$P77,""))))),"")</f>
        <v/>
      </c>
      <c r="AP79" s="199" t="s">
        <v>675</v>
      </c>
      <c r="AQ79" s="1"/>
    </row>
    <row r="80" customFormat="false" ht="15.75" hidden="false" customHeight="true" outlineLevel="0" collapsed="false">
      <c r="A80" s="194" t="str">
        <f aca="false">IF(C80="","",$C$2&amp;"."&amp;COUNTA($C$8:C80)&amp;"")</f>
        <v>TC_04.66</v>
      </c>
      <c r="B80" s="194" t="s">
        <v>544</v>
      </c>
      <c r="C80" s="194" t="s">
        <v>676</v>
      </c>
      <c r="D80" s="194" t="s">
        <v>40</v>
      </c>
      <c r="E80" s="194" t="s">
        <v>157</v>
      </c>
      <c r="F80" s="195" t="s">
        <v>1298</v>
      </c>
      <c r="G80" s="195" t="s">
        <v>1299</v>
      </c>
      <c r="H80" s="195" t="s">
        <v>1300</v>
      </c>
      <c r="I80" s="195" t="s">
        <v>1301</v>
      </c>
      <c r="J80" s="194" t="s">
        <v>637</v>
      </c>
      <c r="K80" s="194" t="s">
        <v>241</v>
      </c>
      <c r="L80" s="194" t="s">
        <v>638</v>
      </c>
      <c r="M80" s="194"/>
      <c r="N80" s="196"/>
      <c r="O80" s="196"/>
      <c r="P80" s="196"/>
      <c r="Q80" s="196"/>
      <c r="R80" s="196"/>
      <c r="S80" s="196"/>
      <c r="T80" s="196"/>
      <c r="U80" s="196"/>
      <c r="V80" s="196"/>
      <c r="W80" s="196"/>
      <c r="X80" s="196"/>
      <c r="Y80" s="196"/>
      <c r="Z80" s="196"/>
      <c r="AA80" s="196"/>
      <c r="AB80" s="197"/>
      <c r="AC80" s="197"/>
      <c r="AD80" s="197"/>
      <c r="AE80" s="197"/>
      <c r="AF80" s="197"/>
      <c r="AG80" s="197"/>
      <c r="AH80" s="197"/>
      <c r="AI80" s="197"/>
      <c r="AJ80" s="197"/>
      <c r="AK80" s="197"/>
      <c r="AL80" s="197"/>
      <c r="AM80" s="198" t="str">
        <f aca="false">IF($A78="","",IF(OR($N78="Yes",$S78="Yes",$X78="Yes",$AC78="Yes",$AH78="Yes"),"Yes","No"))</f>
        <v/>
      </c>
      <c r="AN80" s="198" t="str">
        <f aca="false">IF($A78="","",IFERROR(IF($AI78&lt;&gt;"",$AI78,IF($AD78&lt;&gt;"",$AD78,IF($Y78&lt;&gt;"",$Y78,IF($T78&lt;&gt;"",$T78,IF($O78&lt;&gt;"",$O78,""))))),""))</f>
        <v/>
      </c>
      <c r="AO80" s="198" t="str">
        <f aca="false">IFERROR(IF($AJ78&lt;&gt;"",$AJ78,IF($AE78&lt;&gt;"",$AE78,IF($Z78&lt;&gt;"",$Z78,IF($U78&lt;&gt;"",$U78,IF($P78&lt;&gt;"",$P78,""))))),"")</f>
        <v/>
      </c>
      <c r="AP80" s="199" t="s">
        <v>1302</v>
      </c>
      <c r="AQ80" s="1"/>
    </row>
    <row r="81" customFormat="false" ht="15.75" hidden="false" customHeight="true" outlineLevel="0" collapsed="false">
      <c r="A81" s="194" t="str">
        <f aca="false">IF(C81="","",$C$2&amp;"."&amp;COUNTA($C$8:C81)&amp;"")</f>
        <v>TC_04.67</v>
      </c>
      <c r="B81" s="194" t="s">
        <v>544</v>
      </c>
      <c r="C81" s="194" t="s">
        <v>1064</v>
      </c>
      <c r="D81" s="194" t="s">
        <v>40</v>
      </c>
      <c r="E81" s="194" t="s">
        <v>157</v>
      </c>
      <c r="F81" s="195" t="s">
        <v>1303</v>
      </c>
      <c r="G81" s="195" t="s">
        <v>1299</v>
      </c>
      <c r="H81" s="195" t="s">
        <v>1304</v>
      </c>
      <c r="I81" s="195" t="s">
        <v>1305</v>
      </c>
      <c r="J81" s="194" t="s">
        <v>637</v>
      </c>
      <c r="K81" s="194" t="s">
        <v>241</v>
      </c>
      <c r="L81" s="194" t="s">
        <v>638</v>
      </c>
      <c r="M81" s="194"/>
      <c r="N81" s="196"/>
      <c r="O81" s="196"/>
      <c r="P81" s="196"/>
      <c r="Q81" s="196"/>
      <c r="R81" s="196"/>
      <c r="S81" s="196"/>
      <c r="T81" s="196"/>
      <c r="U81" s="196"/>
      <c r="V81" s="196"/>
      <c r="W81" s="196"/>
      <c r="X81" s="196"/>
      <c r="Y81" s="196"/>
      <c r="Z81" s="196"/>
      <c r="AA81" s="196"/>
      <c r="AB81" s="197"/>
      <c r="AC81" s="197"/>
      <c r="AD81" s="197"/>
      <c r="AE81" s="197"/>
      <c r="AF81" s="197"/>
      <c r="AG81" s="197"/>
      <c r="AH81" s="197"/>
      <c r="AI81" s="197"/>
      <c r="AJ81" s="197"/>
      <c r="AK81" s="197"/>
      <c r="AL81" s="197"/>
      <c r="AM81" s="198" t="str">
        <f aca="false">IF($A79="","",IF(OR($N79="Yes",$S79="Yes",$X79="Yes",$AC79="Yes",$AH79="Yes"),"Yes","No"))</f>
        <v>No</v>
      </c>
      <c r="AN81" s="198" t="str">
        <f aca="false">IF($A79="","",IFERROR(IF($AI79&lt;&gt;"",$AI79,IF($AD79&lt;&gt;"",$AD79,IF($Y79&lt;&gt;"",$Y79,IF($T79&lt;&gt;"",$T79,IF($O79&lt;&gt;"",$O79,""))))),""))</f>
        <v/>
      </c>
      <c r="AO81" s="198" t="str">
        <f aca="false">IFERROR(IF($AJ79&lt;&gt;"",$AJ79,IF($AE79&lt;&gt;"",$AE79,IF($Z79&lt;&gt;"",$Z79,IF($U79&lt;&gt;"",$U79,IF($P79&lt;&gt;"",$P79,""))))),"")</f>
        <v/>
      </c>
      <c r="AP81" s="199" t="s">
        <v>1306</v>
      </c>
      <c r="AQ81" s="1"/>
    </row>
    <row r="82" customFormat="false" ht="15.75" hidden="false" customHeight="true" outlineLevel="0" collapsed="false">
      <c r="A82" s="194" t="str">
        <f aca="false">IF(C82="","",$C$2&amp;"."&amp;COUNTA($C$8:C82)&amp;"")</f>
        <v>TC_04.68</v>
      </c>
      <c r="B82" s="194" t="s">
        <v>544</v>
      </c>
      <c r="C82" s="194" t="s">
        <v>1064</v>
      </c>
      <c r="D82" s="194" t="s">
        <v>40</v>
      </c>
      <c r="E82" s="194" t="s">
        <v>157</v>
      </c>
      <c r="F82" s="195" t="s">
        <v>1307</v>
      </c>
      <c r="G82" s="195" t="s">
        <v>1299</v>
      </c>
      <c r="H82" s="195" t="s">
        <v>1308</v>
      </c>
      <c r="I82" s="195" t="s">
        <v>1309</v>
      </c>
      <c r="J82" s="194" t="s">
        <v>637</v>
      </c>
      <c r="K82" s="194" t="s">
        <v>241</v>
      </c>
      <c r="L82" s="194" t="s">
        <v>638</v>
      </c>
      <c r="M82" s="194"/>
      <c r="N82" s="196"/>
      <c r="O82" s="196"/>
      <c r="P82" s="196"/>
      <c r="Q82" s="196"/>
      <c r="R82" s="196"/>
      <c r="S82" s="196"/>
      <c r="T82" s="196"/>
      <c r="U82" s="196"/>
      <c r="V82" s="196"/>
      <c r="W82" s="196"/>
      <c r="X82" s="196"/>
      <c r="Y82" s="196"/>
      <c r="Z82" s="196"/>
      <c r="AA82" s="196"/>
      <c r="AB82" s="197"/>
      <c r="AC82" s="197"/>
      <c r="AD82" s="197"/>
      <c r="AE82" s="197"/>
      <c r="AF82" s="197"/>
      <c r="AG82" s="197"/>
      <c r="AH82" s="197"/>
      <c r="AI82" s="197"/>
      <c r="AJ82" s="197"/>
      <c r="AK82" s="197"/>
      <c r="AL82" s="197"/>
      <c r="AM82" s="198" t="str">
        <f aca="false">IF($A80="","",IF(OR($N80="Yes",$S80="Yes",$X80="Yes",$AC80="Yes",$AH80="Yes"),"Yes","No"))</f>
        <v>No</v>
      </c>
      <c r="AN82" s="198" t="str">
        <f aca="false">IF($A80="","",IFERROR(IF($AI80&lt;&gt;"",$AI80,IF($AD80&lt;&gt;"",$AD80,IF($Y80&lt;&gt;"",$Y80,IF($T80&lt;&gt;"",$T80,IF($O80&lt;&gt;"",$O80,""))))),""))</f>
        <v/>
      </c>
      <c r="AO82" s="198" t="str">
        <f aca="false">IFERROR(IF($AJ80&lt;&gt;"",$AJ80,IF($AE80&lt;&gt;"",$AE80,IF($Z80&lt;&gt;"",$Z80,IF($U80&lt;&gt;"",$U80,IF($P80&lt;&gt;"",$P80,""))))),"")</f>
        <v/>
      </c>
      <c r="AP82" s="199" t="s">
        <v>1310</v>
      </c>
      <c r="AQ82" s="1"/>
    </row>
    <row r="83" customFormat="false" ht="15.75" hidden="false" customHeight="true" outlineLevel="0" collapsed="false">
      <c r="A83" s="194" t="str">
        <f aca="false">IF(C83="","",$C$2&amp;"."&amp;COUNTA($C$8:C83)&amp;"")</f>
        <v>TC_04.69</v>
      </c>
      <c r="B83" s="194" t="s">
        <v>544</v>
      </c>
      <c r="C83" s="194" t="s">
        <v>1064</v>
      </c>
      <c r="D83" s="194" t="s">
        <v>40</v>
      </c>
      <c r="E83" s="194" t="s">
        <v>157</v>
      </c>
      <c r="F83" s="195" t="s">
        <v>1311</v>
      </c>
      <c r="G83" s="195" t="s">
        <v>1299</v>
      </c>
      <c r="H83" s="195" t="s">
        <v>1312</v>
      </c>
      <c r="I83" s="195" t="s">
        <v>1309</v>
      </c>
      <c r="J83" s="194" t="s">
        <v>637</v>
      </c>
      <c r="K83" s="194" t="s">
        <v>241</v>
      </c>
      <c r="L83" s="194" t="s">
        <v>638</v>
      </c>
      <c r="M83" s="194"/>
      <c r="N83" s="196"/>
      <c r="O83" s="196"/>
      <c r="P83" s="196"/>
      <c r="Q83" s="196"/>
      <c r="R83" s="196"/>
      <c r="S83" s="196"/>
      <c r="T83" s="196"/>
      <c r="U83" s="196"/>
      <c r="V83" s="196"/>
      <c r="W83" s="196"/>
      <c r="X83" s="196"/>
      <c r="Y83" s="196"/>
      <c r="Z83" s="196"/>
      <c r="AA83" s="196"/>
      <c r="AB83" s="197"/>
      <c r="AC83" s="197"/>
      <c r="AD83" s="197"/>
      <c r="AE83" s="197"/>
      <c r="AF83" s="197"/>
      <c r="AG83" s="197"/>
      <c r="AH83" s="197"/>
      <c r="AI83" s="197"/>
      <c r="AJ83" s="197"/>
      <c r="AK83" s="197"/>
      <c r="AL83" s="197"/>
      <c r="AM83" s="198" t="str">
        <f aca="false">IF($A81="","",IF(OR($N81="Yes",$S81="Yes",$X81="Yes",$AC81="Yes",$AH81="Yes"),"Yes","No"))</f>
        <v>No</v>
      </c>
      <c r="AN83" s="198" t="str">
        <f aca="false">IF($A81="","",IFERROR(IF($AI81&lt;&gt;"",$AI81,IF($AD81&lt;&gt;"",$AD81,IF($Y81&lt;&gt;"",$Y81,IF($T81&lt;&gt;"",$T81,IF($O81&lt;&gt;"",$O81,""))))),""))</f>
        <v/>
      </c>
      <c r="AO83" s="198" t="str">
        <f aca="false">IFERROR(IF($AJ81&lt;&gt;"",$AJ81,IF($AE81&lt;&gt;"",$AE81,IF($Z81&lt;&gt;"",$Z81,IF($U81&lt;&gt;"",$U81,IF($P81&lt;&gt;"",$P81,""))))),"")</f>
        <v/>
      </c>
      <c r="AP83" s="199" t="s">
        <v>1313</v>
      </c>
      <c r="AQ83" s="1"/>
    </row>
    <row r="84" customFormat="false" ht="15.75" hidden="false" customHeight="true" outlineLevel="0" collapsed="false">
      <c r="A84" s="194" t="str">
        <f aca="false">IF(C84="","",$C$2&amp;"."&amp;COUNTA($C$8:C84)&amp;"")</f>
        <v>TC_04.70</v>
      </c>
      <c r="B84" s="194" t="s">
        <v>544</v>
      </c>
      <c r="C84" s="194" t="s">
        <v>1064</v>
      </c>
      <c r="D84" s="194" t="s">
        <v>40</v>
      </c>
      <c r="E84" s="194" t="s">
        <v>158</v>
      </c>
      <c r="F84" s="195" t="s">
        <v>1314</v>
      </c>
      <c r="G84" s="195" t="s">
        <v>1299</v>
      </c>
      <c r="H84" s="195" t="s">
        <v>1315</v>
      </c>
      <c r="I84" s="195" t="s">
        <v>1316</v>
      </c>
      <c r="J84" s="194" t="s">
        <v>637</v>
      </c>
      <c r="K84" s="194" t="s">
        <v>241</v>
      </c>
      <c r="L84" s="194" t="s">
        <v>638</v>
      </c>
      <c r="M84" s="194"/>
      <c r="N84" s="196"/>
      <c r="O84" s="196"/>
      <c r="P84" s="196"/>
      <c r="Q84" s="196"/>
      <c r="R84" s="196"/>
      <c r="S84" s="196"/>
      <c r="T84" s="196"/>
      <c r="U84" s="196"/>
      <c r="V84" s="196"/>
      <c r="W84" s="196"/>
      <c r="X84" s="196"/>
      <c r="Y84" s="196"/>
      <c r="Z84" s="196"/>
      <c r="AA84" s="196"/>
      <c r="AB84" s="197"/>
      <c r="AC84" s="197"/>
      <c r="AD84" s="197"/>
      <c r="AE84" s="197"/>
      <c r="AF84" s="197"/>
      <c r="AG84" s="197"/>
      <c r="AH84" s="197"/>
      <c r="AI84" s="197"/>
      <c r="AJ84" s="197"/>
      <c r="AK84" s="197"/>
      <c r="AL84" s="197"/>
      <c r="AM84" s="198" t="str">
        <f aca="false">IF($A82="","",IF(OR($N82="Yes",$S82="Yes",$X82="Yes",$AC82="Yes",$AH82="Yes"),"Yes","No"))</f>
        <v>No</v>
      </c>
      <c r="AN84" s="198" t="str">
        <f aca="false">IF($A82="","",IFERROR(IF($AI82&lt;&gt;"",$AI82,IF($AD82&lt;&gt;"",$AD82,IF($Y82&lt;&gt;"",$Y82,IF($T82&lt;&gt;"",$T82,IF($O82&lt;&gt;"",$O82,""))))),""))</f>
        <v/>
      </c>
      <c r="AO84" s="198" t="str">
        <f aca="false">IFERROR(IF($AJ82&lt;&gt;"",$AJ82,IF($AE82&lt;&gt;"",$AE82,IF($Z82&lt;&gt;"",$Z82,IF($U82&lt;&gt;"",$U82,IF($P82&lt;&gt;"",$P82,""))))),"")</f>
        <v/>
      </c>
      <c r="AP84" s="199" t="s">
        <v>1317</v>
      </c>
      <c r="AQ84" s="1"/>
    </row>
    <row r="85" customFormat="false" ht="15.75" hidden="false" customHeight="true" outlineLevel="0" collapsed="false">
      <c r="A85" s="194" t="str">
        <f aca="false">IF(C85="","",$C$2&amp;"."&amp;COUNTA($C$8:C85)&amp;"")</f>
        <v>TC_04.71</v>
      </c>
      <c r="B85" s="194" t="s">
        <v>544</v>
      </c>
      <c r="C85" s="194" t="s">
        <v>1064</v>
      </c>
      <c r="D85" s="194" t="s">
        <v>40</v>
      </c>
      <c r="E85" s="194" t="s">
        <v>158</v>
      </c>
      <c r="F85" s="195" t="s">
        <v>1318</v>
      </c>
      <c r="G85" s="195" t="s">
        <v>1299</v>
      </c>
      <c r="H85" s="195" t="s">
        <v>1319</v>
      </c>
      <c r="I85" s="195" t="s">
        <v>1316</v>
      </c>
      <c r="J85" s="194" t="s">
        <v>637</v>
      </c>
      <c r="K85" s="194" t="s">
        <v>241</v>
      </c>
      <c r="L85" s="194" t="s">
        <v>638</v>
      </c>
      <c r="M85" s="194"/>
      <c r="N85" s="196"/>
      <c r="O85" s="196"/>
      <c r="P85" s="196"/>
      <c r="Q85" s="196"/>
      <c r="R85" s="196"/>
      <c r="S85" s="196"/>
      <c r="T85" s="196"/>
      <c r="U85" s="196"/>
      <c r="V85" s="196"/>
      <c r="W85" s="196"/>
      <c r="X85" s="196"/>
      <c r="Y85" s="196"/>
      <c r="Z85" s="196"/>
      <c r="AA85" s="196"/>
      <c r="AB85" s="197"/>
      <c r="AC85" s="197"/>
      <c r="AD85" s="197"/>
      <c r="AE85" s="197"/>
      <c r="AF85" s="197"/>
      <c r="AG85" s="197"/>
      <c r="AH85" s="197"/>
      <c r="AI85" s="197"/>
      <c r="AJ85" s="197"/>
      <c r="AK85" s="197"/>
      <c r="AL85" s="197"/>
      <c r="AM85" s="198" t="str">
        <f aca="false">IF($A83="","",IF(OR($N83="Yes",$S83="Yes",$X83="Yes",$AC83="Yes",$AH83="Yes"),"Yes","No"))</f>
        <v>No</v>
      </c>
      <c r="AN85" s="198" t="str">
        <f aca="false">IF($A83="","",IFERROR(IF($AI83&lt;&gt;"",$AI83,IF($AD83&lt;&gt;"",$AD83,IF($Y83&lt;&gt;"",$Y83,IF($T83&lt;&gt;"",$T83,IF($O83&lt;&gt;"",$O83,""))))),""))</f>
        <v/>
      </c>
      <c r="AO85" s="198" t="str">
        <f aca="false">IFERROR(IF($AJ83&lt;&gt;"",$AJ83,IF($AE83&lt;&gt;"",$AE83,IF($Z83&lt;&gt;"",$Z83,IF($U83&lt;&gt;"",$U83,IF($P83&lt;&gt;"",$P83,""))))),"")</f>
        <v/>
      </c>
      <c r="AP85" s="199" t="s">
        <v>1320</v>
      </c>
      <c r="AQ85" s="1"/>
    </row>
    <row r="86" customFormat="false" ht="15.75" hidden="false" customHeight="true" outlineLevel="0" collapsed="false">
      <c r="A86" s="191" t="s">
        <v>1321</v>
      </c>
      <c r="B86" s="191"/>
      <c r="C86" s="191"/>
      <c r="D86" s="191"/>
      <c r="E86" s="191"/>
      <c r="F86" s="191"/>
      <c r="G86" s="191"/>
      <c r="H86" s="191"/>
      <c r="I86" s="191"/>
      <c r="J86" s="192"/>
      <c r="K86" s="192"/>
      <c r="L86" s="192"/>
      <c r="M86" s="192"/>
      <c r="N86" s="193"/>
      <c r="O86" s="193"/>
      <c r="P86" s="193"/>
      <c r="Q86" s="193"/>
      <c r="R86" s="193"/>
      <c r="S86" s="193"/>
      <c r="T86" s="193"/>
      <c r="U86" s="193"/>
      <c r="V86" s="193"/>
      <c r="W86" s="193"/>
      <c r="X86" s="193"/>
      <c r="Y86" s="193"/>
      <c r="Z86" s="193"/>
      <c r="AA86" s="193"/>
      <c r="AB86" s="189"/>
      <c r="AC86" s="189"/>
      <c r="AD86" s="189"/>
      <c r="AE86" s="189"/>
      <c r="AF86" s="189"/>
      <c r="AG86" s="189"/>
      <c r="AH86" s="189"/>
      <c r="AI86" s="189"/>
      <c r="AJ86" s="189"/>
      <c r="AK86" s="189"/>
      <c r="AL86" s="189"/>
      <c r="AM86" s="190"/>
      <c r="AN86" s="190"/>
      <c r="AO86" s="190"/>
      <c r="AP86" s="190"/>
      <c r="AQ86" s="1"/>
    </row>
    <row r="87" customFormat="false" ht="15.75" hidden="false" customHeight="true" outlineLevel="0" collapsed="false">
      <c r="A87" s="194"/>
      <c r="B87" s="200" t="s">
        <v>1322</v>
      </c>
      <c r="C87" s="200"/>
      <c r="D87" s="200"/>
      <c r="E87" s="200"/>
      <c r="F87" s="200"/>
      <c r="G87" s="200"/>
      <c r="H87" s="200"/>
      <c r="I87" s="200"/>
      <c r="J87" s="194"/>
      <c r="K87" s="194"/>
      <c r="L87" s="194"/>
      <c r="M87" s="194"/>
      <c r="N87" s="196"/>
      <c r="O87" s="196"/>
      <c r="P87" s="196"/>
      <c r="Q87" s="196"/>
      <c r="R87" s="196"/>
      <c r="S87" s="196"/>
      <c r="T87" s="196"/>
      <c r="U87" s="196"/>
      <c r="V87" s="196"/>
      <c r="W87" s="196"/>
      <c r="X87" s="196"/>
      <c r="Y87" s="196"/>
      <c r="Z87" s="196"/>
      <c r="AA87" s="196"/>
      <c r="AB87" s="197"/>
      <c r="AC87" s="197"/>
      <c r="AD87" s="197"/>
      <c r="AE87" s="197"/>
      <c r="AF87" s="197"/>
      <c r="AG87" s="197"/>
      <c r="AH87" s="197"/>
      <c r="AI87" s="197"/>
      <c r="AJ87" s="197"/>
      <c r="AK87" s="197"/>
      <c r="AL87" s="197"/>
      <c r="AM87" s="198"/>
      <c r="AN87" s="198"/>
      <c r="AO87" s="198"/>
      <c r="AP87" s="199"/>
      <c r="AQ87" s="1"/>
    </row>
    <row r="88" customFormat="false" ht="84.75" hidden="false" customHeight="true" outlineLevel="0" collapsed="false">
      <c r="A88" s="194" t="str">
        <f aca="false">IF(C88="","",$C$2&amp;"."&amp;COUNTA($C$8:C88)&amp;"")</f>
        <v>TC_04.72</v>
      </c>
      <c r="B88" s="194" t="s">
        <v>1323</v>
      </c>
      <c r="C88" s="194" t="s">
        <v>755</v>
      </c>
      <c r="D88" s="194" t="s">
        <v>42</v>
      </c>
      <c r="E88" s="194" t="s">
        <v>157</v>
      </c>
      <c r="F88" s="195" t="s">
        <v>1324</v>
      </c>
      <c r="G88" s="195" t="s">
        <v>1325</v>
      </c>
      <c r="H88" s="195" t="s">
        <v>1326</v>
      </c>
      <c r="I88" s="195" t="s">
        <v>1327</v>
      </c>
      <c r="J88" s="194" t="s">
        <v>637</v>
      </c>
      <c r="K88" s="194" t="s">
        <v>241</v>
      </c>
      <c r="L88" s="194" t="s">
        <v>638</v>
      </c>
      <c r="M88" s="194"/>
      <c r="N88" s="196"/>
      <c r="O88" s="196"/>
      <c r="P88" s="196"/>
      <c r="Q88" s="196"/>
      <c r="R88" s="196"/>
      <c r="S88" s="196"/>
      <c r="T88" s="196"/>
      <c r="U88" s="196"/>
      <c r="V88" s="196"/>
      <c r="W88" s="196"/>
      <c r="X88" s="196"/>
      <c r="Y88" s="196"/>
      <c r="Z88" s="196"/>
      <c r="AA88" s="196"/>
      <c r="AB88" s="197"/>
      <c r="AC88" s="197"/>
      <c r="AD88" s="197"/>
      <c r="AE88" s="197"/>
      <c r="AF88" s="197"/>
      <c r="AG88" s="197"/>
      <c r="AH88" s="197"/>
      <c r="AI88" s="197"/>
      <c r="AJ88" s="197"/>
      <c r="AK88" s="197"/>
      <c r="AL88" s="197"/>
      <c r="AM88" s="198" t="str">
        <f aca="false">IF($A86="","",IF(OR($N86="Yes",$S86="Yes",$X86="Yes",$AC86="Yes",$AH86="Yes"),"Yes","No"))</f>
        <v>No</v>
      </c>
      <c r="AN88" s="198" t="str">
        <f aca="false">IF($A86="","",IFERROR(IF($AI86&lt;&gt;"",$AI86,IF($AD86&lt;&gt;"",$AD86,IF($Y86&lt;&gt;"",$Y86,IF($T86&lt;&gt;"",$T86,IF($O86&lt;&gt;"",$O86,""))))),""))</f>
        <v/>
      </c>
      <c r="AO88" s="198" t="str">
        <f aca="false">IFERROR(IF($AJ86&lt;&gt;"",$AJ86,IF($AE86&lt;&gt;"",$AE86,IF($Z86&lt;&gt;"",$Z86,IF($U86&lt;&gt;"",$U86,IF($P86&lt;&gt;"",$P86,""))))),"")</f>
        <v/>
      </c>
      <c r="AP88" s="199" t="s">
        <v>675</v>
      </c>
      <c r="AQ88" s="1"/>
    </row>
    <row r="89" customFormat="false" ht="15.75" hidden="false" customHeight="true" outlineLevel="0" collapsed="false">
      <c r="A89" s="194" t="str">
        <f aca="false">IF(C89="","",$C$2&amp;"."&amp;COUNTA($C$8:C89)&amp;"")</f>
        <v>TC_04.73</v>
      </c>
      <c r="B89" s="194" t="s">
        <v>526</v>
      </c>
      <c r="C89" s="194" t="s">
        <v>676</v>
      </c>
      <c r="D89" s="194" t="s">
        <v>42</v>
      </c>
      <c r="E89" s="194" t="s">
        <v>157</v>
      </c>
      <c r="F89" s="195" t="s">
        <v>1328</v>
      </c>
      <c r="G89" s="195" t="s">
        <v>1329</v>
      </c>
      <c r="H89" s="195" t="s">
        <v>1330</v>
      </c>
      <c r="I89" s="195" t="s">
        <v>1331</v>
      </c>
      <c r="J89" s="194" t="s">
        <v>637</v>
      </c>
      <c r="K89" s="194" t="s">
        <v>241</v>
      </c>
      <c r="L89" s="194" t="s">
        <v>638</v>
      </c>
      <c r="M89" s="194"/>
      <c r="N89" s="196"/>
      <c r="O89" s="196"/>
      <c r="P89" s="196"/>
      <c r="Q89" s="196"/>
      <c r="R89" s="196"/>
      <c r="S89" s="196"/>
      <c r="T89" s="196"/>
      <c r="U89" s="196"/>
      <c r="V89" s="196"/>
      <c r="W89" s="196"/>
      <c r="X89" s="196"/>
      <c r="Y89" s="196"/>
      <c r="Z89" s="196"/>
      <c r="AA89" s="196"/>
      <c r="AB89" s="197"/>
      <c r="AC89" s="197"/>
      <c r="AD89" s="197"/>
      <c r="AE89" s="197"/>
      <c r="AF89" s="197"/>
      <c r="AG89" s="197"/>
      <c r="AH89" s="197"/>
      <c r="AI89" s="197"/>
      <c r="AJ89" s="197"/>
      <c r="AK89" s="197"/>
      <c r="AL89" s="197"/>
      <c r="AM89" s="198" t="str">
        <f aca="false">IF($A87="","",IF(OR($N87="Yes",$S87="Yes",$X87="Yes",$AC87="Yes",$AH87="Yes"),"Yes","No"))</f>
        <v/>
      </c>
      <c r="AN89" s="198" t="str">
        <f aca="false">IF($A87="","",IFERROR(IF($AI87&lt;&gt;"",$AI87,IF($AD87&lt;&gt;"",$AD87,IF($Y87&lt;&gt;"",$Y87,IF($T87&lt;&gt;"",$T87,IF($O87&lt;&gt;"",$O87,""))))),""))</f>
        <v/>
      </c>
      <c r="AO89" s="198" t="str">
        <f aca="false">IFERROR(IF($AJ87&lt;&gt;"",$AJ87,IF($AE87&lt;&gt;"",$AE87,IF($Z87&lt;&gt;"",$Z87,IF($U87&lt;&gt;"",$U87,IF($P87&lt;&gt;"",$P87,""))))),"")</f>
        <v/>
      </c>
      <c r="AP89" s="199"/>
      <c r="AQ89" s="1"/>
    </row>
    <row r="90" customFormat="false" ht="15.75" hidden="false" customHeight="true" outlineLevel="0" collapsed="false">
      <c r="A90" s="194" t="str">
        <f aca="false">IF(C90="","",$C$2&amp;"."&amp;COUNTA($C$8:C90)&amp;"")</f>
        <v>TC_04.74</v>
      </c>
      <c r="B90" s="194" t="s">
        <v>526</v>
      </c>
      <c r="C90" s="194" t="s">
        <v>755</v>
      </c>
      <c r="D90" s="194" t="s">
        <v>40</v>
      </c>
      <c r="E90" s="194" t="s">
        <v>157</v>
      </c>
      <c r="F90" s="195" t="s">
        <v>1332</v>
      </c>
      <c r="G90" s="195" t="s">
        <v>1333</v>
      </c>
      <c r="H90" s="195" t="s">
        <v>1334</v>
      </c>
      <c r="I90" s="195" t="s">
        <v>1335</v>
      </c>
      <c r="J90" s="194" t="s">
        <v>637</v>
      </c>
      <c r="K90" s="194" t="s">
        <v>241</v>
      </c>
      <c r="L90" s="194" t="s">
        <v>638</v>
      </c>
      <c r="M90" s="194"/>
      <c r="N90" s="196"/>
      <c r="O90" s="196"/>
      <c r="P90" s="196"/>
      <c r="Q90" s="196"/>
      <c r="R90" s="196"/>
      <c r="S90" s="196"/>
      <c r="T90" s="196"/>
      <c r="U90" s="196"/>
      <c r="V90" s="196"/>
      <c r="W90" s="196"/>
      <c r="X90" s="196"/>
      <c r="Y90" s="196"/>
      <c r="Z90" s="196"/>
      <c r="AA90" s="196"/>
      <c r="AB90" s="197"/>
      <c r="AC90" s="197"/>
      <c r="AD90" s="197"/>
      <c r="AE90" s="197"/>
      <c r="AF90" s="197"/>
      <c r="AG90" s="197"/>
      <c r="AH90" s="197"/>
      <c r="AI90" s="197"/>
      <c r="AJ90" s="197"/>
      <c r="AK90" s="197"/>
      <c r="AL90" s="197"/>
      <c r="AM90" s="198" t="str">
        <f aca="false">IF($A88="","",IF(OR($N88="Yes",$S88="Yes",$X88="Yes",$AC88="Yes",$AH88="Yes"),"Yes","No"))</f>
        <v>No</v>
      </c>
      <c r="AN90" s="198" t="str">
        <f aca="false">IF($A88="","",IFERROR(IF($AI88&lt;&gt;"",$AI88,IF($AD88&lt;&gt;"",$AD88,IF($Y88&lt;&gt;"",$Y88,IF($T88&lt;&gt;"",$T88,IF($O88&lt;&gt;"",$O88,""))))),""))</f>
        <v/>
      </c>
      <c r="AO90" s="198" t="str">
        <f aca="false">IFERROR(IF($AJ88&lt;&gt;"",$AJ88,IF($AE88&lt;&gt;"",$AE88,IF($Z88&lt;&gt;"",$Z88,IF($U88&lt;&gt;"",$U88,IF($P88&lt;&gt;"",$P88,""))))),"")</f>
        <v/>
      </c>
      <c r="AP90" s="199"/>
      <c r="AQ90" s="1"/>
    </row>
    <row r="91" customFormat="false" ht="15.75" hidden="false" customHeight="true" outlineLevel="0" collapsed="false">
      <c r="A91" s="194" t="str">
        <f aca="false">IF(C91="","",$C$2&amp;"."&amp;COUNTA($C$8:C91)&amp;"")</f>
        <v>TC_04.75</v>
      </c>
      <c r="B91" s="194" t="s">
        <v>1034</v>
      </c>
      <c r="C91" s="194" t="s">
        <v>755</v>
      </c>
      <c r="D91" s="194" t="s">
        <v>40</v>
      </c>
      <c r="E91" s="194" t="s">
        <v>156</v>
      </c>
      <c r="F91" s="195" t="s">
        <v>1336</v>
      </c>
      <c r="G91" s="195" t="s">
        <v>1337</v>
      </c>
      <c r="H91" s="195" t="s">
        <v>1338</v>
      </c>
      <c r="I91" s="195" t="s">
        <v>1339</v>
      </c>
      <c r="J91" s="194" t="s">
        <v>637</v>
      </c>
      <c r="K91" s="194" t="s">
        <v>241</v>
      </c>
      <c r="L91" s="194" t="s">
        <v>638</v>
      </c>
      <c r="M91" s="194"/>
      <c r="N91" s="196"/>
      <c r="O91" s="196"/>
      <c r="P91" s="196"/>
      <c r="Q91" s="196"/>
      <c r="R91" s="196"/>
      <c r="S91" s="196"/>
      <c r="T91" s="196"/>
      <c r="U91" s="196"/>
      <c r="V91" s="196"/>
      <c r="W91" s="196"/>
      <c r="X91" s="196"/>
      <c r="Y91" s="196"/>
      <c r="Z91" s="196"/>
      <c r="AA91" s="196"/>
      <c r="AB91" s="197"/>
      <c r="AC91" s="197"/>
      <c r="AD91" s="197"/>
      <c r="AE91" s="197"/>
      <c r="AF91" s="197"/>
      <c r="AG91" s="197"/>
      <c r="AH91" s="197"/>
      <c r="AI91" s="197"/>
      <c r="AJ91" s="197"/>
      <c r="AK91" s="197"/>
      <c r="AL91" s="197"/>
      <c r="AM91" s="198" t="str">
        <f aca="false">IF($A89="","",IF(OR($N89="Yes",$S89="Yes",$X89="Yes",$AC89="Yes",$AH89="Yes"),"Yes","No"))</f>
        <v>No</v>
      </c>
      <c r="AN91" s="198" t="str">
        <f aca="false">IF($A89="","",IFERROR(IF($AI89&lt;&gt;"",$AI89,IF($AD89&lt;&gt;"",$AD89,IF($Y89&lt;&gt;"",$Y89,IF($T89&lt;&gt;"",$T89,IF($O89&lt;&gt;"",$O89,""))))),""))</f>
        <v/>
      </c>
      <c r="AO91" s="198" t="str">
        <f aca="false">IFERROR(IF($AJ89&lt;&gt;"",$AJ89,IF($AE89&lt;&gt;"",$AE89,IF($Z89&lt;&gt;"",$Z89,IF($U89&lt;&gt;"",$U89,IF($P89&lt;&gt;"",$P89,""))))),"")</f>
        <v/>
      </c>
      <c r="AP91" s="199"/>
      <c r="AQ91" s="1"/>
    </row>
    <row r="92" customFormat="false" ht="15.75" hidden="false" customHeight="true" outlineLevel="0" collapsed="false">
      <c r="A92" s="194" t="str">
        <f aca="false">IF(C92="","",$C$2&amp;"."&amp;COUNTA($C$8:C92)&amp;"")</f>
        <v>TC_04.76</v>
      </c>
      <c r="B92" s="194" t="s">
        <v>520</v>
      </c>
      <c r="C92" s="194" t="s">
        <v>755</v>
      </c>
      <c r="D92" s="194" t="s">
        <v>40</v>
      </c>
      <c r="E92" s="194" t="s">
        <v>157</v>
      </c>
      <c r="F92" s="195" t="s">
        <v>1340</v>
      </c>
      <c r="G92" s="195" t="s">
        <v>1341</v>
      </c>
      <c r="H92" s="195" t="s">
        <v>1342</v>
      </c>
      <c r="I92" s="195" t="s">
        <v>1343</v>
      </c>
      <c r="J92" s="194" t="s">
        <v>637</v>
      </c>
      <c r="K92" s="194" t="s">
        <v>241</v>
      </c>
      <c r="L92" s="194" t="s">
        <v>638</v>
      </c>
      <c r="M92" s="194"/>
      <c r="N92" s="196"/>
      <c r="O92" s="196"/>
      <c r="P92" s="196"/>
      <c r="Q92" s="196"/>
      <c r="R92" s="196"/>
      <c r="S92" s="196"/>
      <c r="T92" s="196"/>
      <c r="U92" s="196"/>
      <c r="V92" s="196"/>
      <c r="W92" s="196"/>
      <c r="X92" s="196"/>
      <c r="Y92" s="196"/>
      <c r="Z92" s="196"/>
      <c r="AA92" s="196"/>
      <c r="AB92" s="197"/>
      <c r="AC92" s="197"/>
      <c r="AD92" s="197"/>
      <c r="AE92" s="197"/>
      <c r="AF92" s="197"/>
      <c r="AG92" s="197"/>
      <c r="AH92" s="197"/>
      <c r="AI92" s="197"/>
      <c r="AJ92" s="197"/>
      <c r="AK92" s="197"/>
      <c r="AL92" s="197"/>
      <c r="AM92" s="198" t="str">
        <f aca="false">IF($A90="","",IF(OR($N90="Yes",$S90="Yes",$X90="Yes",$AC90="Yes",$AH90="Yes"),"Yes","No"))</f>
        <v>No</v>
      </c>
      <c r="AN92" s="198" t="str">
        <f aca="false">IF($A90="","",IFERROR(IF($AI90&lt;&gt;"",$AI90,IF($AD90&lt;&gt;"",$AD90,IF($Y90&lt;&gt;"",$Y90,IF($T90&lt;&gt;"",$T90,IF($O90&lt;&gt;"",$O90,""))))),""))</f>
        <v/>
      </c>
      <c r="AO92" s="198" t="str">
        <f aca="false">IFERROR(IF($AJ90&lt;&gt;"",$AJ90,IF($AE90&lt;&gt;"",$AE90,IF($Z90&lt;&gt;"",$Z90,IF($U90&lt;&gt;"",$U90,IF($P90&lt;&gt;"",$P90,""))))),"")</f>
        <v/>
      </c>
      <c r="AP92" s="199" t="s">
        <v>1344</v>
      </c>
      <c r="AQ92" s="1"/>
    </row>
    <row r="93" customFormat="false" ht="15.75" hidden="false" customHeight="true" outlineLevel="0" collapsed="false">
      <c r="A93" s="194" t="str">
        <f aca="false">IF(C93="","",$C$2&amp;"."&amp;COUNTA($C$8:C93)&amp;"")</f>
        <v>TC_04.77</v>
      </c>
      <c r="B93" s="194" t="s">
        <v>520</v>
      </c>
      <c r="C93" s="194" t="s">
        <v>755</v>
      </c>
      <c r="D93" s="194" t="s">
        <v>40</v>
      </c>
      <c r="E93" s="194" t="s">
        <v>157</v>
      </c>
      <c r="F93" s="195" t="s">
        <v>1345</v>
      </c>
      <c r="G93" s="195" t="s">
        <v>1346</v>
      </c>
      <c r="H93" s="195" t="s">
        <v>1347</v>
      </c>
      <c r="I93" s="195" t="s">
        <v>1348</v>
      </c>
      <c r="J93" s="194" t="s">
        <v>637</v>
      </c>
      <c r="K93" s="194" t="s">
        <v>241</v>
      </c>
      <c r="L93" s="194" t="s">
        <v>638</v>
      </c>
      <c r="M93" s="194"/>
      <c r="N93" s="196"/>
      <c r="O93" s="196"/>
      <c r="P93" s="196"/>
      <c r="Q93" s="196"/>
      <c r="R93" s="196"/>
      <c r="S93" s="196"/>
      <c r="T93" s="196"/>
      <c r="U93" s="196"/>
      <c r="V93" s="196"/>
      <c r="W93" s="196"/>
      <c r="X93" s="196"/>
      <c r="Y93" s="196"/>
      <c r="Z93" s="196"/>
      <c r="AA93" s="196"/>
      <c r="AB93" s="197"/>
      <c r="AC93" s="197"/>
      <c r="AD93" s="197"/>
      <c r="AE93" s="197"/>
      <c r="AF93" s="197"/>
      <c r="AG93" s="197"/>
      <c r="AH93" s="197"/>
      <c r="AI93" s="197"/>
      <c r="AJ93" s="197"/>
      <c r="AK93" s="197"/>
      <c r="AL93" s="197"/>
      <c r="AM93" s="198" t="str">
        <f aca="false">IF($A91="","",IF(OR($N91="Yes",$S91="Yes",$X91="Yes",$AC91="Yes",$AH91="Yes"),"Yes","No"))</f>
        <v>No</v>
      </c>
      <c r="AN93" s="198" t="str">
        <f aca="false">IF($A91="","",IFERROR(IF($AI91&lt;&gt;"",$AI91,IF($AD91&lt;&gt;"",$AD91,IF($Y91&lt;&gt;"",$Y91,IF($T91&lt;&gt;"",$T91,IF($O91&lt;&gt;"",$O91,""))))),""))</f>
        <v/>
      </c>
      <c r="AO93" s="198" t="str">
        <f aca="false">IFERROR(IF($AJ91&lt;&gt;"",$AJ91,IF($AE91&lt;&gt;"",$AE91,IF($Z91&lt;&gt;"",$Z91,IF($U91&lt;&gt;"",$U91,IF($P91&lt;&gt;"",$P91,""))))),"")</f>
        <v/>
      </c>
      <c r="AP93" s="199" t="s">
        <v>1349</v>
      </c>
      <c r="AQ93" s="1"/>
    </row>
    <row r="94" customFormat="false" ht="15.75" hidden="false" customHeight="true" outlineLevel="0" collapsed="false">
      <c r="A94" s="194" t="str">
        <f aca="false">IF(C94="","",$C$2&amp;"."&amp;COUNTA($C$8:C94)&amp;"")</f>
        <v>TC_04.78</v>
      </c>
      <c r="B94" s="194" t="s">
        <v>520</v>
      </c>
      <c r="C94" s="194" t="s">
        <v>755</v>
      </c>
      <c r="D94" s="194" t="s">
        <v>40</v>
      </c>
      <c r="E94" s="194" t="s">
        <v>157</v>
      </c>
      <c r="F94" s="195" t="s">
        <v>1350</v>
      </c>
      <c r="G94" s="195" t="s">
        <v>1351</v>
      </c>
      <c r="H94" s="195" t="s">
        <v>1352</v>
      </c>
      <c r="I94" s="195" t="s">
        <v>1353</v>
      </c>
      <c r="J94" s="194" t="s">
        <v>637</v>
      </c>
      <c r="K94" s="194" t="s">
        <v>241</v>
      </c>
      <c r="L94" s="194" t="s">
        <v>638</v>
      </c>
      <c r="M94" s="194"/>
      <c r="N94" s="196"/>
      <c r="O94" s="196"/>
      <c r="P94" s="196"/>
      <c r="Q94" s="196"/>
      <c r="R94" s="196"/>
      <c r="S94" s="196"/>
      <c r="T94" s="196"/>
      <c r="U94" s="196"/>
      <c r="V94" s="196"/>
      <c r="W94" s="196"/>
      <c r="X94" s="196"/>
      <c r="Y94" s="196"/>
      <c r="Z94" s="196"/>
      <c r="AA94" s="196"/>
      <c r="AB94" s="197"/>
      <c r="AC94" s="197"/>
      <c r="AD94" s="197"/>
      <c r="AE94" s="197"/>
      <c r="AF94" s="197"/>
      <c r="AG94" s="197"/>
      <c r="AH94" s="197"/>
      <c r="AI94" s="197"/>
      <c r="AJ94" s="197"/>
      <c r="AK94" s="197"/>
      <c r="AL94" s="197"/>
      <c r="AM94" s="198" t="str">
        <f aca="false">IF($A92="","",IF(OR($N92="Yes",$S92="Yes",$X92="Yes",$AC92="Yes",$AH92="Yes"),"Yes","No"))</f>
        <v>No</v>
      </c>
      <c r="AN94" s="198" t="str">
        <f aca="false">IF($A92="","",IFERROR(IF($AI92&lt;&gt;"",$AI92,IF($AD92&lt;&gt;"",$AD92,IF($Y92&lt;&gt;"",$Y92,IF($T92&lt;&gt;"",$T92,IF($O92&lt;&gt;"",$O92,""))))),""))</f>
        <v/>
      </c>
      <c r="AO94" s="198" t="str">
        <f aca="false">IFERROR(IF($AJ92&lt;&gt;"",$AJ92,IF($AE92&lt;&gt;"",$AE92,IF($Z92&lt;&gt;"",$Z92,IF($U92&lt;&gt;"",$U92,IF($P92&lt;&gt;"",$P92,""))))),"")</f>
        <v/>
      </c>
      <c r="AP94" s="199" t="s">
        <v>1354</v>
      </c>
      <c r="AQ94" s="1"/>
    </row>
    <row r="95" customFormat="false" ht="15.75" hidden="false" customHeight="true" outlineLevel="0" collapsed="false">
      <c r="A95" s="194" t="str">
        <f aca="false">IF(C95="","",$C$2&amp;"."&amp;COUNTA($C$8:C95)&amp;"")</f>
        <v>TC_04.79</v>
      </c>
      <c r="B95" s="194" t="s">
        <v>520</v>
      </c>
      <c r="C95" s="194" t="s">
        <v>755</v>
      </c>
      <c r="D95" s="194" t="s">
        <v>40</v>
      </c>
      <c r="E95" s="194" t="s">
        <v>157</v>
      </c>
      <c r="F95" s="195" t="s">
        <v>1355</v>
      </c>
      <c r="G95" s="195" t="s">
        <v>1356</v>
      </c>
      <c r="H95" s="195" t="s">
        <v>1352</v>
      </c>
      <c r="I95" s="195" t="s">
        <v>1357</v>
      </c>
      <c r="J95" s="194" t="s">
        <v>637</v>
      </c>
      <c r="K95" s="194" t="s">
        <v>241</v>
      </c>
      <c r="L95" s="194" t="s">
        <v>638</v>
      </c>
      <c r="M95" s="194"/>
      <c r="N95" s="196"/>
      <c r="O95" s="196"/>
      <c r="P95" s="196"/>
      <c r="Q95" s="196"/>
      <c r="R95" s="196"/>
      <c r="S95" s="196"/>
      <c r="T95" s="196"/>
      <c r="U95" s="196"/>
      <c r="V95" s="196"/>
      <c r="W95" s="196"/>
      <c r="X95" s="196"/>
      <c r="Y95" s="196"/>
      <c r="Z95" s="196"/>
      <c r="AA95" s="196"/>
      <c r="AB95" s="197"/>
      <c r="AC95" s="197"/>
      <c r="AD95" s="197"/>
      <c r="AE95" s="197"/>
      <c r="AF95" s="197"/>
      <c r="AG95" s="197"/>
      <c r="AH95" s="197"/>
      <c r="AI95" s="197"/>
      <c r="AJ95" s="197"/>
      <c r="AK95" s="197"/>
      <c r="AL95" s="197"/>
      <c r="AM95" s="198" t="str">
        <f aca="false">IF($A93="","",IF(OR($N93="Yes",$S93="Yes",$X93="Yes",$AC93="Yes",$AH93="Yes"),"Yes","No"))</f>
        <v>No</v>
      </c>
      <c r="AN95" s="198" t="str">
        <f aca="false">IF($A93="","",IFERROR(IF($AI93&lt;&gt;"",$AI93,IF($AD93&lt;&gt;"",$AD93,IF($Y93&lt;&gt;"",$Y93,IF($T93&lt;&gt;"",$T93,IF($O93&lt;&gt;"",$O93,""))))),""))</f>
        <v/>
      </c>
      <c r="AO95" s="198" t="str">
        <f aca="false">IFERROR(IF($AJ93&lt;&gt;"",$AJ93,IF($AE93&lt;&gt;"",$AE93,IF($Z93&lt;&gt;"",$Z93,IF($U93&lt;&gt;"",$U93,IF($P93&lt;&gt;"",$P93,""))))),"")</f>
        <v/>
      </c>
      <c r="AP95" s="199" t="s">
        <v>1358</v>
      </c>
      <c r="AQ95" s="1"/>
    </row>
    <row r="96" customFormat="false" ht="15.75" hidden="false" customHeight="true" outlineLevel="0" collapsed="false">
      <c r="A96" s="194" t="str">
        <f aca="false">IF(C96="","",$C$2&amp;"."&amp;COUNTA($C$8:C96)&amp;"")</f>
        <v>TC_04.80</v>
      </c>
      <c r="B96" s="194" t="s">
        <v>547</v>
      </c>
      <c r="C96" s="194" t="s">
        <v>1359</v>
      </c>
      <c r="D96" s="194" t="s">
        <v>42</v>
      </c>
      <c r="E96" s="194" t="s">
        <v>157</v>
      </c>
      <c r="F96" s="195" t="s">
        <v>1360</v>
      </c>
      <c r="G96" s="195" t="s">
        <v>1361</v>
      </c>
      <c r="H96" s="195" t="s">
        <v>1362</v>
      </c>
      <c r="I96" s="195" t="s">
        <v>1363</v>
      </c>
      <c r="J96" s="194" t="s">
        <v>637</v>
      </c>
      <c r="K96" s="194" t="s">
        <v>241</v>
      </c>
      <c r="L96" s="194" t="s">
        <v>638</v>
      </c>
      <c r="M96" s="194"/>
      <c r="N96" s="196"/>
      <c r="O96" s="196"/>
      <c r="P96" s="196"/>
      <c r="Q96" s="196"/>
      <c r="R96" s="196"/>
      <c r="S96" s="196"/>
      <c r="T96" s="196"/>
      <c r="U96" s="196"/>
      <c r="V96" s="196"/>
      <c r="W96" s="196"/>
      <c r="X96" s="196"/>
      <c r="Y96" s="196"/>
      <c r="Z96" s="196"/>
      <c r="AA96" s="196"/>
      <c r="AB96" s="197"/>
      <c r="AC96" s="197"/>
      <c r="AD96" s="197"/>
      <c r="AE96" s="197"/>
      <c r="AF96" s="197"/>
      <c r="AG96" s="197"/>
      <c r="AH96" s="197"/>
      <c r="AI96" s="197"/>
      <c r="AJ96" s="197"/>
      <c r="AK96" s="197"/>
      <c r="AL96" s="197"/>
      <c r="AM96" s="198" t="str">
        <f aca="false">IF($A94="","",IF(OR($N94="Yes",$S94="Yes",$X94="Yes",$AC94="Yes",$AH94="Yes"),"Yes","No"))</f>
        <v>No</v>
      </c>
      <c r="AN96" s="198" t="str">
        <f aca="false">IF($A94="","",IFERROR(IF($AI94&lt;&gt;"",$AI94,IF($AD94&lt;&gt;"",$AD94,IF($Y94&lt;&gt;"",$Y94,IF($T94&lt;&gt;"",$T94,IF($O94&lt;&gt;"",$O94,""))))),""))</f>
        <v/>
      </c>
      <c r="AO96" s="198" t="str">
        <f aca="false">IFERROR(IF($AJ94&lt;&gt;"",$AJ94,IF($AE94&lt;&gt;"",$AE94,IF($Z94&lt;&gt;"",$Z94,IF($U94&lt;&gt;"",$U94,IF($P94&lt;&gt;"",$P94,""))))),"")</f>
        <v/>
      </c>
      <c r="AP96" s="199" t="s">
        <v>1364</v>
      </c>
      <c r="AQ96" s="1"/>
    </row>
    <row r="97" customFormat="false" ht="15.75" hidden="false" customHeight="true" outlineLevel="0" collapsed="false">
      <c r="A97" s="194" t="str">
        <f aca="false">IF(C97="","",$C$2&amp;"."&amp;COUNTA($C$8:C97)&amp;"")</f>
        <v>TC_04.81</v>
      </c>
      <c r="B97" s="194" t="s">
        <v>547</v>
      </c>
      <c r="C97" s="194" t="s">
        <v>1359</v>
      </c>
      <c r="D97" s="194" t="s">
        <v>42</v>
      </c>
      <c r="E97" s="194" t="s">
        <v>157</v>
      </c>
      <c r="F97" s="195" t="s">
        <v>1365</v>
      </c>
      <c r="G97" s="195" t="s">
        <v>1366</v>
      </c>
      <c r="H97" s="195" t="s">
        <v>1367</v>
      </c>
      <c r="I97" s="195" t="s">
        <v>1368</v>
      </c>
      <c r="J97" s="194" t="s">
        <v>637</v>
      </c>
      <c r="K97" s="194" t="s">
        <v>241</v>
      </c>
      <c r="L97" s="194" t="s">
        <v>638</v>
      </c>
      <c r="M97" s="194"/>
      <c r="N97" s="196"/>
      <c r="O97" s="196"/>
      <c r="P97" s="196"/>
      <c r="Q97" s="196"/>
      <c r="R97" s="196"/>
      <c r="S97" s="196"/>
      <c r="T97" s="196"/>
      <c r="U97" s="196"/>
      <c r="V97" s="196"/>
      <c r="W97" s="196"/>
      <c r="X97" s="196"/>
      <c r="Y97" s="196"/>
      <c r="Z97" s="196"/>
      <c r="AA97" s="196"/>
      <c r="AB97" s="197"/>
      <c r="AC97" s="197"/>
      <c r="AD97" s="197"/>
      <c r="AE97" s="197"/>
      <c r="AF97" s="197"/>
      <c r="AG97" s="197"/>
      <c r="AH97" s="197"/>
      <c r="AI97" s="197"/>
      <c r="AJ97" s="197"/>
      <c r="AK97" s="197"/>
      <c r="AL97" s="197"/>
      <c r="AM97" s="198" t="str">
        <f aca="false">IF($A95="","",IF(OR($N95="Yes",$S95="Yes",$X95="Yes",$AC95="Yes",$AH95="Yes"),"Yes","No"))</f>
        <v>No</v>
      </c>
      <c r="AN97" s="198" t="str">
        <f aca="false">IF($A95="","",IFERROR(IF($AI95&lt;&gt;"",$AI95,IF($AD95&lt;&gt;"",$AD95,IF($Y95&lt;&gt;"",$Y95,IF($T95&lt;&gt;"",$T95,IF($O95&lt;&gt;"",$O95,""))))),""))</f>
        <v/>
      </c>
      <c r="AO97" s="198" t="str">
        <f aca="false">IFERROR(IF($AJ95&lt;&gt;"",$AJ95,IF($AE95&lt;&gt;"",$AE95,IF($Z95&lt;&gt;"",$Z95,IF($U95&lt;&gt;"",$U95,IF($P95&lt;&gt;"",$P95,""))))),"")</f>
        <v/>
      </c>
      <c r="AP97" s="199" t="s">
        <v>1369</v>
      </c>
      <c r="AQ97" s="1"/>
    </row>
    <row r="98" customFormat="false" ht="15.75" hidden="false" customHeight="true" outlineLevel="0" collapsed="false">
      <c r="A98" s="194" t="str">
        <f aca="false">IF(C98="","",$C$2&amp;"."&amp;COUNTA($C$8:C98)&amp;"")</f>
        <v>TC_04.82</v>
      </c>
      <c r="B98" s="194" t="s">
        <v>547</v>
      </c>
      <c r="C98" s="194" t="s">
        <v>1359</v>
      </c>
      <c r="D98" s="194" t="s">
        <v>42</v>
      </c>
      <c r="E98" s="194" t="s">
        <v>157</v>
      </c>
      <c r="F98" s="195" t="s">
        <v>1370</v>
      </c>
      <c r="G98" s="195" t="s">
        <v>1371</v>
      </c>
      <c r="H98" s="195" t="s">
        <v>1372</v>
      </c>
      <c r="I98" s="195" t="s">
        <v>1373</v>
      </c>
      <c r="J98" s="194" t="s">
        <v>637</v>
      </c>
      <c r="K98" s="194" t="s">
        <v>241</v>
      </c>
      <c r="L98" s="194" t="s">
        <v>638</v>
      </c>
      <c r="M98" s="194"/>
      <c r="N98" s="196"/>
      <c r="O98" s="196"/>
      <c r="P98" s="196"/>
      <c r="Q98" s="196"/>
      <c r="R98" s="196"/>
      <c r="S98" s="196"/>
      <c r="T98" s="196"/>
      <c r="U98" s="196"/>
      <c r="V98" s="196"/>
      <c r="W98" s="196"/>
      <c r="X98" s="196"/>
      <c r="Y98" s="196"/>
      <c r="Z98" s="196"/>
      <c r="AA98" s="196"/>
      <c r="AB98" s="197"/>
      <c r="AC98" s="197"/>
      <c r="AD98" s="197"/>
      <c r="AE98" s="197"/>
      <c r="AF98" s="197"/>
      <c r="AG98" s="197"/>
      <c r="AH98" s="197"/>
      <c r="AI98" s="197"/>
      <c r="AJ98" s="197"/>
      <c r="AK98" s="197"/>
      <c r="AL98" s="197"/>
      <c r="AM98" s="198" t="str">
        <f aca="false">IF($A96="","",IF(OR($N96="Yes",$S96="Yes",$X96="Yes",$AC96="Yes",$AH96="Yes"),"Yes","No"))</f>
        <v>No</v>
      </c>
      <c r="AN98" s="198" t="str">
        <f aca="false">IF($A96="","",IFERROR(IF($AI96&lt;&gt;"",$AI96,IF($AD96&lt;&gt;"",$AD96,IF($Y96&lt;&gt;"",$Y96,IF($T96&lt;&gt;"",$T96,IF($O96&lt;&gt;"",$O96,""))))),""))</f>
        <v/>
      </c>
      <c r="AO98" s="198" t="str">
        <f aca="false">IFERROR(IF($AJ96&lt;&gt;"",$AJ96,IF($AE96&lt;&gt;"",$AE96,IF($Z96&lt;&gt;"",$Z96,IF($U96&lt;&gt;"",$U96,IF($P96&lt;&gt;"",$P96,""))))),"")</f>
        <v/>
      </c>
      <c r="AP98" s="199" t="s">
        <v>1374</v>
      </c>
      <c r="AQ98" s="1"/>
    </row>
    <row r="99" customFormat="false" ht="15.75" hidden="false" customHeight="true" outlineLevel="0" collapsed="false">
      <c r="A99" s="194" t="str">
        <f aca="false">IF(C99="","",$C$2&amp;"."&amp;COUNTA($C$8:C99)&amp;"")</f>
        <v>TC_04.83</v>
      </c>
      <c r="B99" s="194" t="s">
        <v>547</v>
      </c>
      <c r="C99" s="194" t="s">
        <v>1359</v>
      </c>
      <c r="D99" s="194" t="s">
        <v>42</v>
      </c>
      <c r="E99" s="194" t="s">
        <v>157</v>
      </c>
      <c r="F99" s="195" t="s">
        <v>1375</v>
      </c>
      <c r="G99" s="195" t="s">
        <v>1188</v>
      </c>
      <c r="H99" s="195" t="s">
        <v>1376</v>
      </c>
      <c r="I99" s="195" t="s">
        <v>1377</v>
      </c>
      <c r="J99" s="194" t="s">
        <v>637</v>
      </c>
      <c r="K99" s="194" t="s">
        <v>241</v>
      </c>
      <c r="L99" s="194" t="s">
        <v>638</v>
      </c>
      <c r="M99" s="194"/>
      <c r="N99" s="196"/>
      <c r="O99" s="196"/>
      <c r="P99" s="196"/>
      <c r="Q99" s="196"/>
      <c r="R99" s="196"/>
      <c r="S99" s="196"/>
      <c r="T99" s="196"/>
      <c r="U99" s="196"/>
      <c r="V99" s="196"/>
      <c r="W99" s="196"/>
      <c r="X99" s="196"/>
      <c r="Y99" s="196"/>
      <c r="Z99" s="196"/>
      <c r="AA99" s="196"/>
      <c r="AB99" s="197"/>
      <c r="AC99" s="197"/>
      <c r="AD99" s="197"/>
      <c r="AE99" s="197"/>
      <c r="AF99" s="197"/>
      <c r="AG99" s="197"/>
      <c r="AH99" s="197"/>
      <c r="AI99" s="197"/>
      <c r="AJ99" s="197"/>
      <c r="AK99" s="197"/>
      <c r="AL99" s="197"/>
      <c r="AM99" s="198" t="str">
        <f aca="false">IF($A97="","",IF(OR($N97="Yes",$S97="Yes",$X97="Yes",$AC97="Yes",$AH97="Yes"),"Yes","No"))</f>
        <v>No</v>
      </c>
      <c r="AN99" s="198" t="str">
        <f aca="false">IF($A97="","",IFERROR(IF($AI97&lt;&gt;"",$AI97,IF($AD97&lt;&gt;"",$AD97,IF($Y97&lt;&gt;"",$Y97,IF($T97&lt;&gt;"",$T97,IF($O97&lt;&gt;"",$O97,""))))),""))</f>
        <v/>
      </c>
      <c r="AO99" s="198" t="str">
        <f aca="false">IFERROR(IF($AJ97&lt;&gt;"",$AJ97,IF($AE97&lt;&gt;"",$AE97,IF($Z97&lt;&gt;"",$Z97,IF($U97&lt;&gt;"",$U97,IF($P97&lt;&gt;"",$P97,""))))),"")</f>
        <v/>
      </c>
      <c r="AP99" s="199" t="s">
        <v>1378</v>
      </c>
      <c r="AQ99" s="1"/>
    </row>
    <row r="100" customFormat="false" ht="15.75" hidden="false" customHeight="true" outlineLevel="0" collapsed="false">
      <c r="A100" s="194" t="str">
        <f aca="false">IF(C100="","",$C$2&amp;"."&amp;COUNTA($C$8:C100)&amp;"")</f>
        <v>TC_04.84</v>
      </c>
      <c r="B100" s="194" t="s">
        <v>547</v>
      </c>
      <c r="C100" s="194" t="s">
        <v>1359</v>
      </c>
      <c r="D100" s="194" t="s">
        <v>42</v>
      </c>
      <c r="E100" s="194" t="s">
        <v>157</v>
      </c>
      <c r="F100" s="195" t="s">
        <v>1379</v>
      </c>
      <c r="G100" s="195" t="s">
        <v>1380</v>
      </c>
      <c r="H100" s="195" t="s">
        <v>1381</v>
      </c>
      <c r="I100" s="195" t="s">
        <v>1382</v>
      </c>
      <c r="J100" s="194" t="s">
        <v>637</v>
      </c>
      <c r="K100" s="194" t="s">
        <v>241</v>
      </c>
      <c r="L100" s="194" t="s">
        <v>638</v>
      </c>
      <c r="M100" s="194"/>
      <c r="N100" s="196"/>
      <c r="O100" s="196"/>
      <c r="P100" s="196"/>
      <c r="Q100" s="196"/>
      <c r="R100" s="196"/>
      <c r="S100" s="196"/>
      <c r="T100" s="196"/>
      <c r="U100" s="196"/>
      <c r="V100" s="196"/>
      <c r="W100" s="196"/>
      <c r="X100" s="196"/>
      <c r="Y100" s="196"/>
      <c r="Z100" s="196"/>
      <c r="AA100" s="196"/>
      <c r="AB100" s="197"/>
      <c r="AC100" s="197"/>
      <c r="AD100" s="197"/>
      <c r="AE100" s="197"/>
      <c r="AF100" s="197"/>
      <c r="AG100" s="197"/>
      <c r="AH100" s="197"/>
      <c r="AI100" s="197"/>
      <c r="AJ100" s="197"/>
      <c r="AK100" s="197"/>
      <c r="AL100" s="197"/>
      <c r="AM100" s="198" t="str">
        <f aca="false">IF($A98="","",IF(OR($N98="Yes",$S98="Yes",$X98="Yes",$AC98="Yes",$AH98="Yes"),"Yes","No"))</f>
        <v>No</v>
      </c>
      <c r="AN100" s="198" t="str">
        <f aca="false">IF($A98="","",IFERROR(IF($AI98&lt;&gt;"",$AI98,IF($AD98&lt;&gt;"",$AD98,IF($Y98&lt;&gt;"",$Y98,IF($T98&lt;&gt;"",$T98,IF($O98&lt;&gt;"",$O98,""))))),""))</f>
        <v/>
      </c>
      <c r="AO100" s="198" t="str">
        <f aca="false">IFERROR(IF($AJ98&lt;&gt;"",$AJ98,IF($AE98&lt;&gt;"",$AE98,IF($Z98&lt;&gt;"",$Z98,IF($U98&lt;&gt;"",$U98,IF($P98&lt;&gt;"",$P98,""))))),"")</f>
        <v/>
      </c>
      <c r="AP100" s="199" t="s">
        <v>1383</v>
      </c>
      <c r="AQ100" s="1"/>
    </row>
    <row r="101" customFormat="false" ht="15.75" hidden="false" customHeight="true" outlineLevel="0" collapsed="false">
      <c r="A101" s="194" t="str">
        <f aca="false">IF(C101="","",$C$2&amp;"."&amp;COUNTA($C$8:C101)&amp;"")</f>
        <v>TC_04.85</v>
      </c>
      <c r="B101" s="194" t="s">
        <v>547</v>
      </c>
      <c r="C101" s="194" t="s">
        <v>1359</v>
      </c>
      <c r="D101" s="194" t="s">
        <v>40</v>
      </c>
      <c r="E101" s="194" t="s">
        <v>158</v>
      </c>
      <c r="F101" s="195" t="s">
        <v>1384</v>
      </c>
      <c r="G101" s="195" t="s">
        <v>1188</v>
      </c>
      <c r="H101" s="195" t="s">
        <v>1385</v>
      </c>
      <c r="I101" s="195" t="s">
        <v>1386</v>
      </c>
      <c r="J101" s="194" t="s">
        <v>637</v>
      </c>
      <c r="K101" s="194" t="s">
        <v>241</v>
      </c>
      <c r="L101" s="194" t="s">
        <v>638</v>
      </c>
      <c r="M101" s="194"/>
      <c r="N101" s="196"/>
      <c r="O101" s="196"/>
      <c r="P101" s="196"/>
      <c r="Q101" s="196"/>
      <c r="R101" s="196"/>
      <c r="S101" s="196"/>
      <c r="T101" s="196"/>
      <c r="U101" s="196"/>
      <c r="V101" s="196"/>
      <c r="W101" s="196"/>
      <c r="X101" s="196"/>
      <c r="Y101" s="196"/>
      <c r="Z101" s="196"/>
      <c r="AA101" s="196"/>
      <c r="AB101" s="197"/>
      <c r="AC101" s="197"/>
      <c r="AD101" s="197"/>
      <c r="AE101" s="197"/>
      <c r="AF101" s="197"/>
      <c r="AG101" s="197"/>
      <c r="AH101" s="197"/>
      <c r="AI101" s="197"/>
      <c r="AJ101" s="197"/>
      <c r="AK101" s="197"/>
      <c r="AL101" s="197"/>
      <c r="AM101" s="198" t="str">
        <f aca="false">IF($A99="","",IF(OR($N99="Yes",$S99="Yes",$X99="Yes",$AC99="Yes",$AH99="Yes"),"Yes","No"))</f>
        <v>No</v>
      </c>
      <c r="AN101" s="198" t="str">
        <f aca="false">IF($A99="","",IFERROR(IF($AI99&lt;&gt;"",$AI99,IF($AD99&lt;&gt;"",$AD99,IF($Y99&lt;&gt;"",$Y99,IF($T99&lt;&gt;"",$T99,IF($O99&lt;&gt;"",$O99,""))))),""))</f>
        <v/>
      </c>
      <c r="AO101" s="198" t="str">
        <f aca="false">IFERROR(IF($AJ99&lt;&gt;"",$AJ99,IF($AE99&lt;&gt;"",$AE99,IF($Z99&lt;&gt;"",$Z99,IF($U99&lt;&gt;"",$U99,IF($P99&lt;&gt;"",$P99,""))))),"")</f>
        <v/>
      </c>
      <c r="AP101" s="199" t="s">
        <v>1387</v>
      </c>
      <c r="AQ101" s="1"/>
    </row>
    <row r="102" customFormat="false" ht="15.75" hidden="false" customHeight="true" outlineLevel="0" collapsed="false">
      <c r="A102" s="194" t="str">
        <f aca="false">IF(C102="","",$C$2&amp;"."&amp;COUNTA($C$8:C102)&amp;"")</f>
        <v>TC_04.86</v>
      </c>
      <c r="B102" s="194" t="s">
        <v>547</v>
      </c>
      <c r="C102" s="194" t="s">
        <v>1359</v>
      </c>
      <c r="D102" s="194" t="s">
        <v>40</v>
      </c>
      <c r="E102" s="194" t="s">
        <v>158</v>
      </c>
      <c r="F102" s="195" t="s">
        <v>1388</v>
      </c>
      <c r="G102" s="195" t="s">
        <v>1188</v>
      </c>
      <c r="H102" s="195" t="s">
        <v>1389</v>
      </c>
      <c r="I102" s="195" t="s">
        <v>1390</v>
      </c>
      <c r="J102" s="194" t="s">
        <v>637</v>
      </c>
      <c r="K102" s="194" t="s">
        <v>241</v>
      </c>
      <c r="L102" s="194" t="s">
        <v>638</v>
      </c>
      <c r="M102" s="194"/>
      <c r="N102" s="196"/>
      <c r="O102" s="196"/>
      <c r="P102" s="196"/>
      <c r="Q102" s="196"/>
      <c r="R102" s="196"/>
      <c r="S102" s="196"/>
      <c r="T102" s="196"/>
      <c r="U102" s="196"/>
      <c r="V102" s="196"/>
      <c r="W102" s="196"/>
      <c r="X102" s="196"/>
      <c r="Y102" s="196"/>
      <c r="Z102" s="196"/>
      <c r="AA102" s="196"/>
      <c r="AB102" s="197"/>
      <c r="AC102" s="197"/>
      <c r="AD102" s="197"/>
      <c r="AE102" s="197"/>
      <c r="AF102" s="197"/>
      <c r="AG102" s="197"/>
      <c r="AH102" s="197"/>
      <c r="AI102" s="197"/>
      <c r="AJ102" s="197"/>
      <c r="AK102" s="197"/>
      <c r="AL102" s="197"/>
      <c r="AM102" s="198" t="str">
        <f aca="false">IF($A100="","",IF(OR($N100="Yes",$S100="Yes",$X100="Yes",$AC100="Yes",$AH100="Yes"),"Yes","No"))</f>
        <v>No</v>
      </c>
      <c r="AN102" s="198" t="str">
        <f aca="false">IF($A100="","",IFERROR(IF($AI100&lt;&gt;"",$AI100,IF($AD100&lt;&gt;"",$AD100,IF($Y100&lt;&gt;"",$Y100,IF($T100&lt;&gt;"",$T100,IF($O100&lt;&gt;"",$O100,""))))),""))</f>
        <v/>
      </c>
      <c r="AO102" s="198" t="str">
        <f aca="false">IFERROR(IF($AJ100&lt;&gt;"",$AJ100,IF($AE100&lt;&gt;"",$AE100,IF($Z100&lt;&gt;"",$Z100,IF($U100&lt;&gt;"",$U100,IF($P100&lt;&gt;"",$P100,""))))),"")</f>
        <v/>
      </c>
      <c r="AP102" s="199" t="s">
        <v>1391</v>
      </c>
      <c r="AQ102" s="1"/>
    </row>
    <row r="103" customFormat="false" ht="15.75" hidden="false" customHeight="true" outlineLevel="0" collapsed="false">
      <c r="A103" s="191" t="s">
        <v>1392</v>
      </c>
      <c r="B103" s="191"/>
      <c r="C103" s="191"/>
      <c r="D103" s="191"/>
      <c r="E103" s="191"/>
      <c r="F103" s="191"/>
      <c r="G103" s="191"/>
      <c r="H103" s="191"/>
      <c r="I103" s="191"/>
      <c r="J103" s="192"/>
      <c r="K103" s="192"/>
      <c r="L103" s="192"/>
      <c r="M103" s="192"/>
      <c r="N103" s="193"/>
      <c r="O103" s="193"/>
      <c r="P103" s="193"/>
      <c r="Q103" s="193"/>
      <c r="R103" s="193"/>
      <c r="S103" s="193"/>
      <c r="T103" s="193"/>
      <c r="U103" s="193"/>
      <c r="V103" s="193"/>
      <c r="W103" s="193"/>
      <c r="X103" s="193"/>
      <c r="Y103" s="193"/>
      <c r="Z103" s="193"/>
      <c r="AA103" s="193"/>
      <c r="AB103" s="189"/>
      <c r="AC103" s="189"/>
      <c r="AD103" s="189"/>
      <c r="AE103" s="189"/>
      <c r="AF103" s="189"/>
      <c r="AG103" s="189"/>
      <c r="AH103" s="189"/>
      <c r="AI103" s="189"/>
      <c r="AJ103" s="189"/>
      <c r="AK103" s="189"/>
      <c r="AL103" s="189"/>
      <c r="AM103" s="190"/>
      <c r="AN103" s="190"/>
      <c r="AO103" s="190"/>
      <c r="AP103" s="190"/>
      <c r="AQ103" s="1"/>
    </row>
    <row r="104" customFormat="false" ht="15.75" hidden="false" customHeight="true" outlineLevel="0" collapsed="false">
      <c r="A104" s="194"/>
      <c r="B104" s="200" t="s">
        <v>1393</v>
      </c>
      <c r="C104" s="200"/>
      <c r="D104" s="200"/>
      <c r="E104" s="200"/>
      <c r="F104" s="200"/>
      <c r="G104" s="200"/>
      <c r="H104" s="200"/>
      <c r="I104" s="200"/>
      <c r="J104" s="194"/>
      <c r="K104" s="194"/>
      <c r="L104" s="194"/>
      <c r="M104" s="194"/>
      <c r="N104" s="196"/>
      <c r="O104" s="196"/>
      <c r="P104" s="196"/>
      <c r="Q104" s="196"/>
      <c r="R104" s="196"/>
      <c r="S104" s="196"/>
      <c r="T104" s="196"/>
      <c r="U104" s="196"/>
      <c r="V104" s="196"/>
      <c r="W104" s="196"/>
      <c r="X104" s="196"/>
      <c r="Y104" s="196"/>
      <c r="Z104" s="196"/>
      <c r="AA104" s="196"/>
      <c r="AB104" s="197"/>
      <c r="AC104" s="197"/>
      <c r="AD104" s="197"/>
      <c r="AE104" s="197"/>
      <c r="AF104" s="197"/>
      <c r="AG104" s="197"/>
      <c r="AH104" s="197"/>
      <c r="AI104" s="197"/>
      <c r="AJ104" s="197"/>
      <c r="AK104" s="197"/>
      <c r="AL104" s="197"/>
      <c r="AM104" s="198"/>
      <c r="AN104" s="198"/>
      <c r="AO104" s="198"/>
      <c r="AP104" s="199"/>
      <c r="AQ104" s="1"/>
    </row>
    <row r="105" customFormat="false" ht="114.75" hidden="false" customHeight="true" outlineLevel="0" collapsed="false">
      <c r="A105" s="194" t="str">
        <f aca="false">IF(C105="","",$C$2&amp;"."&amp;COUNTA($C$8:C105)&amp;"")</f>
        <v>TC_04.87</v>
      </c>
      <c r="B105" s="194" t="s">
        <v>517</v>
      </c>
      <c r="C105" s="194" t="s">
        <v>1035</v>
      </c>
      <c r="D105" s="194" t="s">
        <v>42</v>
      </c>
      <c r="E105" s="194" t="s">
        <v>157</v>
      </c>
      <c r="F105" s="195" t="s">
        <v>1394</v>
      </c>
      <c r="G105" s="195" t="s">
        <v>1395</v>
      </c>
      <c r="H105" s="195" t="s">
        <v>1396</v>
      </c>
      <c r="I105" s="195" t="s">
        <v>1397</v>
      </c>
      <c r="J105" s="194" t="s">
        <v>637</v>
      </c>
      <c r="K105" s="194" t="s">
        <v>241</v>
      </c>
      <c r="L105" s="194" t="s">
        <v>638</v>
      </c>
      <c r="M105" s="194"/>
      <c r="N105" s="196"/>
      <c r="O105" s="196"/>
      <c r="P105" s="196"/>
      <c r="Q105" s="196"/>
      <c r="R105" s="196"/>
      <c r="S105" s="196"/>
      <c r="T105" s="196"/>
      <c r="U105" s="196"/>
      <c r="V105" s="196"/>
      <c r="W105" s="196"/>
      <c r="X105" s="196"/>
      <c r="Y105" s="196"/>
      <c r="Z105" s="196"/>
      <c r="AA105" s="196"/>
      <c r="AB105" s="197"/>
      <c r="AC105" s="197"/>
      <c r="AD105" s="197"/>
      <c r="AE105" s="197"/>
      <c r="AF105" s="197"/>
      <c r="AG105" s="197"/>
      <c r="AH105" s="197"/>
      <c r="AI105" s="197"/>
      <c r="AJ105" s="197"/>
      <c r="AK105" s="197"/>
      <c r="AL105" s="197"/>
      <c r="AM105" s="198" t="str">
        <f aca="false">IF($A103="","",IF(OR($N103="Yes",$S103="Yes",$X103="Yes",$AC103="Yes",$AH103="Yes"),"Yes","No"))</f>
        <v>No</v>
      </c>
      <c r="AN105" s="198" t="str">
        <f aca="false">IF($A103="","",IFERROR(IF($AI103&lt;&gt;"",$AI103,IF($AD103&lt;&gt;"",$AD103,IF($Y103&lt;&gt;"",$Y103,IF($T103&lt;&gt;"",$T103,IF($O103&lt;&gt;"",$O103,""))))),""))</f>
        <v/>
      </c>
      <c r="AO105" s="198" t="str">
        <f aca="false">IFERROR(IF($AJ103&lt;&gt;"",$AJ103,IF($AE103&lt;&gt;"",$AE103,IF($Z103&lt;&gt;"",$Z103,IF($U103&lt;&gt;"",$U103,IF($P103&lt;&gt;"",$P103,""))))),"")</f>
        <v/>
      </c>
      <c r="AP105" s="199" t="s">
        <v>675</v>
      </c>
      <c r="AQ105" s="1"/>
    </row>
    <row r="106" customFormat="false" ht="15.75" hidden="false" customHeight="true" outlineLevel="0" collapsed="false">
      <c r="A106" s="194" t="str">
        <f aca="false">IF(C106="","",$C$2&amp;"."&amp;COUNTA($C$8:C106)&amp;"")</f>
        <v>TC_04.88</v>
      </c>
      <c r="B106" s="194" t="s">
        <v>517</v>
      </c>
      <c r="C106" s="194" t="s">
        <v>504</v>
      </c>
      <c r="D106" s="194" t="s">
        <v>40</v>
      </c>
      <c r="E106" s="194" t="s">
        <v>157</v>
      </c>
      <c r="F106" s="195" t="s">
        <v>1398</v>
      </c>
      <c r="G106" s="195" t="s">
        <v>1399</v>
      </c>
      <c r="H106" s="195" t="s">
        <v>1400</v>
      </c>
      <c r="I106" s="195" t="s">
        <v>1401</v>
      </c>
      <c r="J106" s="194" t="s">
        <v>637</v>
      </c>
      <c r="K106" s="194" t="s">
        <v>241</v>
      </c>
      <c r="L106" s="194" t="s">
        <v>638</v>
      </c>
      <c r="M106" s="194"/>
      <c r="N106" s="196"/>
      <c r="O106" s="196"/>
      <c r="P106" s="196"/>
      <c r="Q106" s="196"/>
      <c r="R106" s="196"/>
      <c r="S106" s="196"/>
      <c r="T106" s="196"/>
      <c r="U106" s="196"/>
      <c r="V106" s="196"/>
      <c r="W106" s="196"/>
      <c r="X106" s="196"/>
      <c r="Y106" s="196"/>
      <c r="Z106" s="196"/>
      <c r="AA106" s="196"/>
      <c r="AB106" s="197"/>
      <c r="AC106" s="197"/>
      <c r="AD106" s="197"/>
      <c r="AE106" s="197"/>
      <c r="AF106" s="197"/>
      <c r="AG106" s="197"/>
      <c r="AH106" s="197"/>
      <c r="AI106" s="197"/>
      <c r="AJ106" s="197"/>
      <c r="AK106" s="197"/>
      <c r="AL106" s="197"/>
      <c r="AM106" s="198" t="str">
        <f aca="false">IF($A104="","",IF(OR($N104="Yes",$S104="Yes",$X104="Yes",$AC104="Yes",$AH104="Yes"),"Yes","No"))</f>
        <v/>
      </c>
      <c r="AN106" s="198" t="str">
        <f aca="false">IF($A104="","",IFERROR(IF($AI104&lt;&gt;"",$AI104,IF($AD104&lt;&gt;"",$AD104,IF($Y104&lt;&gt;"",$Y104,IF($T104&lt;&gt;"",$T104,IF($O104&lt;&gt;"",$O104,""))))),""))</f>
        <v/>
      </c>
      <c r="AO106" s="198" t="str">
        <f aca="false">IFERROR(IF($AJ104&lt;&gt;"",$AJ104,IF($AE104&lt;&gt;"",$AE104,IF($Z104&lt;&gt;"",$Z104,IF($U104&lt;&gt;"",$U104,IF($P104&lt;&gt;"",$P104,""))))),"")</f>
        <v/>
      </c>
      <c r="AP106" s="199"/>
      <c r="AQ106" s="1"/>
    </row>
    <row r="107" customFormat="false" ht="15.75" hidden="false" customHeight="true" outlineLevel="0" collapsed="false">
      <c r="A107" s="194" t="str">
        <f aca="false">IF(C107="","",$C$2&amp;"."&amp;COUNTA($C$8:C107)&amp;"")</f>
        <v>TC_04.89</v>
      </c>
      <c r="B107" s="194" t="s">
        <v>517</v>
      </c>
      <c r="C107" s="194" t="s">
        <v>504</v>
      </c>
      <c r="D107" s="194" t="s">
        <v>40</v>
      </c>
      <c r="E107" s="194" t="s">
        <v>157</v>
      </c>
      <c r="F107" s="195" t="s">
        <v>1402</v>
      </c>
      <c r="G107" s="195" t="s">
        <v>1403</v>
      </c>
      <c r="H107" s="195" t="s">
        <v>1404</v>
      </c>
      <c r="I107" s="195" t="s">
        <v>1405</v>
      </c>
      <c r="J107" s="194" t="s">
        <v>637</v>
      </c>
      <c r="K107" s="194" t="s">
        <v>241</v>
      </c>
      <c r="L107" s="194" t="s">
        <v>638</v>
      </c>
      <c r="M107" s="194"/>
      <c r="N107" s="196"/>
      <c r="O107" s="196"/>
      <c r="P107" s="196"/>
      <c r="Q107" s="196"/>
      <c r="R107" s="196"/>
      <c r="S107" s="196"/>
      <c r="T107" s="196"/>
      <c r="U107" s="196"/>
      <c r="V107" s="196"/>
      <c r="W107" s="196"/>
      <c r="X107" s="196"/>
      <c r="Y107" s="196"/>
      <c r="Z107" s="196"/>
      <c r="AA107" s="196"/>
      <c r="AB107" s="197"/>
      <c r="AC107" s="197"/>
      <c r="AD107" s="197"/>
      <c r="AE107" s="197"/>
      <c r="AF107" s="197"/>
      <c r="AG107" s="197"/>
      <c r="AH107" s="197"/>
      <c r="AI107" s="197"/>
      <c r="AJ107" s="197"/>
      <c r="AK107" s="197"/>
      <c r="AL107" s="197"/>
      <c r="AM107" s="198" t="str">
        <f aca="false">IF($A105="","",IF(OR($N105="Yes",$S105="Yes",$X105="Yes",$AC105="Yes",$AH105="Yes"),"Yes","No"))</f>
        <v>No</v>
      </c>
      <c r="AN107" s="198" t="str">
        <f aca="false">IF($A105="","",IFERROR(IF($AI105&lt;&gt;"",$AI105,IF($AD105&lt;&gt;"",$AD105,IF($Y105&lt;&gt;"",$Y105,IF($T105&lt;&gt;"",$T105,IF($O105&lt;&gt;"",$O105,""))))),""))</f>
        <v/>
      </c>
      <c r="AO107" s="198" t="str">
        <f aca="false">IFERROR(IF($AJ105&lt;&gt;"",$AJ105,IF($AE105&lt;&gt;"",$AE105,IF($Z105&lt;&gt;"",$Z105,IF($U105&lt;&gt;"",$U105,IF($P105&lt;&gt;"",$P105,""))))),"")</f>
        <v/>
      </c>
      <c r="AP107" s="199" t="s">
        <v>1406</v>
      </c>
      <c r="AQ107" s="1"/>
    </row>
    <row r="108" customFormat="false" ht="15.75" hidden="false" customHeight="true" outlineLevel="0" collapsed="false">
      <c r="A108" s="194" t="str">
        <f aca="false">IF(C108="","",$C$2&amp;"."&amp;COUNTA($C$8:C108)&amp;"")</f>
        <v>TC_04.90</v>
      </c>
      <c r="B108" s="194" t="s">
        <v>517</v>
      </c>
      <c r="C108" s="194" t="s">
        <v>504</v>
      </c>
      <c r="D108" s="194" t="s">
        <v>40</v>
      </c>
      <c r="E108" s="194" t="s">
        <v>157</v>
      </c>
      <c r="F108" s="195" t="s">
        <v>1407</v>
      </c>
      <c r="G108" s="195" t="s">
        <v>1403</v>
      </c>
      <c r="H108" s="195" t="s">
        <v>1408</v>
      </c>
      <c r="I108" s="195" t="s">
        <v>1409</v>
      </c>
      <c r="J108" s="194" t="s">
        <v>637</v>
      </c>
      <c r="K108" s="194" t="s">
        <v>241</v>
      </c>
      <c r="L108" s="194" t="s">
        <v>638</v>
      </c>
      <c r="M108" s="194"/>
      <c r="N108" s="196"/>
      <c r="O108" s="196"/>
      <c r="P108" s="196"/>
      <c r="Q108" s="196"/>
      <c r="R108" s="196"/>
      <c r="S108" s="196"/>
      <c r="T108" s="196"/>
      <c r="U108" s="196"/>
      <c r="V108" s="196"/>
      <c r="W108" s="196"/>
      <c r="X108" s="196"/>
      <c r="Y108" s="196"/>
      <c r="Z108" s="196"/>
      <c r="AA108" s="196"/>
      <c r="AB108" s="197"/>
      <c r="AC108" s="197"/>
      <c r="AD108" s="197"/>
      <c r="AE108" s="197"/>
      <c r="AF108" s="197"/>
      <c r="AG108" s="197"/>
      <c r="AH108" s="197"/>
      <c r="AI108" s="197"/>
      <c r="AJ108" s="197"/>
      <c r="AK108" s="197"/>
      <c r="AL108" s="197"/>
      <c r="AM108" s="198" t="str">
        <f aca="false">IF($A106="","",IF(OR($N106="Yes",$S106="Yes",$X106="Yes",$AC106="Yes",$AH106="Yes"),"Yes","No"))</f>
        <v>No</v>
      </c>
      <c r="AN108" s="198" t="str">
        <f aca="false">IF($A106="","",IFERROR(IF($AI106&lt;&gt;"",$AI106,IF($AD106&lt;&gt;"",$AD106,IF($Y106&lt;&gt;"",$Y106,IF($T106&lt;&gt;"",$T106,IF($O106&lt;&gt;"",$O106,""))))),""))</f>
        <v/>
      </c>
      <c r="AO108" s="198" t="str">
        <f aca="false">IFERROR(IF($AJ106&lt;&gt;"",$AJ106,IF($AE106&lt;&gt;"",$AE106,IF($Z106&lt;&gt;"",$Z106,IF($U106&lt;&gt;"",$U106,IF($P106&lt;&gt;"",$P106,""))))),"")</f>
        <v/>
      </c>
      <c r="AP108" s="199" t="s">
        <v>1410</v>
      </c>
      <c r="AQ108" s="1"/>
    </row>
    <row r="109" customFormat="false" ht="15.75" hidden="false" customHeight="true" outlineLevel="0" collapsed="false">
      <c r="A109" s="191" t="s">
        <v>1411</v>
      </c>
      <c r="B109" s="191"/>
      <c r="C109" s="191"/>
      <c r="D109" s="191"/>
      <c r="E109" s="191"/>
      <c r="F109" s="191"/>
      <c r="G109" s="191"/>
      <c r="H109" s="191"/>
      <c r="I109" s="191"/>
      <c r="J109" s="192"/>
      <c r="K109" s="192"/>
      <c r="L109" s="192"/>
      <c r="M109" s="192"/>
      <c r="N109" s="193"/>
      <c r="O109" s="193"/>
      <c r="P109" s="193"/>
      <c r="Q109" s="193"/>
      <c r="R109" s="193"/>
      <c r="S109" s="193"/>
      <c r="T109" s="193"/>
      <c r="U109" s="193"/>
      <c r="V109" s="193"/>
      <c r="W109" s="193"/>
      <c r="X109" s="193"/>
      <c r="Y109" s="193"/>
      <c r="Z109" s="193"/>
      <c r="AA109" s="193"/>
      <c r="AB109" s="189"/>
      <c r="AC109" s="189"/>
      <c r="AD109" s="189"/>
      <c r="AE109" s="189"/>
      <c r="AF109" s="189"/>
      <c r="AG109" s="189"/>
      <c r="AH109" s="189"/>
      <c r="AI109" s="189"/>
      <c r="AJ109" s="189"/>
      <c r="AK109" s="189"/>
      <c r="AL109" s="189"/>
      <c r="AM109" s="190"/>
      <c r="AN109" s="190"/>
      <c r="AO109" s="190"/>
      <c r="AP109" s="190"/>
      <c r="AQ109" s="1"/>
    </row>
    <row r="110" customFormat="false" ht="15.75" hidden="false" customHeight="true" outlineLevel="0" collapsed="false">
      <c r="A110" s="194"/>
      <c r="B110" s="200" t="s">
        <v>1412</v>
      </c>
      <c r="C110" s="200"/>
      <c r="D110" s="200"/>
      <c r="E110" s="200"/>
      <c r="F110" s="200"/>
      <c r="G110" s="200"/>
      <c r="H110" s="200"/>
      <c r="I110" s="200"/>
      <c r="J110" s="194"/>
      <c r="K110" s="194"/>
      <c r="L110" s="194"/>
      <c r="M110" s="194"/>
      <c r="N110" s="196"/>
      <c r="O110" s="196"/>
      <c r="P110" s="196"/>
      <c r="Q110" s="196"/>
      <c r="R110" s="196"/>
      <c r="S110" s="196"/>
      <c r="T110" s="196"/>
      <c r="U110" s="196"/>
      <c r="V110" s="196"/>
      <c r="W110" s="196"/>
      <c r="X110" s="196"/>
      <c r="Y110" s="196"/>
      <c r="Z110" s="196"/>
      <c r="AA110" s="196"/>
      <c r="AB110" s="197"/>
      <c r="AC110" s="197"/>
      <c r="AD110" s="197"/>
      <c r="AE110" s="197"/>
      <c r="AF110" s="197"/>
      <c r="AG110" s="197"/>
      <c r="AH110" s="197"/>
      <c r="AI110" s="197"/>
      <c r="AJ110" s="197"/>
      <c r="AK110" s="197"/>
      <c r="AL110" s="197"/>
      <c r="AM110" s="198"/>
      <c r="AN110" s="198"/>
      <c r="AO110" s="198"/>
      <c r="AP110" s="199"/>
      <c r="AQ110" s="1"/>
    </row>
    <row r="111" customFormat="false" ht="15.75" hidden="false" customHeight="true" outlineLevel="0" collapsed="false">
      <c r="A111" s="194" t="str">
        <f aca="false">IF(C111="","",$C$2&amp;"."&amp;COUNTA($C$8:C111)&amp;"")</f>
        <v>TC_04.91</v>
      </c>
      <c r="B111" s="194" t="s">
        <v>523</v>
      </c>
      <c r="C111" s="194" t="s">
        <v>755</v>
      </c>
      <c r="D111" s="194" t="s">
        <v>40</v>
      </c>
      <c r="E111" s="194" t="s">
        <v>156</v>
      </c>
      <c r="F111" s="195" t="s">
        <v>1413</v>
      </c>
      <c r="G111" s="195" t="s">
        <v>1414</v>
      </c>
      <c r="H111" s="195" t="s">
        <v>1415</v>
      </c>
      <c r="I111" s="195" t="s">
        <v>1416</v>
      </c>
      <c r="J111" s="194" t="s">
        <v>637</v>
      </c>
      <c r="K111" s="194" t="s">
        <v>241</v>
      </c>
      <c r="L111" s="194" t="s">
        <v>638</v>
      </c>
      <c r="M111" s="194"/>
      <c r="N111" s="196"/>
      <c r="O111" s="196"/>
      <c r="P111" s="196"/>
      <c r="Q111" s="196"/>
      <c r="R111" s="196"/>
      <c r="S111" s="196"/>
      <c r="T111" s="196"/>
      <c r="U111" s="196"/>
      <c r="V111" s="196"/>
      <c r="W111" s="196"/>
      <c r="X111" s="196"/>
      <c r="Y111" s="196"/>
      <c r="Z111" s="196"/>
      <c r="AA111" s="196"/>
      <c r="AB111" s="197"/>
      <c r="AC111" s="197"/>
      <c r="AD111" s="197"/>
      <c r="AE111" s="197"/>
      <c r="AF111" s="197"/>
      <c r="AG111" s="197"/>
      <c r="AH111" s="197"/>
      <c r="AI111" s="197"/>
      <c r="AJ111" s="197"/>
      <c r="AK111" s="197"/>
      <c r="AL111" s="197"/>
      <c r="AM111" s="198" t="str">
        <f aca="false">IF($A109="","",IF(OR($N109="Yes",$S109="Yes",$X109="Yes",$AC109="Yes",$AH109="Yes"),"Yes","No"))</f>
        <v>No</v>
      </c>
      <c r="AN111" s="198" t="str">
        <f aca="false">IF($A109="","",IFERROR(IF($AI109&lt;&gt;"",$AI109,IF($AD109&lt;&gt;"",$AD109,IF($Y109&lt;&gt;"",$Y109,IF($T109&lt;&gt;"",$T109,IF($O109&lt;&gt;"",$O109,""))))),""))</f>
        <v/>
      </c>
      <c r="AO111" s="198" t="str">
        <f aca="false">IFERROR(IF($AJ109&lt;&gt;"",$AJ109,IF($AE109&lt;&gt;"",$AE109,IF($Z109&lt;&gt;"",$Z109,IF($U109&lt;&gt;"",$U109,IF($P109&lt;&gt;"",$P109,""))))),"")</f>
        <v/>
      </c>
      <c r="AP111" s="199"/>
      <c r="AQ111" s="1"/>
    </row>
    <row r="112" customFormat="false" ht="15.75" hidden="false" customHeight="true" outlineLevel="0" collapsed="false">
      <c r="A112" s="194" t="str">
        <f aca="false">IF(C112="","",$C$2&amp;"."&amp;COUNTA($C$8:C112)&amp;"")</f>
        <v>TC_04.92</v>
      </c>
      <c r="B112" s="194" t="s">
        <v>523</v>
      </c>
      <c r="C112" s="194" t="s">
        <v>755</v>
      </c>
      <c r="D112" s="194" t="s">
        <v>42</v>
      </c>
      <c r="E112" s="194" t="s">
        <v>157</v>
      </c>
      <c r="F112" s="195" t="s">
        <v>1417</v>
      </c>
      <c r="G112" s="195" t="s">
        <v>1418</v>
      </c>
      <c r="H112" s="195" t="s">
        <v>1419</v>
      </c>
      <c r="I112" s="195" t="s">
        <v>1420</v>
      </c>
      <c r="J112" s="194" t="s">
        <v>637</v>
      </c>
      <c r="K112" s="194" t="s">
        <v>241</v>
      </c>
      <c r="L112" s="194" t="s">
        <v>638</v>
      </c>
      <c r="M112" s="194"/>
      <c r="N112" s="196"/>
      <c r="O112" s="196"/>
      <c r="P112" s="196"/>
      <c r="Q112" s="196"/>
      <c r="R112" s="196"/>
      <c r="S112" s="196"/>
      <c r="T112" s="196"/>
      <c r="U112" s="196"/>
      <c r="V112" s="196"/>
      <c r="W112" s="196"/>
      <c r="X112" s="196"/>
      <c r="Y112" s="196"/>
      <c r="Z112" s="196"/>
      <c r="AA112" s="196"/>
      <c r="AB112" s="197"/>
      <c r="AC112" s="197"/>
      <c r="AD112" s="197"/>
      <c r="AE112" s="197"/>
      <c r="AF112" s="197"/>
      <c r="AG112" s="197"/>
      <c r="AH112" s="197"/>
      <c r="AI112" s="197"/>
      <c r="AJ112" s="197"/>
      <c r="AK112" s="197"/>
      <c r="AL112" s="197"/>
      <c r="AM112" s="198" t="str">
        <f aca="false">IF($A110="","",IF(OR($N110="Yes",$S110="Yes",$X110="Yes",$AC110="Yes",$AH110="Yes"),"Yes","No"))</f>
        <v/>
      </c>
      <c r="AN112" s="198" t="str">
        <f aca="false">IF($A110="","",IFERROR(IF($AI110&lt;&gt;"",$AI110,IF($AD110&lt;&gt;"",$AD110,IF($Y110&lt;&gt;"",$Y110,IF($T110&lt;&gt;"",$T110,IF($O110&lt;&gt;"",$O110,""))))),""))</f>
        <v/>
      </c>
      <c r="AO112" s="198" t="str">
        <f aca="false">IFERROR(IF($AJ110&lt;&gt;"",$AJ110,IF($AE110&lt;&gt;"",$AE110,IF($Z110&lt;&gt;"",$Z110,IF($U110&lt;&gt;"",$U110,IF($P110&lt;&gt;"",$P110,""))))),"")</f>
        <v/>
      </c>
      <c r="AP112" s="199" t="s">
        <v>675</v>
      </c>
      <c r="AQ112" s="1"/>
    </row>
    <row r="113" customFormat="false" ht="15.75" hidden="false" customHeight="true" outlineLevel="0" collapsed="false">
      <c r="A113" s="194" t="str">
        <f aca="false">IF(C113="","",$C$2&amp;"."&amp;COUNTA($C$8:C113)&amp;"")</f>
        <v>TC_04.93</v>
      </c>
      <c r="B113" s="194" t="s">
        <v>523</v>
      </c>
      <c r="C113" s="194" t="s">
        <v>755</v>
      </c>
      <c r="D113" s="194" t="s">
        <v>40</v>
      </c>
      <c r="E113" s="194" t="s">
        <v>157</v>
      </c>
      <c r="F113" s="195" t="s">
        <v>1421</v>
      </c>
      <c r="G113" s="195" t="s">
        <v>1422</v>
      </c>
      <c r="H113" s="195" t="s">
        <v>1423</v>
      </c>
      <c r="I113" s="195" t="s">
        <v>1424</v>
      </c>
      <c r="J113" s="194" t="s">
        <v>637</v>
      </c>
      <c r="K113" s="194" t="s">
        <v>241</v>
      </c>
      <c r="L113" s="194" t="s">
        <v>638</v>
      </c>
      <c r="M113" s="194"/>
      <c r="N113" s="196"/>
      <c r="O113" s="196"/>
      <c r="P113" s="196"/>
      <c r="Q113" s="196"/>
      <c r="R113" s="196"/>
      <c r="S113" s="196"/>
      <c r="T113" s="196"/>
      <c r="U113" s="196"/>
      <c r="V113" s="196"/>
      <c r="W113" s="196"/>
      <c r="X113" s="196"/>
      <c r="Y113" s="196"/>
      <c r="Z113" s="196"/>
      <c r="AA113" s="196"/>
      <c r="AB113" s="197"/>
      <c r="AC113" s="197"/>
      <c r="AD113" s="197"/>
      <c r="AE113" s="197"/>
      <c r="AF113" s="197"/>
      <c r="AG113" s="197"/>
      <c r="AH113" s="197"/>
      <c r="AI113" s="197"/>
      <c r="AJ113" s="197"/>
      <c r="AK113" s="197"/>
      <c r="AL113" s="197"/>
      <c r="AM113" s="198" t="str">
        <f aca="false">IF($A111="","",IF(OR($N111="Yes",$S111="Yes",$X111="Yes",$AC111="Yes",$AH111="Yes"),"Yes","No"))</f>
        <v>No</v>
      </c>
      <c r="AN113" s="198" t="str">
        <f aca="false">IF($A111="","",IFERROR(IF($AI111&lt;&gt;"",$AI111,IF($AD111&lt;&gt;"",$AD111,IF($Y111&lt;&gt;"",$Y111,IF($T111&lt;&gt;"",$T111,IF($O111&lt;&gt;"",$O111,""))))),""))</f>
        <v/>
      </c>
      <c r="AO113" s="198" t="str">
        <f aca="false">IFERROR(IF($AJ111&lt;&gt;"",$AJ111,IF($AE111&lt;&gt;"",$AE111,IF($Z111&lt;&gt;"",$Z111,IF($U111&lt;&gt;"",$U111,IF($P111&lt;&gt;"",$P111,""))))),"")</f>
        <v/>
      </c>
      <c r="AP113" s="199"/>
      <c r="AQ113" s="1"/>
    </row>
    <row r="114" customFormat="false" ht="15.75" hidden="false" customHeight="true" outlineLevel="0" collapsed="false">
      <c r="A114" s="191" t="s">
        <v>1425</v>
      </c>
      <c r="B114" s="191"/>
      <c r="C114" s="191"/>
      <c r="D114" s="191"/>
      <c r="E114" s="191"/>
      <c r="F114" s="191"/>
      <c r="G114" s="191"/>
      <c r="H114" s="191"/>
      <c r="I114" s="191"/>
      <c r="J114" s="192"/>
      <c r="K114" s="192"/>
      <c r="L114" s="192"/>
      <c r="M114" s="192"/>
      <c r="N114" s="193"/>
      <c r="O114" s="193"/>
      <c r="P114" s="193"/>
      <c r="Q114" s="193"/>
      <c r="R114" s="193"/>
      <c r="S114" s="193"/>
      <c r="T114" s="193"/>
      <c r="U114" s="193"/>
      <c r="V114" s="193"/>
      <c r="W114" s="193"/>
      <c r="X114" s="193"/>
      <c r="Y114" s="193"/>
      <c r="Z114" s="193"/>
      <c r="AA114" s="193"/>
      <c r="AB114" s="189"/>
      <c r="AC114" s="189"/>
      <c r="AD114" s="189"/>
      <c r="AE114" s="189"/>
      <c r="AF114" s="189"/>
      <c r="AG114" s="189"/>
      <c r="AH114" s="189"/>
      <c r="AI114" s="189"/>
      <c r="AJ114" s="189"/>
      <c r="AK114" s="189"/>
      <c r="AL114" s="189"/>
      <c r="AM114" s="190"/>
      <c r="AN114" s="190"/>
      <c r="AO114" s="190"/>
      <c r="AP114" s="190"/>
      <c r="AQ114" s="1"/>
    </row>
    <row r="115" customFormat="false" ht="15.75" hidden="false" customHeight="true" outlineLevel="0" collapsed="false">
      <c r="A115" s="194"/>
      <c r="B115" s="200" t="s">
        <v>1426</v>
      </c>
      <c r="C115" s="200"/>
      <c r="D115" s="200"/>
      <c r="E115" s="200"/>
      <c r="F115" s="200"/>
      <c r="G115" s="200"/>
      <c r="H115" s="200"/>
      <c r="I115" s="200"/>
      <c r="J115" s="194"/>
      <c r="K115" s="194"/>
      <c r="L115" s="194"/>
      <c r="M115" s="194"/>
      <c r="N115" s="196"/>
      <c r="O115" s="196"/>
      <c r="P115" s="196"/>
      <c r="Q115" s="196"/>
      <c r="R115" s="196"/>
      <c r="S115" s="196"/>
      <c r="T115" s="196"/>
      <c r="U115" s="196"/>
      <c r="V115" s="196"/>
      <c r="W115" s="196"/>
      <c r="X115" s="196"/>
      <c r="Y115" s="196"/>
      <c r="Z115" s="196"/>
      <c r="AA115" s="196"/>
      <c r="AB115" s="197"/>
      <c r="AC115" s="197"/>
      <c r="AD115" s="197"/>
      <c r="AE115" s="197"/>
      <c r="AF115" s="197"/>
      <c r="AG115" s="197"/>
      <c r="AH115" s="197"/>
      <c r="AI115" s="197"/>
      <c r="AJ115" s="197"/>
      <c r="AK115" s="197"/>
      <c r="AL115" s="197"/>
      <c r="AM115" s="198"/>
      <c r="AN115" s="198"/>
      <c r="AO115" s="198"/>
      <c r="AP115" s="199"/>
      <c r="AQ115" s="1"/>
    </row>
    <row r="116" customFormat="false" ht="129.75" hidden="false" customHeight="true" outlineLevel="0" collapsed="false">
      <c r="A116" s="194" t="str">
        <f aca="false">IF(C116="","",$C$2&amp;"."&amp;COUNTA($C$8:C116)&amp;"")</f>
        <v>TC_04.94</v>
      </c>
      <c r="B116" s="194" t="s">
        <v>1034</v>
      </c>
      <c r="C116" s="194" t="s">
        <v>676</v>
      </c>
      <c r="D116" s="194" t="s">
        <v>42</v>
      </c>
      <c r="E116" s="194" t="s">
        <v>157</v>
      </c>
      <c r="F116" s="195" t="s">
        <v>1427</v>
      </c>
      <c r="G116" s="195" t="s">
        <v>1428</v>
      </c>
      <c r="H116" s="195" t="s">
        <v>1429</v>
      </c>
      <c r="I116" s="195" t="s">
        <v>1430</v>
      </c>
      <c r="J116" s="194" t="s">
        <v>637</v>
      </c>
      <c r="K116" s="194" t="s">
        <v>241</v>
      </c>
      <c r="L116" s="194" t="s">
        <v>638</v>
      </c>
      <c r="M116" s="194"/>
      <c r="N116" s="196" t="s">
        <v>639</v>
      </c>
      <c r="O116" s="196"/>
      <c r="P116" s="196" t="s">
        <v>24</v>
      </c>
      <c r="Q116" s="196" t="s">
        <v>640</v>
      </c>
      <c r="R116" s="196" t="s">
        <v>1431</v>
      </c>
      <c r="S116" s="196"/>
      <c r="T116" s="196"/>
      <c r="U116" s="196"/>
      <c r="V116" s="196"/>
      <c r="W116" s="196"/>
      <c r="X116" s="196"/>
      <c r="Y116" s="196"/>
      <c r="Z116" s="196"/>
      <c r="AA116" s="196"/>
      <c r="AB116" s="197"/>
      <c r="AC116" s="197"/>
      <c r="AD116" s="197"/>
      <c r="AE116" s="197"/>
      <c r="AF116" s="197"/>
      <c r="AG116" s="197"/>
      <c r="AH116" s="197"/>
      <c r="AI116" s="197"/>
      <c r="AJ116" s="197"/>
      <c r="AK116" s="197"/>
      <c r="AL116" s="197"/>
      <c r="AM116" s="198" t="str">
        <f aca="false">IF($A114="","",IF(OR($N114="Yes",$S114="Yes",$X114="Yes",$AC114="Yes",$AH114="Yes"),"Yes","No"))</f>
        <v>No</v>
      </c>
      <c r="AN116" s="198" t="str">
        <f aca="false">IF($A114="","",IFERROR(IF($AI114&lt;&gt;"",$AI114,IF($AD114&lt;&gt;"",$AD114,IF($Y114&lt;&gt;"",$Y114,IF($T114&lt;&gt;"",$T114,IF($O114&lt;&gt;"",$O114,""))))),""))</f>
        <v/>
      </c>
      <c r="AO116" s="198" t="str">
        <f aca="false">IFERROR(IF($AJ114&lt;&gt;"",$AJ114,IF($AE114&lt;&gt;"",$AE114,IF($Z114&lt;&gt;"",$Z114,IF($U114&lt;&gt;"",$U114,IF($P114&lt;&gt;"",$P114,""))))),"")</f>
        <v/>
      </c>
      <c r="AP116" s="199" t="s">
        <v>675</v>
      </c>
      <c r="AQ116" s="1"/>
    </row>
    <row r="117" customFormat="false" ht="15.75" hidden="false" customHeight="true" outlineLevel="0" collapsed="false">
      <c r="A117" s="194" t="str">
        <f aca="false">IF(C117="","",$C$2&amp;"."&amp;COUNTA($C$8:C117)&amp;"")</f>
        <v>TC_04.95</v>
      </c>
      <c r="B117" s="194" t="s">
        <v>1034</v>
      </c>
      <c r="C117" s="194" t="s">
        <v>755</v>
      </c>
      <c r="D117" s="194" t="s">
        <v>40</v>
      </c>
      <c r="E117" s="194" t="s">
        <v>157</v>
      </c>
      <c r="F117" s="195" t="s">
        <v>1432</v>
      </c>
      <c r="G117" s="195" t="s">
        <v>1433</v>
      </c>
      <c r="H117" s="195" t="s">
        <v>1434</v>
      </c>
      <c r="I117" s="195" t="s">
        <v>1435</v>
      </c>
      <c r="J117" s="194" t="s">
        <v>637</v>
      </c>
      <c r="K117" s="194" t="s">
        <v>241</v>
      </c>
      <c r="L117" s="194" t="s">
        <v>638</v>
      </c>
      <c r="M117" s="194"/>
      <c r="N117" s="196" t="s">
        <v>639</v>
      </c>
      <c r="O117" s="196"/>
      <c r="P117" s="196" t="s">
        <v>24</v>
      </c>
      <c r="Q117" s="196" t="s">
        <v>640</v>
      </c>
      <c r="R117" s="196" t="s">
        <v>1431</v>
      </c>
      <c r="S117" s="196"/>
      <c r="T117" s="196"/>
      <c r="U117" s="196"/>
      <c r="V117" s="196"/>
      <c r="W117" s="196"/>
      <c r="X117" s="196"/>
      <c r="Y117" s="196"/>
      <c r="Z117" s="196"/>
      <c r="AA117" s="196"/>
      <c r="AB117" s="197"/>
      <c r="AC117" s="197"/>
      <c r="AD117" s="197"/>
      <c r="AE117" s="197"/>
      <c r="AF117" s="197"/>
      <c r="AG117" s="197"/>
      <c r="AH117" s="197"/>
      <c r="AI117" s="197"/>
      <c r="AJ117" s="197"/>
      <c r="AK117" s="197"/>
      <c r="AL117" s="197"/>
      <c r="AM117" s="198" t="str">
        <f aca="false">IF($A115="","",IF(OR($N115="Yes",$S115="Yes",$X115="Yes",$AC115="Yes",$AH115="Yes"),"Yes","No"))</f>
        <v/>
      </c>
      <c r="AN117" s="198" t="str">
        <f aca="false">IF($A115="","",IFERROR(IF($AI115&lt;&gt;"",$AI115,IF($AD115&lt;&gt;"",$AD115,IF($Y115&lt;&gt;"",$Y115,IF($T115&lt;&gt;"",$T115,IF($O115&lt;&gt;"",$O115,""))))),""))</f>
        <v/>
      </c>
      <c r="AO117" s="198" t="str">
        <f aca="false">IFERROR(IF($AJ115&lt;&gt;"",$AJ115,IF($AE115&lt;&gt;"",$AE115,IF($Z115&lt;&gt;"",$Z115,IF($U115&lt;&gt;"",$U115,IF($P115&lt;&gt;"",$P115,""))))),"")</f>
        <v/>
      </c>
      <c r="AP117" s="199" t="s">
        <v>1436</v>
      </c>
      <c r="AQ117" s="1"/>
    </row>
    <row r="118" customFormat="false" ht="15.75" hidden="false" customHeight="true" outlineLevel="0" collapsed="false">
      <c r="A118" s="194" t="str">
        <f aca="false">IF(C118="","",$C$2&amp;"."&amp;COUNTA($C$8:C118)&amp;"")</f>
        <v>TC_04.96</v>
      </c>
      <c r="B118" s="194" t="s">
        <v>544</v>
      </c>
      <c r="C118" s="194" t="s">
        <v>1064</v>
      </c>
      <c r="D118" s="194" t="s">
        <v>40</v>
      </c>
      <c r="E118" s="194" t="s">
        <v>158</v>
      </c>
      <c r="F118" s="195" t="s">
        <v>1437</v>
      </c>
      <c r="G118" s="195" t="s">
        <v>1438</v>
      </c>
      <c r="H118" s="195" t="s">
        <v>1439</v>
      </c>
      <c r="I118" s="195" t="s">
        <v>1244</v>
      </c>
      <c r="J118" s="194" t="s">
        <v>637</v>
      </c>
      <c r="K118" s="194" t="s">
        <v>241</v>
      </c>
      <c r="L118" s="194" t="s">
        <v>638</v>
      </c>
      <c r="M118" s="194"/>
      <c r="N118" s="196" t="s">
        <v>639</v>
      </c>
      <c r="O118" s="196"/>
      <c r="P118" s="196" t="s">
        <v>22</v>
      </c>
      <c r="Q118" s="196" t="s">
        <v>640</v>
      </c>
      <c r="R118" s="196"/>
      <c r="S118" s="196"/>
      <c r="T118" s="196"/>
      <c r="U118" s="196"/>
      <c r="V118" s="196"/>
      <c r="W118" s="196"/>
      <c r="X118" s="196"/>
      <c r="Y118" s="196"/>
      <c r="Z118" s="196"/>
      <c r="AA118" s="196"/>
      <c r="AB118" s="197"/>
      <c r="AC118" s="197"/>
      <c r="AD118" s="197"/>
      <c r="AE118" s="197"/>
      <c r="AF118" s="197"/>
      <c r="AG118" s="197"/>
      <c r="AH118" s="197"/>
      <c r="AI118" s="197"/>
      <c r="AJ118" s="197"/>
      <c r="AK118" s="197"/>
      <c r="AL118" s="197"/>
      <c r="AM118" s="198" t="str">
        <f aca="false">IF($A116="","",IF(OR($N116="Yes",$S116="Yes",$X116="Yes",$AC116="Yes",$AH116="Yes"),"Yes","No"))</f>
        <v>Yes</v>
      </c>
      <c r="AN118" s="198" t="str">
        <f aca="false">IF($A116="","",IFERROR(IF($AI116&lt;&gt;"",$AI116,IF($AD116&lt;&gt;"",$AD116,IF($Y116&lt;&gt;"",$Y116,IF($T116&lt;&gt;"",$T116,IF($O116&lt;&gt;"",$O116,""))))),""))</f>
        <v/>
      </c>
      <c r="AO118" s="198" t="str">
        <f aca="false">IFERROR(IF($AJ116&lt;&gt;"",$AJ116,IF($AE116&lt;&gt;"",$AE116,IF($Z116&lt;&gt;"",$Z116,IF($U116&lt;&gt;"",$U116,IF($P116&lt;&gt;"",$P116,""))))),"")</f>
        <v>Fail</v>
      </c>
      <c r="AP118" s="199" t="s">
        <v>1440</v>
      </c>
      <c r="AQ118" s="1"/>
    </row>
    <row r="119" customFormat="false" ht="15.75" hidden="false" customHeight="true" outlineLevel="0" collapsed="false">
      <c r="A119" s="194" t="str">
        <f aca="false">IF(C119="","",$C$2&amp;"."&amp;COUNTA($C$8:C119)&amp;"")</f>
        <v>TC_04.97</v>
      </c>
      <c r="B119" s="194" t="s">
        <v>544</v>
      </c>
      <c r="C119" s="194" t="s">
        <v>1064</v>
      </c>
      <c r="D119" s="194" t="s">
        <v>40</v>
      </c>
      <c r="E119" s="194" t="s">
        <v>158</v>
      </c>
      <c r="F119" s="195" t="s">
        <v>1441</v>
      </c>
      <c r="G119" s="195" t="s">
        <v>1438</v>
      </c>
      <c r="H119" s="195" t="s">
        <v>1442</v>
      </c>
      <c r="I119" s="195" t="s">
        <v>1244</v>
      </c>
      <c r="J119" s="194" t="s">
        <v>637</v>
      </c>
      <c r="K119" s="194" t="s">
        <v>241</v>
      </c>
      <c r="L119" s="194" t="s">
        <v>638</v>
      </c>
      <c r="M119" s="194"/>
      <c r="N119" s="196" t="s">
        <v>639</v>
      </c>
      <c r="O119" s="196"/>
      <c r="P119" s="196" t="s">
        <v>22</v>
      </c>
      <c r="Q119" s="196" t="s">
        <v>640</v>
      </c>
      <c r="R119" s="196"/>
      <c r="S119" s="196"/>
      <c r="T119" s="196"/>
      <c r="U119" s="196"/>
      <c r="V119" s="196"/>
      <c r="W119" s="196"/>
      <c r="X119" s="196"/>
      <c r="Y119" s="196"/>
      <c r="Z119" s="196"/>
      <c r="AA119" s="196"/>
      <c r="AB119" s="197"/>
      <c r="AC119" s="197"/>
      <c r="AD119" s="197"/>
      <c r="AE119" s="197"/>
      <c r="AF119" s="197"/>
      <c r="AG119" s="197"/>
      <c r="AH119" s="197"/>
      <c r="AI119" s="197"/>
      <c r="AJ119" s="197"/>
      <c r="AK119" s="197"/>
      <c r="AL119" s="197"/>
      <c r="AM119" s="198" t="str">
        <f aca="false">IF($A117="","",IF(OR($N117="Yes",$S117="Yes",$X117="Yes",$AC117="Yes",$AH117="Yes"),"Yes","No"))</f>
        <v>Yes</v>
      </c>
      <c r="AN119" s="198" t="str">
        <f aca="false">IF($A117="","",IFERROR(IF($AI117&lt;&gt;"",$AI117,IF($AD117&lt;&gt;"",$AD117,IF($Y117&lt;&gt;"",$Y117,IF($T117&lt;&gt;"",$T117,IF($O117&lt;&gt;"",$O117,""))))),""))</f>
        <v/>
      </c>
      <c r="AO119" s="198" t="str">
        <f aca="false">IFERROR(IF($AJ117&lt;&gt;"",$AJ117,IF($AE117&lt;&gt;"",$AE117,IF($Z117&lt;&gt;"",$Z117,IF($U117&lt;&gt;"",$U117,IF($P117&lt;&gt;"",$P117,""))))),"")</f>
        <v>Fail</v>
      </c>
      <c r="AP119" s="199" t="s">
        <v>1443</v>
      </c>
      <c r="AQ119" s="1"/>
    </row>
    <row r="120" customFormat="false" ht="15.75" hidden="false" customHeight="true" outlineLevel="0" collapsed="false">
      <c r="A120" s="194" t="str">
        <f aca="false">IF(C120="","",$C$2&amp;"."&amp;COUNTA($C$8:C120)&amp;"")</f>
        <v>TC_04.98</v>
      </c>
      <c r="B120" s="194" t="s">
        <v>544</v>
      </c>
      <c r="C120" s="194" t="s">
        <v>1064</v>
      </c>
      <c r="D120" s="194" t="s">
        <v>40</v>
      </c>
      <c r="E120" s="194" t="s">
        <v>158</v>
      </c>
      <c r="F120" s="195" t="s">
        <v>1444</v>
      </c>
      <c r="G120" s="195" t="s">
        <v>1438</v>
      </c>
      <c r="H120" s="195" t="s">
        <v>1445</v>
      </c>
      <c r="I120" s="195" t="s">
        <v>1446</v>
      </c>
      <c r="J120" s="194" t="s">
        <v>637</v>
      </c>
      <c r="K120" s="194" t="s">
        <v>241</v>
      </c>
      <c r="L120" s="194" t="s">
        <v>638</v>
      </c>
      <c r="M120" s="194"/>
      <c r="N120" s="196" t="s">
        <v>639</v>
      </c>
      <c r="O120" s="196"/>
      <c r="P120" s="196" t="s">
        <v>22</v>
      </c>
      <c r="Q120" s="196" t="s">
        <v>640</v>
      </c>
      <c r="R120" s="196"/>
      <c r="S120" s="196"/>
      <c r="T120" s="196"/>
      <c r="U120" s="196"/>
      <c r="V120" s="196"/>
      <c r="W120" s="196"/>
      <c r="X120" s="196"/>
      <c r="Y120" s="196"/>
      <c r="Z120" s="196"/>
      <c r="AA120" s="196"/>
      <c r="AB120" s="197"/>
      <c r="AC120" s="197"/>
      <c r="AD120" s="197"/>
      <c r="AE120" s="197"/>
      <c r="AF120" s="197"/>
      <c r="AG120" s="197"/>
      <c r="AH120" s="197"/>
      <c r="AI120" s="197"/>
      <c r="AJ120" s="197"/>
      <c r="AK120" s="197"/>
      <c r="AL120" s="197"/>
      <c r="AM120" s="198" t="str">
        <f aca="false">IF($A118="","",IF(OR($N118="Yes",$S118="Yes",$X118="Yes",$AC118="Yes",$AH118="Yes"),"Yes","No"))</f>
        <v>Yes</v>
      </c>
      <c r="AN120" s="198" t="str">
        <f aca="false">IF($A118="","",IFERROR(IF($AI118&lt;&gt;"",$AI118,IF($AD118&lt;&gt;"",$AD118,IF($Y118&lt;&gt;"",$Y118,IF($T118&lt;&gt;"",$T118,IF($O118&lt;&gt;"",$O118,""))))),""))</f>
        <v/>
      </c>
      <c r="AO120" s="198" t="str">
        <f aca="false">IFERROR(IF($AJ118&lt;&gt;"",$AJ118,IF($AE118&lt;&gt;"",$AE118,IF($Z118&lt;&gt;"",$Z118,IF($U118&lt;&gt;"",$U118,IF($P118&lt;&gt;"",$P118,""))))),"")</f>
        <v>Pass</v>
      </c>
      <c r="AP120" s="199" t="s">
        <v>1447</v>
      </c>
      <c r="AQ120" s="1"/>
    </row>
    <row r="121" customFormat="false" ht="15.75" hidden="false" customHeight="true" outlineLevel="0" collapsed="false">
      <c r="A121" s="194" t="str">
        <f aca="false">IF(C121="","",$C$2&amp;"."&amp;COUNTA($C$8:C121)&amp;"")</f>
        <v>TC_04.99</v>
      </c>
      <c r="B121" s="194" t="s">
        <v>544</v>
      </c>
      <c r="C121" s="194" t="s">
        <v>1064</v>
      </c>
      <c r="D121" s="194" t="s">
        <v>40</v>
      </c>
      <c r="E121" s="194" t="s">
        <v>157</v>
      </c>
      <c r="F121" s="195" t="s">
        <v>1448</v>
      </c>
      <c r="G121" s="195" t="s">
        <v>1449</v>
      </c>
      <c r="H121" s="195" t="s">
        <v>1450</v>
      </c>
      <c r="I121" s="195" t="s">
        <v>1451</v>
      </c>
      <c r="J121" s="194" t="s">
        <v>637</v>
      </c>
      <c r="K121" s="194" t="s">
        <v>241</v>
      </c>
      <c r="L121" s="194" t="s">
        <v>638</v>
      </c>
      <c r="M121" s="194"/>
      <c r="N121" s="196" t="s">
        <v>639</v>
      </c>
      <c r="O121" s="196"/>
      <c r="P121" s="196" t="s">
        <v>24</v>
      </c>
      <c r="Q121" s="196" t="s">
        <v>640</v>
      </c>
      <c r="R121" s="196" t="s">
        <v>1452</v>
      </c>
      <c r="S121" s="196"/>
      <c r="T121" s="196"/>
      <c r="U121" s="196"/>
      <c r="V121" s="196"/>
      <c r="W121" s="196"/>
      <c r="X121" s="196"/>
      <c r="Y121" s="196"/>
      <c r="Z121" s="196"/>
      <c r="AA121" s="196"/>
      <c r="AB121" s="197"/>
      <c r="AC121" s="197"/>
      <c r="AD121" s="197"/>
      <c r="AE121" s="197"/>
      <c r="AF121" s="197"/>
      <c r="AG121" s="197"/>
      <c r="AH121" s="197"/>
      <c r="AI121" s="197"/>
      <c r="AJ121" s="197"/>
      <c r="AK121" s="197"/>
      <c r="AL121" s="197"/>
      <c r="AM121" s="198" t="str">
        <f aca="false">IF($A119="","",IF(OR($N119="Yes",$S119="Yes",$X119="Yes",$AC119="Yes",$AH119="Yes"),"Yes","No"))</f>
        <v>Yes</v>
      </c>
      <c r="AN121" s="198" t="str">
        <f aca="false">IF($A119="","",IFERROR(IF($AI119&lt;&gt;"",$AI119,IF($AD119&lt;&gt;"",$AD119,IF($Y119&lt;&gt;"",$Y119,IF($T119&lt;&gt;"",$T119,IF($O119&lt;&gt;"",$O119,""))))),""))</f>
        <v/>
      </c>
      <c r="AO121" s="198" t="str">
        <f aca="false">IFERROR(IF($AJ119&lt;&gt;"",$AJ119,IF($AE119&lt;&gt;"",$AE119,IF($Z119&lt;&gt;"",$Z119,IF($U119&lt;&gt;"",$U119,IF($P119&lt;&gt;"",$P119,""))))),"")</f>
        <v>Pass</v>
      </c>
      <c r="AP121" s="199" t="s">
        <v>1453</v>
      </c>
      <c r="AQ121" s="1"/>
    </row>
    <row r="122" customFormat="false" ht="15.75" hidden="false" customHeight="true" outlineLevel="0" collapsed="false">
      <c r="A122" s="194" t="str">
        <f aca="false">IF(C122="","",$C$2&amp;"."&amp;COUNTA($C$8:C122)&amp;"")</f>
        <v>TC_04.100</v>
      </c>
      <c r="B122" s="194" t="s">
        <v>544</v>
      </c>
      <c r="C122" s="194" t="s">
        <v>1064</v>
      </c>
      <c r="D122" s="194" t="s">
        <v>40</v>
      </c>
      <c r="E122" s="194" t="s">
        <v>157</v>
      </c>
      <c r="F122" s="195" t="s">
        <v>1454</v>
      </c>
      <c r="G122" s="195" t="s">
        <v>1455</v>
      </c>
      <c r="H122" s="195" t="s">
        <v>1456</v>
      </c>
      <c r="I122" s="195" t="s">
        <v>1457</v>
      </c>
      <c r="J122" s="194" t="s">
        <v>637</v>
      </c>
      <c r="K122" s="194" t="s">
        <v>241</v>
      </c>
      <c r="L122" s="194" t="s">
        <v>638</v>
      </c>
      <c r="M122" s="194"/>
      <c r="N122" s="196" t="s">
        <v>639</v>
      </c>
      <c r="O122" s="196"/>
      <c r="P122" s="196" t="s">
        <v>24</v>
      </c>
      <c r="Q122" s="196" t="s">
        <v>640</v>
      </c>
      <c r="R122" s="196" t="s">
        <v>1452</v>
      </c>
      <c r="S122" s="196"/>
      <c r="T122" s="196"/>
      <c r="U122" s="196"/>
      <c r="V122" s="196"/>
      <c r="W122" s="196"/>
      <c r="X122" s="196"/>
      <c r="Y122" s="196"/>
      <c r="Z122" s="196"/>
      <c r="AA122" s="196"/>
      <c r="AB122" s="197"/>
      <c r="AC122" s="197"/>
      <c r="AD122" s="197"/>
      <c r="AE122" s="197"/>
      <c r="AF122" s="197"/>
      <c r="AG122" s="197"/>
      <c r="AH122" s="197"/>
      <c r="AI122" s="197"/>
      <c r="AJ122" s="197"/>
      <c r="AK122" s="197"/>
      <c r="AL122" s="197"/>
      <c r="AM122" s="198" t="str">
        <f aca="false">IF($A120="","",IF(OR($N120="Yes",$S120="Yes",$X120="Yes",$AC120="Yes",$AH120="Yes"),"Yes","No"))</f>
        <v>Yes</v>
      </c>
      <c r="AN122" s="198" t="str">
        <f aca="false">IF($A120="","",IFERROR(IF($AI120&lt;&gt;"",$AI120,IF($AD120&lt;&gt;"",$AD120,IF($Y120&lt;&gt;"",$Y120,IF($T120&lt;&gt;"",$T120,IF($O120&lt;&gt;"",$O120,""))))),""))</f>
        <v/>
      </c>
      <c r="AO122" s="198" t="str">
        <f aca="false">IFERROR(IF($AJ120&lt;&gt;"",$AJ120,IF($AE120&lt;&gt;"",$AE120,IF($Z120&lt;&gt;"",$Z120,IF($U120&lt;&gt;"",$U120,IF($P120&lt;&gt;"",$P120,""))))),"")</f>
        <v>Pass</v>
      </c>
      <c r="AP122" s="199" t="s">
        <v>1458</v>
      </c>
      <c r="AQ122" s="1"/>
    </row>
    <row r="123" customFormat="false" ht="15.75" hidden="false" customHeight="true" outlineLevel="0" collapsed="false">
      <c r="A123" s="194" t="str">
        <f aca="false">IF(C123="","",$C$2&amp;"."&amp;COUNTA($C$8:C123)&amp;"")</f>
        <v>TC_04.101</v>
      </c>
      <c r="B123" s="194" t="s">
        <v>544</v>
      </c>
      <c r="C123" s="194" t="s">
        <v>1064</v>
      </c>
      <c r="D123" s="194" t="s">
        <v>40</v>
      </c>
      <c r="E123" s="194" t="s">
        <v>157</v>
      </c>
      <c r="F123" s="195" t="s">
        <v>1459</v>
      </c>
      <c r="G123" s="195" t="s">
        <v>1438</v>
      </c>
      <c r="H123" s="195" t="s">
        <v>1460</v>
      </c>
      <c r="I123" s="195" t="s">
        <v>1461</v>
      </c>
      <c r="J123" s="194" t="s">
        <v>637</v>
      </c>
      <c r="K123" s="194" t="s">
        <v>241</v>
      </c>
      <c r="L123" s="194" t="s">
        <v>638</v>
      </c>
      <c r="M123" s="194"/>
      <c r="N123" s="196" t="s">
        <v>639</v>
      </c>
      <c r="O123" s="196"/>
      <c r="P123" s="196" t="s">
        <v>22</v>
      </c>
      <c r="Q123" s="196" t="s">
        <v>640</v>
      </c>
      <c r="R123" s="196"/>
      <c r="S123" s="196"/>
      <c r="T123" s="196"/>
      <c r="U123" s="196"/>
      <c r="V123" s="196"/>
      <c r="W123" s="196"/>
      <c r="X123" s="196"/>
      <c r="Y123" s="196"/>
      <c r="Z123" s="196"/>
      <c r="AA123" s="196"/>
      <c r="AB123" s="197"/>
      <c r="AC123" s="197"/>
      <c r="AD123" s="197"/>
      <c r="AE123" s="197"/>
      <c r="AF123" s="197"/>
      <c r="AG123" s="197"/>
      <c r="AH123" s="197"/>
      <c r="AI123" s="197"/>
      <c r="AJ123" s="197"/>
      <c r="AK123" s="197"/>
      <c r="AL123" s="197"/>
      <c r="AM123" s="198" t="str">
        <f aca="false">IF($A121="","",IF(OR($N121="Yes",$S121="Yes",$X121="Yes",$AC121="Yes",$AH121="Yes"),"Yes","No"))</f>
        <v>Yes</v>
      </c>
      <c r="AN123" s="198" t="str">
        <f aca="false">IF($A121="","",IFERROR(IF($AI121&lt;&gt;"",$AI121,IF($AD121&lt;&gt;"",$AD121,IF($Y121&lt;&gt;"",$Y121,IF($T121&lt;&gt;"",$T121,IF($O121&lt;&gt;"",$O121,""))))),""))</f>
        <v/>
      </c>
      <c r="AO123" s="198" t="str">
        <f aca="false">IFERROR(IF($AJ121&lt;&gt;"",$AJ121,IF($AE121&lt;&gt;"",$AE121,IF($Z121&lt;&gt;"",$Z121,IF($U121&lt;&gt;"",$U121,IF($P121&lt;&gt;"",$P121,""))))),"")</f>
        <v>Fail</v>
      </c>
      <c r="AP123" s="199" t="s">
        <v>1462</v>
      </c>
      <c r="AQ123" s="1"/>
    </row>
    <row r="124" customFormat="false" ht="15.75" hidden="false" customHeight="true" outlineLevel="0" collapsed="false">
      <c r="A124" s="194" t="str">
        <f aca="false">IF(C124="","",$C$2&amp;"."&amp;COUNTA($C$8:C124)&amp;"")</f>
        <v>TC_04.102</v>
      </c>
      <c r="B124" s="194" t="s">
        <v>544</v>
      </c>
      <c r="C124" s="194" t="s">
        <v>1064</v>
      </c>
      <c r="D124" s="194" t="s">
        <v>40</v>
      </c>
      <c r="E124" s="194" t="s">
        <v>157</v>
      </c>
      <c r="F124" s="195" t="s">
        <v>1463</v>
      </c>
      <c r="G124" s="195" t="s">
        <v>1438</v>
      </c>
      <c r="H124" s="195" t="s">
        <v>1464</v>
      </c>
      <c r="I124" s="195" t="s">
        <v>1465</v>
      </c>
      <c r="J124" s="194" t="s">
        <v>637</v>
      </c>
      <c r="K124" s="194" t="s">
        <v>241</v>
      </c>
      <c r="L124" s="194" t="s">
        <v>638</v>
      </c>
      <c r="M124" s="194"/>
      <c r="N124" s="196" t="s">
        <v>639</v>
      </c>
      <c r="O124" s="196"/>
      <c r="P124" s="196" t="s">
        <v>22</v>
      </c>
      <c r="Q124" s="196" t="s">
        <v>640</v>
      </c>
      <c r="R124" s="196"/>
      <c r="S124" s="196"/>
      <c r="T124" s="196"/>
      <c r="U124" s="196"/>
      <c r="V124" s="196"/>
      <c r="W124" s="196"/>
      <c r="X124" s="196"/>
      <c r="Y124" s="196"/>
      <c r="Z124" s="196"/>
      <c r="AA124" s="196"/>
      <c r="AB124" s="197"/>
      <c r="AC124" s="197"/>
      <c r="AD124" s="197"/>
      <c r="AE124" s="197"/>
      <c r="AF124" s="197"/>
      <c r="AG124" s="197"/>
      <c r="AH124" s="197"/>
      <c r="AI124" s="197"/>
      <c r="AJ124" s="197"/>
      <c r="AK124" s="197"/>
      <c r="AL124" s="197"/>
      <c r="AM124" s="198" t="str">
        <f aca="false">IF($A122="","",IF(OR($N122="Yes",$S122="Yes",$X122="Yes",$AC122="Yes",$AH122="Yes"),"Yes","No"))</f>
        <v>Yes</v>
      </c>
      <c r="AN124" s="198" t="str">
        <f aca="false">IF($A122="","",IFERROR(IF($AI122&lt;&gt;"",$AI122,IF($AD122&lt;&gt;"",$AD122,IF($Y122&lt;&gt;"",$Y122,IF($T122&lt;&gt;"",$T122,IF($O122&lt;&gt;"",$O122,""))))),""))</f>
        <v/>
      </c>
      <c r="AO124" s="198" t="str">
        <f aca="false">IFERROR(IF($AJ122&lt;&gt;"",$AJ122,IF($AE122&lt;&gt;"",$AE122,IF($Z122&lt;&gt;"",$Z122,IF($U122&lt;&gt;"",$U122,IF($P122&lt;&gt;"",$P122,""))))),"")</f>
        <v>Fail</v>
      </c>
      <c r="AP124" s="199" t="s">
        <v>1466</v>
      </c>
      <c r="AQ124" s="1"/>
    </row>
    <row r="125" customFormat="false" ht="15.75" hidden="false" customHeight="true" outlineLevel="0" collapsed="false">
      <c r="A125" s="194" t="str">
        <f aca="false">IF(C125="","",$C$2&amp;"."&amp;COUNTA($C$8:C125)&amp;"")</f>
        <v>TC_04.103</v>
      </c>
      <c r="B125" s="194" t="s">
        <v>547</v>
      </c>
      <c r="C125" s="194" t="s">
        <v>1359</v>
      </c>
      <c r="D125" s="194" t="s">
        <v>42</v>
      </c>
      <c r="E125" s="194" t="s">
        <v>157</v>
      </c>
      <c r="F125" s="195" t="s">
        <v>1467</v>
      </c>
      <c r="G125" s="195" t="s">
        <v>1468</v>
      </c>
      <c r="H125" s="195" t="s">
        <v>1469</v>
      </c>
      <c r="I125" s="195" t="s">
        <v>1470</v>
      </c>
      <c r="J125" s="194" t="s">
        <v>637</v>
      </c>
      <c r="K125" s="194" t="s">
        <v>241</v>
      </c>
      <c r="L125" s="194" t="s">
        <v>638</v>
      </c>
      <c r="M125" s="194"/>
      <c r="N125" s="196" t="s">
        <v>639</v>
      </c>
      <c r="O125" s="196"/>
      <c r="P125" s="196" t="s">
        <v>22</v>
      </c>
      <c r="Q125" s="196" t="s">
        <v>640</v>
      </c>
      <c r="R125" s="196"/>
      <c r="S125" s="196"/>
      <c r="T125" s="196"/>
      <c r="U125" s="196"/>
      <c r="V125" s="196"/>
      <c r="W125" s="196"/>
      <c r="X125" s="196"/>
      <c r="Y125" s="196"/>
      <c r="Z125" s="196"/>
      <c r="AA125" s="196"/>
      <c r="AB125" s="197"/>
      <c r="AC125" s="197"/>
      <c r="AD125" s="197"/>
      <c r="AE125" s="197"/>
      <c r="AF125" s="197"/>
      <c r="AG125" s="197"/>
      <c r="AH125" s="197"/>
      <c r="AI125" s="197"/>
      <c r="AJ125" s="197"/>
      <c r="AK125" s="197"/>
      <c r="AL125" s="197"/>
      <c r="AM125" s="198" t="str">
        <f aca="false">IF($A123="","",IF(OR($N123="Yes",$S123="Yes",$X123="Yes",$AC123="Yes",$AH123="Yes"),"Yes","No"))</f>
        <v>Yes</v>
      </c>
      <c r="AN125" s="198" t="str">
        <f aca="false">IF($A123="","",IFERROR(IF($AI123&lt;&gt;"",$AI123,IF($AD123&lt;&gt;"",$AD123,IF($Y123&lt;&gt;"",$Y123,IF($T123&lt;&gt;"",$T123,IF($O123&lt;&gt;"",$O123,""))))),""))</f>
        <v/>
      </c>
      <c r="AO125" s="198" t="str">
        <f aca="false">IFERROR(IF($AJ123&lt;&gt;"",$AJ123,IF($AE123&lt;&gt;"",$AE123,IF($Z123&lt;&gt;"",$Z123,IF($U123&lt;&gt;"",$U123,IF($P123&lt;&gt;"",$P123,""))))),"")</f>
        <v>Pass</v>
      </c>
      <c r="AP125" s="199" t="s">
        <v>1471</v>
      </c>
      <c r="AQ125" s="1"/>
    </row>
    <row r="126" customFormat="false" ht="15.75" hidden="false" customHeight="true" outlineLevel="0" collapsed="false">
      <c r="A126" s="191" t="s">
        <v>1472</v>
      </c>
      <c r="B126" s="191"/>
      <c r="C126" s="191"/>
      <c r="D126" s="191"/>
      <c r="E126" s="191"/>
      <c r="F126" s="191"/>
      <c r="G126" s="191"/>
      <c r="H126" s="191"/>
      <c r="I126" s="191"/>
      <c r="J126" s="192"/>
      <c r="K126" s="192"/>
      <c r="L126" s="192"/>
      <c r="M126" s="192"/>
      <c r="N126" s="193"/>
      <c r="O126" s="193"/>
      <c r="P126" s="193"/>
      <c r="Q126" s="193"/>
      <c r="R126" s="193"/>
      <c r="S126" s="193"/>
      <c r="T126" s="193"/>
      <c r="U126" s="193"/>
      <c r="V126" s="193"/>
      <c r="W126" s="193"/>
      <c r="X126" s="193"/>
      <c r="Y126" s="193"/>
      <c r="Z126" s="193"/>
      <c r="AA126" s="193"/>
      <c r="AB126" s="189"/>
      <c r="AC126" s="189"/>
      <c r="AD126" s="189"/>
      <c r="AE126" s="189"/>
      <c r="AF126" s="189"/>
      <c r="AG126" s="189"/>
      <c r="AH126" s="189"/>
      <c r="AI126" s="189"/>
      <c r="AJ126" s="189"/>
      <c r="AK126" s="189"/>
      <c r="AL126" s="189"/>
      <c r="AM126" s="190"/>
      <c r="AN126" s="190"/>
      <c r="AO126" s="190"/>
      <c r="AP126" s="190"/>
      <c r="AQ126" s="1"/>
    </row>
    <row r="127" customFormat="false" ht="15.75" hidden="false" customHeight="true" outlineLevel="0" collapsed="false">
      <c r="A127" s="194"/>
      <c r="B127" s="200" t="s">
        <v>1473</v>
      </c>
      <c r="C127" s="200"/>
      <c r="D127" s="200"/>
      <c r="E127" s="200"/>
      <c r="F127" s="200"/>
      <c r="G127" s="200"/>
      <c r="H127" s="200"/>
      <c r="I127" s="200"/>
      <c r="J127" s="194"/>
      <c r="K127" s="194"/>
      <c r="L127" s="194"/>
      <c r="M127" s="194"/>
      <c r="N127" s="196"/>
      <c r="O127" s="196"/>
      <c r="P127" s="196"/>
      <c r="Q127" s="196"/>
      <c r="R127" s="196"/>
      <c r="S127" s="196"/>
      <c r="T127" s="196"/>
      <c r="U127" s="196"/>
      <c r="V127" s="196"/>
      <c r="W127" s="196"/>
      <c r="X127" s="196"/>
      <c r="Y127" s="196"/>
      <c r="Z127" s="196"/>
      <c r="AA127" s="196"/>
      <c r="AB127" s="197"/>
      <c r="AC127" s="197"/>
      <c r="AD127" s="197"/>
      <c r="AE127" s="197"/>
      <c r="AF127" s="197"/>
      <c r="AG127" s="197"/>
      <c r="AH127" s="197"/>
      <c r="AI127" s="197"/>
      <c r="AJ127" s="197"/>
      <c r="AK127" s="197"/>
      <c r="AL127" s="197"/>
      <c r="AM127" s="198"/>
      <c r="AN127" s="198"/>
      <c r="AO127" s="198"/>
      <c r="AP127" s="199"/>
      <c r="AQ127" s="1"/>
    </row>
    <row r="128" customFormat="false" ht="144.75" hidden="false" customHeight="true" outlineLevel="0" collapsed="false">
      <c r="A128" s="194" t="str">
        <f aca="false">IF(C128="","",$C$2&amp;"."&amp;COUNTA($C$8:C128)&amp;"")</f>
        <v>TC_04.104</v>
      </c>
      <c r="B128" s="194" t="s">
        <v>529</v>
      </c>
      <c r="C128" s="194" t="s">
        <v>755</v>
      </c>
      <c r="D128" s="194" t="s">
        <v>42</v>
      </c>
      <c r="E128" s="194" t="s">
        <v>157</v>
      </c>
      <c r="F128" s="195" t="s">
        <v>1474</v>
      </c>
      <c r="G128" s="195" t="s">
        <v>1475</v>
      </c>
      <c r="H128" s="195" t="s">
        <v>1476</v>
      </c>
      <c r="I128" s="195" t="s">
        <v>1477</v>
      </c>
      <c r="J128" s="194" t="s">
        <v>637</v>
      </c>
      <c r="K128" s="194" t="s">
        <v>241</v>
      </c>
      <c r="L128" s="194" t="s">
        <v>638</v>
      </c>
      <c r="M128" s="194"/>
      <c r="N128" s="196"/>
      <c r="O128" s="196"/>
      <c r="P128" s="196"/>
      <c r="Q128" s="196"/>
      <c r="R128" s="196"/>
      <c r="S128" s="196"/>
      <c r="T128" s="196"/>
      <c r="U128" s="196"/>
      <c r="V128" s="196"/>
      <c r="W128" s="196"/>
      <c r="X128" s="196"/>
      <c r="Y128" s="196"/>
      <c r="Z128" s="196"/>
      <c r="AA128" s="196"/>
      <c r="AB128" s="197"/>
      <c r="AC128" s="197"/>
      <c r="AD128" s="197"/>
      <c r="AE128" s="197"/>
      <c r="AF128" s="197"/>
      <c r="AG128" s="197"/>
      <c r="AH128" s="197"/>
      <c r="AI128" s="197"/>
      <c r="AJ128" s="197"/>
      <c r="AK128" s="197"/>
      <c r="AL128" s="197"/>
      <c r="AM128" s="198" t="str">
        <f aca="false">IF($A126="","",IF(OR($N126="Yes",$S126="Yes",$X126="Yes",$AC126="Yes",$AH126="Yes"),"Yes","No"))</f>
        <v>No</v>
      </c>
      <c r="AN128" s="198" t="str">
        <f aca="false">IF($A126="","",IFERROR(IF($AI126&lt;&gt;"",$AI126,IF($AD126&lt;&gt;"",$AD126,IF($Y126&lt;&gt;"",$Y126,IF($T126&lt;&gt;"",$T126,IF($O126&lt;&gt;"",$O126,""))))),""))</f>
        <v/>
      </c>
      <c r="AO128" s="198" t="str">
        <f aca="false">IFERROR(IF($AJ126&lt;&gt;"",$AJ126,IF($AE126&lt;&gt;"",$AE126,IF($Z126&lt;&gt;"",$Z126,IF($U126&lt;&gt;"",$U126,IF($P126&lt;&gt;"",$P126,""))))),"")</f>
        <v/>
      </c>
      <c r="AP128" s="199" t="s">
        <v>675</v>
      </c>
      <c r="AQ128" s="1"/>
    </row>
    <row r="129" customFormat="false" ht="15.75" hidden="false" customHeight="true" outlineLevel="0" collapsed="false">
      <c r="A129" s="194" t="str">
        <f aca="false">IF(C129="","",$C$2&amp;"."&amp;COUNTA($C$8:C129)&amp;"")</f>
        <v>TC_04.105</v>
      </c>
      <c r="B129" s="194" t="s">
        <v>529</v>
      </c>
      <c r="C129" s="194" t="s">
        <v>755</v>
      </c>
      <c r="D129" s="194" t="s">
        <v>42</v>
      </c>
      <c r="E129" s="194" t="s">
        <v>157</v>
      </c>
      <c r="F129" s="195" t="s">
        <v>1478</v>
      </c>
      <c r="G129" s="195" t="s">
        <v>1479</v>
      </c>
      <c r="H129" s="195" t="s">
        <v>1480</v>
      </c>
      <c r="I129" s="195" t="s">
        <v>1481</v>
      </c>
      <c r="J129" s="194" t="s">
        <v>637</v>
      </c>
      <c r="K129" s="194" t="s">
        <v>241</v>
      </c>
      <c r="L129" s="194" t="s">
        <v>638</v>
      </c>
      <c r="M129" s="194"/>
      <c r="N129" s="196"/>
      <c r="O129" s="196"/>
      <c r="P129" s="196"/>
      <c r="Q129" s="196"/>
      <c r="R129" s="196"/>
      <c r="S129" s="196"/>
      <c r="T129" s="196"/>
      <c r="U129" s="196"/>
      <c r="V129" s="196"/>
      <c r="W129" s="196"/>
      <c r="X129" s="196"/>
      <c r="Y129" s="196"/>
      <c r="Z129" s="196"/>
      <c r="AA129" s="196"/>
      <c r="AB129" s="197"/>
      <c r="AC129" s="197"/>
      <c r="AD129" s="197"/>
      <c r="AE129" s="197"/>
      <c r="AF129" s="197"/>
      <c r="AG129" s="197"/>
      <c r="AH129" s="197"/>
      <c r="AI129" s="197"/>
      <c r="AJ129" s="197"/>
      <c r="AK129" s="197"/>
      <c r="AL129" s="197"/>
      <c r="AM129" s="198" t="str">
        <f aca="false">IF($A127="","",IF(OR($N127="Yes",$S127="Yes",$X127="Yes",$AC127="Yes",$AH127="Yes"),"Yes","No"))</f>
        <v/>
      </c>
      <c r="AN129" s="198" t="str">
        <f aca="false">IF($A127="","",IFERROR(IF($AI127&lt;&gt;"",$AI127,IF($AD127&lt;&gt;"",$AD127,IF($Y127&lt;&gt;"",$Y127,IF($T127&lt;&gt;"",$T127,IF($O127&lt;&gt;"",$O127,""))))),""))</f>
        <v/>
      </c>
      <c r="AO129" s="198" t="str">
        <f aca="false">IFERROR(IF($AJ127&lt;&gt;"",$AJ127,IF($AE127&lt;&gt;"",$AE127,IF($Z127&lt;&gt;"",$Z127,IF($U127&lt;&gt;"",$U127,IF($P127&lt;&gt;"",$P127,""))))),"")</f>
        <v/>
      </c>
      <c r="AP129" s="199" t="s">
        <v>675</v>
      </c>
      <c r="AQ129" s="1"/>
    </row>
    <row r="130" customFormat="false" ht="15.75" hidden="false" customHeight="true" outlineLevel="0" collapsed="false">
      <c r="A130" s="194" t="str">
        <f aca="false">IF(C130="","",$C$2&amp;"."&amp;COUNTA($C$8:C130)&amp;"")</f>
        <v>TC_04.106</v>
      </c>
      <c r="B130" s="194" t="s">
        <v>529</v>
      </c>
      <c r="C130" s="194" t="s">
        <v>755</v>
      </c>
      <c r="D130" s="194" t="s">
        <v>40</v>
      </c>
      <c r="E130" s="194" t="s">
        <v>157</v>
      </c>
      <c r="F130" s="195" t="s">
        <v>1482</v>
      </c>
      <c r="G130" s="195" t="s">
        <v>1479</v>
      </c>
      <c r="H130" s="195" t="s">
        <v>1483</v>
      </c>
      <c r="I130" s="195" t="s">
        <v>1484</v>
      </c>
      <c r="J130" s="194" t="s">
        <v>637</v>
      </c>
      <c r="K130" s="194" t="s">
        <v>241</v>
      </c>
      <c r="L130" s="194" t="s">
        <v>638</v>
      </c>
      <c r="M130" s="194"/>
      <c r="N130" s="196"/>
      <c r="O130" s="196"/>
      <c r="P130" s="196"/>
      <c r="Q130" s="196"/>
      <c r="R130" s="196"/>
      <c r="S130" s="196"/>
      <c r="T130" s="196"/>
      <c r="U130" s="196"/>
      <c r="V130" s="196"/>
      <c r="W130" s="196"/>
      <c r="X130" s="196"/>
      <c r="Y130" s="196"/>
      <c r="Z130" s="196"/>
      <c r="AA130" s="196"/>
      <c r="AB130" s="197"/>
      <c r="AC130" s="197"/>
      <c r="AD130" s="197"/>
      <c r="AE130" s="197"/>
      <c r="AF130" s="197"/>
      <c r="AG130" s="197"/>
      <c r="AH130" s="197"/>
      <c r="AI130" s="197"/>
      <c r="AJ130" s="197"/>
      <c r="AK130" s="197"/>
      <c r="AL130" s="197"/>
      <c r="AM130" s="198" t="str">
        <f aca="false">IF($A128="","",IF(OR($N128="Yes",$S128="Yes",$X128="Yes",$AC128="Yes",$AH128="Yes"),"Yes","No"))</f>
        <v>No</v>
      </c>
      <c r="AN130" s="198" t="str">
        <f aca="false">IF($A128="","",IFERROR(IF($AI128&lt;&gt;"",$AI128,IF($AD128&lt;&gt;"",$AD128,IF($Y128&lt;&gt;"",$Y128,IF($T128&lt;&gt;"",$T128,IF($O128&lt;&gt;"",$O128,""))))),""))</f>
        <v/>
      </c>
      <c r="AO130" s="198" t="str">
        <f aca="false">IFERROR(IF($AJ128&lt;&gt;"",$AJ128,IF($AE128&lt;&gt;"",$AE128,IF($Z128&lt;&gt;"",$Z128,IF($U128&lt;&gt;"",$U128,IF($P128&lt;&gt;"",$P128,""))))),"")</f>
        <v/>
      </c>
      <c r="AP130" s="199"/>
      <c r="AQ130" s="1"/>
    </row>
    <row r="131" customFormat="false" ht="15.75" hidden="false" customHeight="true" outlineLevel="0" collapsed="false">
      <c r="A131" s="194" t="str">
        <f aca="false">IF(C131="","",$C$2&amp;"."&amp;COUNTA($C$8:C131)&amp;"")</f>
        <v>TC_04.107</v>
      </c>
      <c r="B131" s="194" t="s">
        <v>529</v>
      </c>
      <c r="C131" s="194" t="s">
        <v>755</v>
      </c>
      <c r="D131" s="194" t="s">
        <v>40</v>
      </c>
      <c r="E131" s="194" t="s">
        <v>157</v>
      </c>
      <c r="F131" s="195" t="s">
        <v>1485</v>
      </c>
      <c r="G131" s="195" t="s">
        <v>1486</v>
      </c>
      <c r="H131" s="195" t="s">
        <v>1487</v>
      </c>
      <c r="I131" s="195" t="s">
        <v>1488</v>
      </c>
      <c r="J131" s="194" t="s">
        <v>637</v>
      </c>
      <c r="K131" s="194" t="s">
        <v>241</v>
      </c>
      <c r="L131" s="194" t="s">
        <v>638</v>
      </c>
      <c r="M131" s="194"/>
      <c r="N131" s="196"/>
      <c r="O131" s="196"/>
      <c r="P131" s="196"/>
      <c r="Q131" s="196"/>
      <c r="R131" s="196"/>
      <c r="S131" s="196"/>
      <c r="T131" s="196"/>
      <c r="U131" s="196"/>
      <c r="V131" s="196"/>
      <c r="W131" s="196"/>
      <c r="X131" s="196"/>
      <c r="Y131" s="196"/>
      <c r="Z131" s="196"/>
      <c r="AA131" s="196"/>
      <c r="AB131" s="197"/>
      <c r="AC131" s="197"/>
      <c r="AD131" s="197"/>
      <c r="AE131" s="197"/>
      <c r="AF131" s="197"/>
      <c r="AG131" s="197"/>
      <c r="AH131" s="197"/>
      <c r="AI131" s="197"/>
      <c r="AJ131" s="197"/>
      <c r="AK131" s="197"/>
      <c r="AL131" s="197"/>
      <c r="AM131" s="198" t="str">
        <f aca="false">IF($A129="","",IF(OR($N129="Yes",$S129="Yes",$X129="Yes",$AC129="Yes",$AH129="Yes"),"Yes","No"))</f>
        <v>No</v>
      </c>
      <c r="AN131" s="198" t="str">
        <f aca="false">IF($A129="","",IFERROR(IF($AI129&lt;&gt;"",$AI129,IF($AD129&lt;&gt;"",$AD129,IF($Y129&lt;&gt;"",$Y129,IF($T129&lt;&gt;"",$T129,IF($O129&lt;&gt;"",$O129,""))))),""))</f>
        <v/>
      </c>
      <c r="AO131" s="198" t="str">
        <f aca="false">IFERROR(IF($AJ129&lt;&gt;"",$AJ129,IF($AE129&lt;&gt;"",$AE129,IF($Z129&lt;&gt;"",$Z129,IF($U129&lt;&gt;"",$U129,IF($P129&lt;&gt;"",$P129,""))))),"")</f>
        <v/>
      </c>
      <c r="AP131" s="199" t="s">
        <v>1489</v>
      </c>
      <c r="AQ131" s="1"/>
    </row>
    <row r="132" customFormat="false" ht="15.75" hidden="false" customHeight="true" outlineLevel="0" collapsed="false">
      <c r="A132" s="194" t="str">
        <f aca="false">IF(C132="","",$C$2&amp;"."&amp;COUNTA($C$8:C132)&amp;"")</f>
        <v>TC_04.108</v>
      </c>
      <c r="B132" s="194" t="s">
        <v>529</v>
      </c>
      <c r="C132" s="194" t="s">
        <v>755</v>
      </c>
      <c r="D132" s="194" t="s">
        <v>40</v>
      </c>
      <c r="E132" s="194" t="s">
        <v>156</v>
      </c>
      <c r="F132" s="195" t="s">
        <v>1490</v>
      </c>
      <c r="G132" s="195" t="s">
        <v>1491</v>
      </c>
      <c r="H132" s="195" t="s">
        <v>1492</v>
      </c>
      <c r="I132" s="195" t="s">
        <v>1493</v>
      </c>
      <c r="J132" s="194" t="s">
        <v>637</v>
      </c>
      <c r="K132" s="194" t="s">
        <v>241</v>
      </c>
      <c r="L132" s="194" t="s">
        <v>638</v>
      </c>
      <c r="M132" s="194"/>
      <c r="N132" s="196"/>
      <c r="O132" s="196"/>
      <c r="P132" s="196"/>
      <c r="Q132" s="196"/>
      <c r="R132" s="196"/>
      <c r="S132" s="196"/>
      <c r="T132" s="196"/>
      <c r="U132" s="196"/>
      <c r="V132" s="196"/>
      <c r="W132" s="196"/>
      <c r="X132" s="196"/>
      <c r="Y132" s="196"/>
      <c r="Z132" s="196"/>
      <c r="AA132" s="196"/>
      <c r="AB132" s="197"/>
      <c r="AC132" s="197"/>
      <c r="AD132" s="197"/>
      <c r="AE132" s="197"/>
      <c r="AF132" s="197"/>
      <c r="AG132" s="197"/>
      <c r="AH132" s="197"/>
      <c r="AI132" s="197"/>
      <c r="AJ132" s="197"/>
      <c r="AK132" s="197"/>
      <c r="AL132" s="197"/>
      <c r="AM132" s="198" t="str">
        <f aca="false">IF($A130="","",IF(OR($N130="Yes",$S130="Yes",$X130="Yes",$AC130="Yes",$AH130="Yes"),"Yes","No"))</f>
        <v>No</v>
      </c>
      <c r="AN132" s="198" t="str">
        <f aca="false">IF($A130="","",IFERROR(IF($AI130&lt;&gt;"",$AI130,IF($AD130&lt;&gt;"",$AD130,IF($Y130&lt;&gt;"",$Y130,IF($T130&lt;&gt;"",$T130,IF($O130&lt;&gt;"",$O130,""))))),""))</f>
        <v/>
      </c>
      <c r="AO132" s="198" t="str">
        <f aca="false">IFERROR(IF($AJ130&lt;&gt;"",$AJ130,IF($AE130&lt;&gt;"",$AE130,IF($Z130&lt;&gt;"",$Z130,IF($U130&lt;&gt;"",$U130,IF($P130&lt;&gt;"",$P130,""))))),"")</f>
        <v/>
      </c>
      <c r="AP132" s="199" t="s">
        <v>1494</v>
      </c>
      <c r="AQ132" s="1"/>
    </row>
    <row r="133" customFormat="false" ht="15.75" hidden="false" customHeight="true" outlineLevel="0" collapsed="false">
      <c r="A133" s="194" t="str">
        <f aca="false">IF(C133="","",$C$2&amp;"."&amp;COUNTA($C$8:C133)&amp;"")</f>
        <v>TC_04.109</v>
      </c>
      <c r="B133" s="194" t="s">
        <v>529</v>
      </c>
      <c r="C133" s="194" t="s">
        <v>755</v>
      </c>
      <c r="D133" s="194" t="s">
        <v>40</v>
      </c>
      <c r="E133" s="194" t="s">
        <v>157</v>
      </c>
      <c r="F133" s="195" t="s">
        <v>1495</v>
      </c>
      <c r="G133" s="195" t="s">
        <v>1496</v>
      </c>
      <c r="H133" s="195" t="s">
        <v>1497</v>
      </c>
      <c r="I133" s="195" t="s">
        <v>1498</v>
      </c>
      <c r="J133" s="194" t="s">
        <v>637</v>
      </c>
      <c r="K133" s="194" t="s">
        <v>241</v>
      </c>
      <c r="L133" s="194" t="s">
        <v>638</v>
      </c>
      <c r="M133" s="194"/>
      <c r="N133" s="196"/>
      <c r="O133" s="196"/>
      <c r="P133" s="196"/>
      <c r="Q133" s="196"/>
      <c r="R133" s="196"/>
      <c r="S133" s="196"/>
      <c r="T133" s="196"/>
      <c r="U133" s="196"/>
      <c r="V133" s="196"/>
      <c r="W133" s="196"/>
      <c r="X133" s="196"/>
      <c r="Y133" s="196"/>
      <c r="Z133" s="196"/>
      <c r="AA133" s="196"/>
      <c r="AB133" s="197"/>
      <c r="AC133" s="197"/>
      <c r="AD133" s="197"/>
      <c r="AE133" s="197"/>
      <c r="AF133" s="197"/>
      <c r="AG133" s="197"/>
      <c r="AH133" s="197"/>
      <c r="AI133" s="197"/>
      <c r="AJ133" s="197"/>
      <c r="AK133" s="197"/>
      <c r="AL133" s="197"/>
      <c r="AM133" s="198" t="str">
        <f aca="false">IF($A131="","",IF(OR($N131="Yes",$S131="Yes",$X131="Yes",$AC131="Yes",$AH131="Yes"),"Yes","No"))</f>
        <v>No</v>
      </c>
      <c r="AN133" s="198" t="str">
        <f aca="false">IF($A131="","",IFERROR(IF($AI131&lt;&gt;"",$AI131,IF($AD131&lt;&gt;"",$AD131,IF($Y131&lt;&gt;"",$Y131,IF($T131&lt;&gt;"",$T131,IF($O131&lt;&gt;"",$O131,""))))),""))</f>
        <v/>
      </c>
      <c r="AO133" s="198" t="str">
        <f aca="false">IFERROR(IF($AJ131&lt;&gt;"",$AJ131,IF($AE131&lt;&gt;"",$AE131,IF($Z131&lt;&gt;"",$Z131,IF($U131&lt;&gt;"",$U131,IF($P131&lt;&gt;"",$P131,""))))),"")</f>
        <v/>
      </c>
      <c r="AP133" s="199" t="s">
        <v>1499</v>
      </c>
      <c r="AQ133" s="1"/>
    </row>
    <row r="134" customFormat="false" ht="15.75" hidden="false" customHeight="true" outlineLevel="0" collapsed="false">
      <c r="A134" s="194" t="str">
        <f aca="false">IF(C134="","",$C$2&amp;"."&amp;COUNTA($C$8:C134)&amp;"")</f>
        <v>TC_04.110</v>
      </c>
      <c r="B134" s="194" t="s">
        <v>529</v>
      </c>
      <c r="C134" s="194" t="s">
        <v>755</v>
      </c>
      <c r="D134" s="194" t="s">
        <v>40</v>
      </c>
      <c r="E134" s="194" t="s">
        <v>158</v>
      </c>
      <c r="F134" s="195" t="s">
        <v>1500</v>
      </c>
      <c r="G134" s="195" t="s">
        <v>1501</v>
      </c>
      <c r="H134" s="195" t="s">
        <v>1502</v>
      </c>
      <c r="I134" s="195" t="s">
        <v>1498</v>
      </c>
      <c r="J134" s="194" t="s">
        <v>637</v>
      </c>
      <c r="K134" s="194" t="s">
        <v>241</v>
      </c>
      <c r="L134" s="194" t="s">
        <v>638</v>
      </c>
      <c r="M134" s="194"/>
      <c r="N134" s="196"/>
      <c r="O134" s="196"/>
      <c r="P134" s="196"/>
      <c r="Q134" s="196"/>
      <c r="R134" s="196"/>
      <c r="S134" s="196"/>
      <c r="T134" s="196"/>
      <c r="U134" s="196"/>
      <c r="V134" s="196"/>
      <c r="W134" s="196"/>
      <c r="X134" s="196"/>
      <c r="Y134" s="196"/>
      <c r="Z134" s="196"/>
      <c r="AA134" s="196"/>
      <c r="AB134" s="197"/>
      <c r="AC134" s="197"/>
      <c r="AD134" s="197"/>
      <c r="AE134" s="197"/>
      <c r="AF134" s="197"/>
      <c r="AG134" s="197"/>
      <c r="AH134" s="197"/>
      <c r="AI134" s="197"/>
      <c r="AJ134" s="197"/>
      <c r="AK134" s="197"/>
      <c r="AL134" s="197"/>
      <c r="AM134" s="198" t="str">
        <f aca="false">IF($A132="","",IF(OR($N132="Yes",$S132="Yes",$X132="Yes",$AC132="Yes",$AH132="Yes"),"Yes","No"))</f>
        <v>No</v>
      </c>
      <c r="AN134" s="198" t="str">
        <f aca="false">IF($A132="","",IFERROR(IF($AI132&lt;&gt;"",$AI132,IF($AD132&lt;&gt;"",$AD132,IF($Y132&lt;&gt;"",$Y132,IF($T132&lt;&gt;"",$T132,IF($O132&lt;&gt;"",$O132,""))))),""))</f>
        <v/>
      </c>
      <c r="AO134" s="198" t="str">
        <f aca="false">IFERROR(IF($AJ132&lt;&gt;"",$AJ132,IF($AE132&lt;&gt;"",$AE132,IF($Z132&lt;&gt;"",$Z132,IF($U132&lt;&gt;"",$U132,IF($P132&lt;&gt;"",$P132,""))))),"")</f>
        <v/>
      </c>
      <c r="AP134" s="199" t="s">
        <v>1503</v>
      </c>
      <c r="AQ134" s="1"/>
    </row>
    <row r="135" customFormat="false" ht="15.75" hidden="false" customHeight="true" outlineLevel="0" collapsed="false">
      <c r="A135" s="194" t="str">
        <f aca="false">IF(C135="","",$C$2&amp;"."&amp;COUNTA($C$8:C135)&amp;"")</f>
        <v>TC_04.111</v>
      </c>
      <c r="B135" s="194" t="s">
        <v>529</v>
      </c>
      <c r="C135" s="194" t="s">
        <v>755</v>
      </c>
      <c r="D135" s="194" t="s">
        <v>40</v>
      </c>
      <c r="E135" s="194" t="s">
        <v>158</v>
      </c>
      <c r="F135" s="195" t="s">
        <v>1504</v>
      </c>
      <c r="G135" s="195" t="s">
        <v>1505</v>
      </c>
      <c r="H135" s="195" t="s">
        <v>1506</v>
      </c>
      <c r="I135" s="195" t="s">
        <v>1498</v>
      </c>
      <c r="J135" s="194" t="s">
        <v>637</v>
      </c>
      <c r="K135" s="194" t="s">
        <v>241</v>
      </c>
      <c r="L135" s="194" t="s">
        <v>638</v>
      </c>
      <c r="M135" s="194"/>
      <c r="N135" s="196"/>
      <c r="O135" s="196"/>
      <c r="P135" s="196"/>
      <c r="Q135" s="196"/>
      <c r="R135" s="196"/>
      <c r="S135" s="196"/>
      <c r="T135" s="196"/>
      <c r="U135" s="196"/>
      <c r="V135" s="196"/>
      <c r="W135" s="196"/>
      <c r="X135" s="196"/>
      <c r="Y135" s="196"/>
      <c r="Z135" s="196"/>
      <c r="AA135" s="196"/>
      <c r="AB135" s="197"/>
      <c r="AC135" s="197"/>
      <c r="AD135" s="197"/>
      <c r="AE135" s="197"/>
      <c r="AF135" s="197"/>
      <c r="AG135" s="197"/>
      <c r="AH135" s="197"/>
      <c r="AI135" s="197"/>
      <c r="AJ135" s="197"/>
      <c r="AK135" s="197"/>
      <c r="AL135" s="197"/>
      <c r="AM135" s="198" t="str">
        <f aca="false">IF($A133="","",IF(OR($N133="Yes",$S133="Yes",$X133="Yes",$AC133="Yes",$AH133="Yes"),"Yes","No"))</f>
        <v>No</v>
      </c>
      <c r="AN135" s="198" t="str">
        <f aca="false">IF($A133="","",IFERROR(IF($AI133&lt;&gt;"",$AI133,IF($AD133&lt;&gt;"",$AD133,IF($Y133&lt;&gt;"",$Y133,IF($T133&lt;&gt;"",$T133,IF($O133&lt;&gt;"",$O133,""))))),""))</f>
        <v/>
      </c>
      <c r="AO135" s="198" t="str">
        <f aca="false">IFERROR(IF($AJ133&lt;&gt;"",$AJ133,IF($AE133&lt;&gt;"",$AE133,IF($Z133&lt;&gt;"",$Z133,IF($U133&lt;&gt;"",$U133,IF($P133&lt;&gt;"",$P133,""))))),"")</f>
        <v/>
      </c>
      <c r="AP135" s="199" t="s">
        <v>1507</v>
      </c>
      <c r="AQ135" s="1"/>
    </row>
    <row r="136" customFormat="false" ht="147" hidden="false" customHeight="true" outlineLevel="0" collapsed="false">
      <c r="A136" s="194" t="str">
        <f aca="false">IF(C136="","",$C$2&amp;"."&amp;COUNTA($C$8:C136)&amp;"")</f>
        <v>TC_04.112</v>
      </c>
      <c r="B136" s="194" t="s">
        <v>1508</v>
      </c>
      <c r="C136" s="194" t="s">
        <v>713</v>
      </c>
      <c r="D136" s="194" t="s">
        <v>40</v>
      </c>
      <c r="E136" s="194" t="s">
        <v>158</v>
      </c>
      <c r="F136" s="195" t="s">
        <v>1509</v>
      </c>
      <c r="G136" s="195" t="s">
        <v>1510</v>
      </c>
      <c r="H136" s="195" t="s">
        <v>1511</v>
      </c>
      <c r="I136" s="195" t="s">
        <v>1512</v>
      </c>
      <c r="J136" s="194" t="s">
        <v>637</v>
      </c>
      <c r="K136" s="194" t="s">
        <v>241</v>
      </c>
      <c r="L136" s="194" t="s">
        <v>638</v>
      </c>
      <c r="M136" s="194"/>
      <c r="N136" s="196"/>
      <c r="O136" s="196"/>
      <c r="P136" s="196"/>
      <c r="Q136" s="196"/>
      <c r="R136" s="196"/>
      <c r="S136" s="196"/>
      <c r="T136" s="196"/>
      <c r="U136" s="196"/>
      <c r="V136" s="196"/>
      <c r="W136" s="196"/>
      <c r="X136" s="196"/>
      <c r="Y136" s="196"/>
      <c r="Z136" s="196"/>
      <c r="AA136" s="196"/>
      <c r="AB136" s="197"/>
      <c r="AC136" s="197"/>
      <c r="AD136" s="197"/>
      <c r="AE136" s="197"/>
      <c r="AF136" s="197"/>
      <c r="AG136" s="197"/>
      <c r="AH136" s="197"/>
      <c r="AI136" s="197"/>
      <c r="AJ136" s="197"/>
      <c r="AK136" s="197"/>
      <c r="AL136" s="197"/>
      <c r="AM136" s="198"/>
      <c r="AN136" s="198"/>
      <c r="AO136" s="198"/>
      <c r="AP136" s="199" t="s">
        <v>1513</v>
      </c>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37">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8:I8"/>
    <mergeCell ref="A13:I13"/>
    <mergeCell ref="B14:I14"/>
    <mergeCell ref="A33:I33"/>
    <mergeCell ref="B34:I34"/>
    <mergeCell ref="B46:I46"/>
    <mergeCell ref="B78:I78"/>
    <mergeCell ref="A86:I86"/>
    <mergeCell ref="B87:I87"/>
    <mergeCell ref="A103:I103"/>
    <mergeCell ref="B104:I104"/>
    <mergeCell ref="A109:I109"/>
    <mergeCell ref="B110:I110"/>
    <mergeCell ref="A114:I114"/>
    <mergeCell ref="B115:I115"/>
    <mergeCell ref="A126:I126"/>
    <mergeCell ref="B127:I127"/>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false" showOutlineSymbols="true" defaultGridColor="true" view="normal" topLeftCell="A22" colorId="64" zoomScale="65" zoomScaleNormal="65" zoomScalePageLayoutView="100" workbookViewId="0">
      <pane xSplit="1" ySplit="0" topLeftCell="H22" activePane="topRight" state="frozen"/>
      <selection pane="topLeft" activeCell="A22" activeCellId="0" sqref="A22"/>
      <selection pane="topRight" activeCell="I43" activeCellId="0" sqref="I43"/>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203</v>
      </c>
      <c r="D2" s="183"/>
      <c r="E2" s="183"/>
    </row>
    <row r="3" customFormat="false" ht="15" hidden="false" customHeight="true" outlineLevel="0" collapsed="false">
      <c r="A3" s="182" t="s">
        <v>610</v>
      </c>
      <c r="B3" s="182"/>
      <c r="C3" s="183" t="s">
        <v>204</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30" hidden="false" customHeight="true" outlineLevel="0" collapsed="false">
      <c r="A7" s="191" t="s">
        <v>204</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19.5" hidden="false" customHeight="true" outlineLevel="0" collapsed="false">
      <c r="A8" s="194"/>
      <c r="B8" s="200" t="s">
        <v>1514</v>
      </c>
      <c r="C8" s="200"/>
      <c r="D8" s="200"/>
      <c r="E8" s="200"/>
      <c r="F8" s="200"/>
      <c r="G8" s="200"/>
      <c r="H8" s="200"/>
      <c r="I8" s="200"/>
      <c r="J8" s="194"/>
      <c r="K8" s="194"/>
      <c r="L8" s="194"/>
      <c r="M8" s="194"/>
      <c r="N8" s="196"/>
      <c r="O8" s="196"/>
      <c r="P8" s="196"/>
      <c r="Q8" s="196"/>
      <c r="R8" s="196"/>
      <c r="S8" s="196"/>
      <c r="T8" s="196"/>
      <c r="U8" s="196"/>
      <c r="V8" s="196"/>
      <c r="W8" s="196"/>
      <c r="X8" s="196"/>
      <c r="Y8" s="196"/>
      <c r="Z8" s="196"/>
      <c r="AA8" s="196"/>
      <c r="AB8" s="197"/>
      <c r="AC8" s="197"/>
      <c r="AD8" s="197"/>
      <c r="AE8" s="197"/>
      <c r="AF8" s="197"/>
      <c r="AG8" s="197"/>
      <c r="AH8" s="197"/>
      <c r="AI8" s="197"/>
      <c r="AJ8" s="197"/>
      <c r="AK8" s="197"/>
      <c r="AL8" s="197"/>
      <c r="AM8" s="198"/>
      <c r="AN8" s="198"/>
      <c r="AO8" s="198"/>
      <c r="AP8" s="199"/>
    </row>
    <row r="9" customFormat="false" ht="60" hidden="false" customHeight="true" outlineLevel="0" collapsed="false">
      <c r="A9" s="194" t="str">
        <f aca="false">IF(C9="","",$C$2&amp;"."&amp;COUNTA($C$8:C9)&amp;"")</f>
        <v>TC_05.1</v>
      </c>
      <c r="B9" s="194" t="s">
        <v>556</v>
      </c>
      <c r="C9" s="194" t="s">
        <v>1515</v>
      </c>
      <c r="D9" s="194" t="s">
        <v>42</v>
      </c>
      <c r="E9" s="194" t="s">
        <v>157</v>
      </c>
      <c r="F9" s="195" t="s">
        <v>1516</v>
      </c>
      <c r="G9" s="195" t="s">
        <v>1517</v>
      </c>
      <c r="H9" s="195" t="s">
        <v>1518</v>
      </c>
      <c r="I9" s="195" t="s">
        <v>1519</v>
      </c>
      <c r="J9" s="194" t="s">
        <v>637</v>
      </c>
      <c r="K9" s="194" t="s">
        <v>241</v>
      </c>
      <c r="L9" s="194" t="s">
        <v>638</v>
      </c>
      <c r="M9" s="194"/>
      <c r="N9" s="196"/>
      <c r="O9" s="196"/>
      <c r="P9" s="196"/>
      <c r="Q9" s="196"/>
      <c r="R9" s="196"/>
      <c r="S9" s="196"/>
      <c r="T9" s="196"/>
      <c r="U9" s="196"/>
      <c r="V9" s="196"/>
      <c r="W9" s="196"/>
      <c r="X9" s="196"/>
      <c r="Y9" s="196"/>
      <c r="Z9" s="196"/>
      <c r="AA9" s="196"/>
      <c r="AB9" s="197"/>
      <c r="AC9" s="197"/>
      <c r="AD9" s="197"/>
      <c r="AE9" s="197"/>
      <c r="AF9" s="197"/>
      <c r="AG9" s="197"/>
      <c r="AH9" s="197"/>
      <c r="AI9" s="197"/>
      <c r="AJ9" s="197"/>
      <c r="AK9" s="197"/>
      <c r="AL9" s="197"/>
      <c r="AM9" s="198" t="str">
        <f aca="false">IF($A9="","",IF(OR($N9="Yes",$S9="Yes",$X9="Yes",$AC9="Yes",$AH9="Yes"),"Yes","No"))</f>
        <v>No</v>
      </c>
      <c r="AN9" s="198" t="str">
        <f aca="false">IF($A9="","",IFERROR(IF($AI9&lt;&gt;"",$AI9,IF($AD9&lt;&gt;"",$AD9,IF($Y9&lt;&gt;"",$Y9,IF($T9&lt;&gt;"",$T9,IF($O9&lt;&gt;"",$O9,""))))),""))</f>
        <v/>
      </c>
      <c r="AO9" s="198" t="str">
        <f aca="false">IFERROR(IF($AJ9&lt;&gt;"",$AJ9,IF($AE9&lt;&gt;"",$AE9,IF($Z9&lt;&gt;"",$Z9,IF($U9&lt;&gt;"",$U9,IF($P9&lt;&gt;"",$P9,""))))),"")</f>
        <v/>
      </c>
      <c r="AP9" s="199" t="s">
        <v>1520</v>
      </c>
    </row>
    <row r="10" customFormat="false" ht="60" hidden="false" customHeight="true" outlineLevel="0" collapsed="false">
      <c r="A10" s="194" t="str">
        <f aca="false">IF(C10="","",$C$2&amp;"."&amp;COUNTA($C$8:C10)&amp;"")</f>
        <v>TC_05.2</v>
      </c>
      <c r="B10" s="194" t="s">
        <v>556</v>
      </c>
      <c r="C10" s="194" t="s">
        <v>1515</v>
      </c>
      <c r="D10" s="194" t="s">
        <v>42</v>
      </c>
      <c r="E10" s="194" t="s">
        <v>157</v>
      </c>
      <c r="F10" s="195" t="s">
        <v>1521</v>
      </c>
      <c r="G10" s="195" t="s">
        <v>1522</v>
      </c>
      <c r="H10" s="195" t="s">
        <v>1523</v>
      </c>
      <c r="I10" s="195" t="s">
        <v>1524</v>
      </c>
      <c r="J10" s="194" t="s">
        <v>637</v>
      </c>
      <c r="K10" s="194" t="s">
        <v>241</v>
      </c>
      <c r="L10" s="194" t="s">
        <v>638</v>
      </c>
      <c r="M10" s="194"/>
      <c r="N10" s="196"/>
      <c r="O10" s="196"/>
      <c r="P10" s="196"/>
      <c r="Q10" s="196"/>
      <c r="R10" s="196"/>
      <c r="S10" s="196"/>
      <c r="T10" s="196"/>
      <c r="U10" s="196"/>
      <c r="V10" s="196"/>
      <c r="W10" s="196"/>
      <c r="X10" s="196"/>
      <c r="Y10" s="196"/>
      <c r="Z10" s="196"/>
      <c r="AA10" s="196"/>
      <c r="AB10" s="197"/>
      <c r="AC10" s="197"/>
      <c r="AD10" s="197"/>
      <c r="AE10" s="197"/>
      <c r="AF10" s="197"/>
      <c r="AG10" s="197"/>
      <c r="AH10" s="197"/>
      <c r="AI10" s="197"/>
      <c r="AJ10" s="197"/>
      <c r="AK10" s="197"/>
      <c r="AL10" s="197"/>
      <c r="AM10" s="198" t="str">
        <f aca="false">IF($A10="","",IF(OR($N10="Yes",$S10="Yes",$X10="Yes",$AC10="Yes",$AH10="Yes"),"Yes","No"))</f>
        <v>No</v>
      </c>
      <c r="AN10" s="198" t="str">
        <f aca="false">IF($A10="","",IFERROR(IF($AI10&lt;&gt;"",$AI10,IF($AD10&lt;&gt;"",$AD10,IF($Y10&lt;&gt;"",$Y10,IF($T10&lt;&gt;"",$T10,IF($O10&lt;&gt;"",$O10,""))))),""))</f>
        <v/>
      </c>
      <c r="AO10" s="198" t="str">
        <f aca="false">IFERROR(IF($AJ10&lt;&gt;"",$AJ10,IF($AE10&lt;&gt;"",$AE10,IF($Z10&lt;&gt;"",$Z10,IF($U10&lt;&gt;"",$U10,IF($P10&lt;&gt;"",$P10,""))))),"")</f>
        <v/>
      </c>
      <c r="AP10" s="199" t="s">
        <v>1525</v>
      </c>
    </row>
    <row r="11" customFormat="false" ht="60" hidden="false" customHeight="true" outlineLevel="0" collapsed="false">
      <c r="A11" s="194" t="str">
        <f aca="false">IF(C11="","",$C$2&amp;"."&amp;COUNTA($C$8:C11)&amp;"")</f>
        <v>TC_05.3</v>
      </c>
      <c r="B11" s="194" t="s">
        <v>556</v>
      </c>
      <c r="C11" s="194" t="s">
        <v>1515</v>
      </c>
      <c r="D11" s="194" t="s">
        <v>42</v>
      </c>
      <c r="E11" s="194" t="s">
        <v>158</v>
      </c>
      <c r="F11" s="195" t="s">
        <v>1526</v>
      </c>
      <c r="G11" s="195" t="s">
        <v>1527</v>
      </c>
      <c r="H11" s="195" t="s">
        <v>1528</v>
      </c>
      <c r="I11" s="195" t="s">
        <v>1529</v>
      </c>
      <c r="J11" s="194" t="s">
        <v>637</v>
      </c>
      <c r="K11" s="194" t="s">
        <v>241</v>
      </c>
      <c r="L11" s="194" t="s">
        <v>638</v>
      </c>
      <c r="M11" s="194"/>
      <c r="N11" s="196"/>
      <c r="O11" s="196"/>
      <c r="P11" s="196"/>
      <c r="Q11" s="196"/>
      <c r="R11" s="196"/>
      <c r="S11" s="196"/>
      <c r="T11" s="196"/>
      <c r="U11" s="196"/>
      <c r="V11" s="196"/>
      <c r="W11" s="196"/>
      <c r="X11" s="196"/>
      <c r="Y11" s="196"/>
      <c r="Z11" s="196"/>
      <c r="AA11" s="196"/>
      <c r="AB11" s="197"/>
      <c r="AC11" s="197"/>
      <c r="AD11" s="197"/>
      <c r="AE11" s="197"/>
      <c r="AF11" s="197"/>
      <c r="AG11" s="197"/>
      <c r="AH11" s="197"/>
      <c r="AI11" s="197"/>
      <c r="AJ11" s="197"/>
      <c r="AK11" s="197"/>
      <c r="AL11" s="197"/>
      <c r="AM11" s="198" t="str">
        <f aca="false">IF($A11="","",IF(OR($N11="Yes",$S11="Yes",$X11="Yes",$AC11="Yes",$AH11="Yes"),"Yes","No"))</f>
        <v>No</v>
      </c>
      <c r="AN11" s="198" t="str">
        <f aca="false">IF($A11="","",IFERROR(IF($AI11&lt;&gt;"",$AI11,IF($AD11&lt;&gt;"",$AD11,IF($Y11&lt;&gt;"",$Y11,IF($T11&lt;&gt;"",$T11,IF($O11&lt;&gt;"",$O11,""))))),""))</f>
        <v/>
      </c>
      <c r="AO11" s="198" t="str">
        <f aca="false">IFERROR(IF($AJ11&lt;&gt;"",$AJ11,IF($AE11&lt;&gt;"",$AE11,IF($Z11&lt;&gt;"",$Z11,IF($U11&lt;&gt;"",$U11,IF($P11&lt;&gt;"",$P11,""))))),"")</f>
        <v/>
      </c>
      <c r="AP11" s="199" t="s">
        <v>1530</v>
      </c>
    </row>
    <row r="12" customFormat="false" ht="60" hidden="false" customHeight="true" outlineLevel="0" collapsed="false">
      <c r="A12" s="194" t="str">
        <f aca="false">IF(C12="","",$C$2&amp;"."&amp;COUNTA($C$8:C12)&amp;"")</f>
        <v>TC_05.4</v>
      </c>
      <c r="B12" s="194" t="s">
        <v>556</v>
      </c>
      <c r="C12" s="194" t="s">
        <v>1515</v>
      </c>
      <c r="D12" s="194" t="s">
        <v>42</v>
      </c>
      <c r="E12" s="194" t="s">
        <v>158</v>
      </c>
      <c r="F12" s="195" t="s">
        <v>1531</v>
      </c>
      <c r="G12" s="195" t="s">
        <v>1532</v>
      </c>
      <c r="H12" s="195" t="s">
        <v>1533</v>
      </c>
      <c r="I12" s="195" t="s">
        <v>1534</v>
      </c>
      <c r="J12" s="194" t="s">
        <v>637</v>
      </c>
      <c r="K12" s="194" t="s">
        <v>241</v>
      </c>
      <c r="L12" s="194" t="s">
        <v>638</v>
      </c>
      <c r="M12" s="194"/>
      <c r="N12" s="196"/>
      <c r="O12" s="196"/>
      <c r="P12" s="196"/>
      <c r="Q12" s="196"/>
      <c r="R12" s="196"/>
      <c r="S12" s="196"/>
      <c r="T12" s="196"/>
      <c r="U12" s="196"/>
      <c r="V12" s="196"/>
      <c r="W12" s="196"/>
      <c r="X12" s="196"/>
      <c r="Y12" s="196"/>
      <c r="Z12" s="196"/>
      <c r="AA12" s="196"/>
      <c r="AB12" s="197"/>
      <c r="AC12" s="197"/>
      <c r="AD12" s="197"/>
      <c r="AE12" s="197"/>
      <c r="AF12" s="197"/>
      <c r="AG12" s="197"/>
      <c r="AH12" s="197"/>
      <c r="AI12" s="197"/>
      <c r="AJ12" s="197"/>
      <c r="AK12" s="197"/>
      <c r="AL12" s="197"/>
      <c r="AM12" s="198" t="str">
        <f aca="false">IF($A12="","",IF(OR($N12="Yes",$S12="Yes",$X12="Yes",$AC12="Yes",$AH12="Yes"),"Yes","No"))</f>
        <v>No</v>
      </c>
      <c r="AN12" s="198" t="str">
        <f aca="false">IF($A12="","",IFERROR(IF($AI12&lt;&gt;"",$AI12,IF($AD12&lt;&gt;"",$AD12,IF($Y12&lt;&gt;"",$Y12,IF($T12&lt;&gt;"",$T12,IF($O12&lt;&gt;"",$O12,""))))),""))</f>
        <v/>
      </c>
      <c r="AO12" s="198" t="str">
        <f aca="false">IFERROR(IF($AJ12&lt;&gt;"",$AJ12,IF($AE12&lt;&gt;"",$AE12,IF($Z12&lt;&gt;"",$Z12,IF($U12&lt;&gt;"",$U12,IF($P12&lt;&gt;"",$P12,""))))),"")</f>
        <v/>
      </c>
      <c r="AP12" s="199" t="s">
        <v>1535</v>
      </c>
    </row>
    <row r="13" customFormat="false" ht="60" hidden="false" customHeight="true" outlineLevel="0" collapsed="false">
      <c r="A13" s="194" t="str">
        <f aca="false">IF(C13="","",$C$2&amp;"."&amp;COUNTA($C$8:C13)&amp;"")</f>
        <v>TC_05.5</v>
      </c>
      <c r="B13" s="194" t="s">
        <v>556</v>
      </c>
      <c r="C13" s="194" t="s">
        <v>1515</v>
      </c>
      <c r="D13" s="194" t="s">
        <v>40</v>
      </c>
      <c r="E13" s="194" t="s">
        <v>158</v>
      </c>
      <c r="F13" s="195" t="s">
        <v>1536</v>
      </c>
      <c r="G13" s="195" t="s">
        <v>1537</v>
      </c>
      <c r="H13" s="195" t="s">
        <v>1538</v>
      </c>
      <c r="I13" s="195" t="s">
        <v>1539</v>
      </c>
      <c r="J13" s="194" t="s">
        <v>637</v>
      </c>
      <c r="K13" s="194" t="s">
        <v>241</v>
      </c>
      <c r="L13" s="194" t="s">
        <v>638</v>
      </c>
      <c r="M13" s="194"/>
      <c r="N13" s="196"/>
      <c r="O13" s="196"/>
      <c r="P13" s="196"/>
      <c r="Q13" s="196"/>
      <c r="R13" s="196"/>
      <c r="S13" s="196"/>
      <c r="T13" s="196"/>
      <c r="U13" s="196"/>
      <c r="V13" s="196"/>
      <c r="W13" s="196"/>
      <c r="X13" s="196"/>
      <c r="Y13" s="196"/>
      <c r="Z13" s="196"/>
      <c r="AA13" s="196"/>
      <c r="AB13" s="197"/>
      <c r="AC13" s="197"/>
      <c r="AD13" s="197"/>
      <c r="AE13" s="197"/>
      <c r="AF13" s="197"/>
      <c r="AG13" s="197"/>
      <c r="AH13" s="197"/>
      <c r="AI13" s="197"/>
      <c r="AJ13" s="197"/>
      <c r="AK13" s="197"/>
      <c r="AL13" s="197"/>
      <c r="AM13" s="198" t="str">
        <f aca="false">IF($A13="","",IF(OR($N13="Yes",$S13="Yes",$X13="Yes",$AC13="Yes",$AH13="Yes"),"Yes","No"))</f>
        <v>No</v>
      </c>
      <c r="AN13" s="198" t="str">
        <f aca="false">IF($A13="","",IFERROR(IF($AI13&lt;&gt;"",$AI13,IF($AD13&lt;&gt;"",$AD13,IF($Y13&lt;&gt;"",$Y13,IF($T13&lt;&gt;"",$T13,IF($O13&lt;&gt;"",$O13,""))))),""))</f>
        <v/>
      </c>
      <c r="AO13" s="198" t="str">
        <f aca="false">IFERROR(IF($AJ13&lt;&gt;"",$AJ13,IF($AE13&lt;&gt;"",$AE13,IF($Z13&lt;&gt;"",$Z13,IF($U13&lt;&gt;"",$U13,IF($P13&lt;&gt;"",$P13,""))))),"")</f>
        <v/>
      </c>
      <c r="AP13" s="199"/>
    </row>
    <row r="14" customFormat="false" ht="19.5" hidden="false" customHeight="true" outlineLevel="0" collapsed="false">
      <c r="A14" s="194"/>
      <c r="B14" s="200" t="s">
        <v>1540</v>
      </c>
      <c r="C14" s="200"/>
      <c r="D14" s="200"/>
      <c r="E14" s="200"/>
      <c r="F14" s="200"/>
      <c r="G14" s="200"/>
      <c r="H14" s="200"/>
      <c r="I14" s="200"/>
      <c r="J14" s="194"/>
      <c r="K14" s="194"/>
      <c r="L14" s="194"/>
      <c r="M14" s="194"/>
      <c r="N14" s="196"/>
      <c r="O14" s="196"/>
      <c r="P14" s="196"/>
      <c r="Q14" s="196"/>
      <c r="R14" s="196"/>
      <c r="S14" s="196"/>
      <c r="T14" s="196"/>
      <c r="U14" s="196"/>
      <c r="V14" s="196"/>
      <c r="W14" s="196"/>
      <c r="X14" s="196"/>
      <c r="Y14" s="196"/>
      <c r="Z14" s="196"/>
      <c r="AA14" s="196"/>
      <c r="AB14" s="197"/>
      <c r="AC14" s="197"/>
      <c r="AD14" s="197"/>
      <c r="AE14" s="197"/>
      <c r="AF14" s="197"/>
      <c r="AG14" s="197"/>
      <c r="AH14" s="197"/>
      <c r="AI14" s="197"/>
      <c r="AJ14" s="197"/>
      <c r="AK14" s="197"/>
      <c r="AL14" s="197"/>
      <c r="AM14" s="198"/>
      <c r="AN14" s="198"/>
      <c r="AO14" s="198"/>
      <c r="AP14" s="199"/>
    </row>
    <row r="15" customFormat="false" ht="60" hidden="false" customHeight="true" outlineLevel="0" collapsed="false">
      <c r="A15" s="194" t="str">
        <f aca="false">IF(C15="","",$C$2&amp;"."&amp;COUNTA($C$8:C15)&amp;"")</f>
        <v>TC_05.6</v>
      </c>
      <c r="B15" s="194" t="s">
        <v>556</v>
      </c>
      <c r="C15" s="194" t="s">
        <v>1515</v>
      </c>
      <c r="D15" s="194" t="s">
        <v>42</v>
      </c>
      <c r="E15" s="194" t="s">
        <v>158</v>
      </c>
      <c r="F15" s="195" t="s">
        <v>1541</v>
      </c>
      <c r="G15" s="195" t="s">
        <v>634</v>
      </c>
      <c r="H15" s="195" t="s">
        <v>1542</v>
      </c>
      <c r="I15" s="195" t="s">
        <v>1543</v>
      </c>
      <c r="J15" s="194" t="s">
        <v>637</v>
      </c>
      <c r="K15" s="194" t="s">
        <v>241</v>
      </c>
      <c r="L15" s="194" t="s">
        <v>638</v>
      </c>
      <c r="M15" s="194"/>
      <c r="N15" s="196"/>
      <c r="O15" s="196"/>
      <c r="P15" s="196"/>
      <c r="Q15" s="196"/>
      <c r="R15" s="196"/>
      <c r="S15" s="196"/>
      <c r="T15" s="196"/>
      <c r="U15" s="196"/>
      <c r="V15" s="196"/>
      <c r="W15" s="196"/>
      <c r="X15" s="196"/>
      <c r="Y15" s="196"/>
      <c r="Z15" s="196"/>
      <c r="AA15" s="196"/>
      <c r="AB15" s="197"/>
      <c r="AC15" s="197"/>
      <c r="AD15" s="197"/>
      <c r="AE15" s="197"/>
      <c r="AF15" s="197"/>
      <c r="AG15" s="197"/>
      <c r="AH15" s="197"/>
      <c r="AI15" s="197"/>
      <c r="AJ15" s="197"/>
      <c r="AK15" s="197"/>
      <c r="AL15" s="197"/>
      <c r="AM15" s="198" t="str">
        <f aca="false">IF($A15="","",IF(OR($N15="Yes",$S15="Yes",$X15="Yes",$AC15="Yes",$AH15="Yes"),"Yes","No"))</f>
        <v>No</v>
      </c>
      <c r="AN15" s="198" t="str">
        <f aca="false">IF($A15="","",IFERROR(IF($AI15&lt;&gt;"",$AI15,IF($AD15&lt;&gt;"",$AD15,IF($Y15&lt;&gt;"",$Y15,IF($T15&lt;&gt;"",$T15,IF($O15&lt;&gt;"",$O15,""))))),""))</f>
        <v/>
      </c>
      <c r="AO15" s="198" t="str">
        <f aca="false">IFERROR(IF($AJ15&lt;&gt;"",$AJ15,IF($AE15&lt;&gt;"",$AE15,IF($Z15&lt;&gt;"",$Z15,IF($U15&lt;&gt;"",$U15,IF($P15&lt;&gt;"",$P15,""))))),"")</f>
        <v/>
      </c>
      <c r="AP15" s="199"/>
    </row>
    <row r="16" customFormat="false" ht="60" hidden="false" customHeight="true" outlineLevel="0" collapsed="false">
      <c r="A16" s="194" t="str">
        <f aca="false">IF(C16="","",$C$2&amp;"."&amp;COUNTA($C$8:C16)&amp;"")</f>
        <v>TC_05.7</v>
      </c>
      <c r="B16" s="194" t="s">
        <v>556</v>
      </c>
      <c r="C16" s="194" t="s">
        <v>1515</v>
      </c>
      <c r="D16" s="194" t="s">
        <v>40</v>
      </c>
      <c r="E16" s="194" t="s">
        <v>158</v>
      </c>
      <c r="F16" s="195" t="s">
        <v>1544</v>
      </c>
      <c r="G16" s="195" t="s">
        <v>1537</v>
      </c>
      <c r="H16" s="195" t="s">
        <v>1545</v>
      </c>
      <c r="I16" s="195" t="s">
        <v>1546</v>
      </c>
      <c r="J16" s="194" t="s">
        <v>637</v>
      </c>
      <c r="K16" s="194" t="s">
        <v>241</v>
      </c>
      <c r="L16" s="194" t="s">
        <v>638</v>
      </c>
      <c r="M16" s="194"/>
      <c r="N16" s="196"/>
      <c r="O16" s="196"/>
      <c r="P16" s="196"/>
      <c r="Q16" s="196"/>
      <c r="R16" s="196"/>
      <c r="S16" s="196"/>
      <c r="T16" s="196"/>
      <c r="U16" s="196"/>
      <c r="V16" s="196"/>
      <c r="W16" s="196"/>
      <c r="X16" s="196"/>
      <c r="Y16" s="196"/>
      <c r="Z16" s="196"/>
      <c r="AA16" s="196"/>
      <c r="AB16" s="197"/>
      <c r="AC16" s="197"/>
      <c r="AD16" s="197"/>
      <c r="AE16" s="197"/>
      <c r="AF16" s="197"/>
      <c r="AG16" s="197"/>
      <c r="AH16" s="197"/>
      <c r="AI16" s="197"/>
      <c r="AJ16" s="197"/>
      <c r="AK16" s="197"/>
      <c r="AL16" s="197"/>
      <c r="AM16" s="198" t="str">
        <f aca="false">IF($A16="","",IF(OR($N16="Yes",$S16="Yes",$X16="Yes",$AC16="Yes",$AH16="Yes"),"Yes","No"))</f>
        <v>No</v>
      </c>
      <c r="AN16" s="198" t="str">
        <f aca="false">IF($A16="","",IFERROR(IF($AI16&lt;&gt;"",$AI16,IF($AD16&lt;&gt;"",$AD16,IF($Y16&lt;&gt;"",$Y16,IF($T16&lt;&gt;"",$T16,IF($O16&lt;&gt;"",$O16,""))))),""))</f>
        <v/>
      </c>
      <c r="AO16" s="198" t="str">
        <f aca="false">IFERROR(IF($AJ16&lt;&gt;"",$AJ16,IF($AE16&lt;&gt;"",$AE16,IF($Z16&lt;&gt;"",$Z16,IF($U16&lt;&gt;"",$U16,IF($P16&lt;&gt;"",$P16,""))))),"")</f>
        <v/>
      </c>
      <c r="AP16" s="199"/>
    </row>
    <row r="17" customFormat="false" ht="60" hidden="false" customHeight="true" outlineLevel="0" collapsed="false">
      <c r="A17" s="194" t="str">
        <f aca="false">IF(C17="","",$C$2&amp;"."&amp;COUNTA($C$8:C17)&amp;"")</f>
        <v>TC_05.8</v>
      </c>
      <c r="B17" s="194" t="s">
        <v>556</v>
      </c>
      <c r="C17" s="194" t="s">
        <v>1515</v>
      </c>
      <c r="D17" s="194" t="s">
        <v>42</v>
      </c>
      <c r="E17" s="194" t="s">
        <v>157</v>
      </c>
      <c r="F17" s="195" t="s">
        <v>1547</v>
      </c>
      <c r="G17" s="195" t="s">
        <v>1548</v>
      </c>
      <c r="H17" s="195" t="s">
        <v>1549</v>
      </c>
      <c r="I17" s="195" t="s">
        <v>1550</v>
      </c>
      <c r="J17" s="194" t="s">
        <v>637</v>
      </c>
      <c r="K17" s="194" t="s">
        <v>241</v>
      </c>
      <c r="L17" s="194" t="s">
        <v>638</v>
      </c>
      <c r="M17" s="194"/>
      <c r="N17" s="196"/>
      <c r="O17" s="196"/>
      <c r="P17" s="196"/>
      <c r="Q17" s="196"/>
      <c r="R17" s="196"/>
      <c r="S17" s="196"/>
      <c r="T17" s="196"/>
      <c r="U17" s="196"/>
      <c r="V17" s="196"/>
      <c r="W17" s="196"/>
      <c r="X17" s="196"/>
      <c r="Y17" s="196"/>
      <c r="Z17" s="196"/>
      <c r="AA17" s="196"/>
      <c r="AB17" s="197"/>
      <c r="AC17" s="197"/>
      <c r="AD17" s="197"/>
      <c r="AE17" s="197"/>
      <c r="AF17" s="197"/>
      <c r="AG17" s="197"/>
      <c r="AH17" s="197"/>
      <c r="AI17" s="197"/>
      <c r="AJ17" s="197"/>
      <c r="AK17" s="197"/>
      <c r="AL17" s="197"/>
      <c r="AM17" s="198" t="str">
        <f aca="false">IF($A17="","",IF(OR($N17="Yes",$S17="Yes",$X17="Yes",$AC17="Yes",$AH17="Yes"),"Yes","No"))</f>
        <v>No</v>
      </c>
      <c r="AN17" s="198" t="str">
        <f aca="false">IF($A17="","",IFERROR(IF($AI17&lt;&gt;"",$AI17,IF($AD17&lt;&gt;"",$AD17,IF($Y17&lt;&gt;"",$Y17,IF($T17&lt;&gt;"",$T17,IF($O17&lt;&gt;"",$O17,""))))),""))</f>
        <v/>
      </c>
      <c r="AO17" s="198" t="str">
        <f aca="false">IFERROR(IF($AJ17&lt;&gt;"",$AJ17,IF($AE17&lt;&gt;"",$AE17,IF($Z17&lt;&gt;"",$Z17,IF($U17&lt;&gt;"",$U17,IF($P17&lt;&gt;"",$P17,""))))),"")</f>
        <v/>
      </c>
      <c r="AP17" s="199" t="s">
        <v>675</v>
      </c>
    </row>
    <row r="18" customFormat="false" ht="60" hidden="false" customHeight="true" outlineLevel="0" collapsed="false">
      <c r="A18" s="194" t="str">
        <f aca="false">IF(C18="","",$C$2&amp;"."&amp;COUNTA($C$8:C18)&amp;"")</f>
        <v>TC_05.9</v>
      </c>
      <c r="B18" s="194" t="s">
        <v>556</v>
      </c>
      <c r="C18" s="194" t="s">
        <v>1515</v>
      </c>
      <c r="D18" s="194" t="s">
        <v>42</v>
      </c>
      <c r="E18" s="194" t="s">
        <v>158</v>
      </c>
      <c r="F18" s="195" t="s">
        <v>1551</v>
      </c>
      <c r="G18" s="195" t="s">
        <v>1552</v>
      </c>
      <c r="H18" s="195" t="s">
        <v>1553</v>
      </c>
      <c r="I18" s="195" t="s">
        <v>1554</v>
      </c>
      <c r="J18" s="194" t="s">
        <v>637</v>
      </c>
      <c r="K18" s="194" t="s">
        <v>241</v>
      </c>
      <c r="L18" s="194" t="s">
        <v>638</v>
      </c>
      <c r="M18" s="194"/>
      <c r="N18" s="196"/>
      <c r="O18" s="196"/>
      <c r="P18" s="196"/>
      <c r="Q18" s="196"/>
      <c r="R18" s="196"/>
      <c r="S18" s="196"/>
      <c r="T18" s="196"/>
      <c r="U18" s="196"/>
      <c r="V18" s="196"/>
      <c r="W18" s="196"/>
      <c r="X18" s="196"/>
      <c r="Y18" s="196"/>
      <c r="Z18" s="196"/>
      <c r="AA18" s="196"/>
      <c r="AB18" s="197"/>
      <c r="AC18" s="197"/>
      <c r="AD18" s="197"/>
      <c r="AE18" s="197"/>
      <c r="AF18" s="197"/>
      <c r="AG18" s="197"/>
      <c r="AH18" s="197"/>
      <c r="AI18" s="197"/>
      <c r="AJ18" s="197"/>
      <c r="AK18" s="197"/>
      <c r="AL18" s="197"/>
      <c r="AM18" s="198" t="str">
        <f aca="false">IF($A18="","",IF(OR($N18="Yes",$S18="Yes",$X18="Yes",$AC18="Yes",$AH18="Yes"),"Yes","No"))</f>
        <v>No</v>
      </c>
      <c r="AN18" s="198" t="str">
        <f aca="false">IF($A18="","",IFERROR(IF($AI18&lt;&gt;"",$AI18,IF($AD18&lt;&gt;"",$AD18,IF($Y18&lt;&gt;"",$Y18,IF($T18&lt;&gt;"",$T18,IF($O18&lt;&gt;"",$O18,""))))),""))</f>
        <v/>
      </c>
      <c r="AO18" s="198" t="str">
        <f aca="false">IFERROR(IF($AJ18&lt;&gt;"",$AJ18,IF($AE18&lt;&gt;"",$AE18,IF($Z18&lt;&gt;"",$Z18,IF($U18&lt;&gt;"",$U18,IF($P18&lt;&gt;"",$P18,""))))),"")</f>
        <v/>
      </c>
      <c r="AP18" s="199" t="s">
        <v>1555</v>
      </c>
    </row>
    <row r="19" customFormat="false" ht="60" hidden="false" customHeight="true" outlineLevel="0" collapsed="false">
      <c r="A19" s="194" t="str">
        <f aca="false">IF(C19="","",$C$2&amp;"."&amp;COUNTA($C$8:C19)&amp;"")</f>
        <v>TC_05.10</v>
      </c>
      <c r="B19" s="194" t="s">
        <v>556</v>
      </c>
      <c r="C19" s="194" t="s">
        <v>1515</v>
      </c>
      <c r="D19" s="194" t="s">
        <v>42</v>
      </c>
      <c r="E19" s="194" t="s">
        <v>158</v>
      </c>
      <c r="F19" s="195" t="s">
        <v>1556</v>
      </c>
      <c r="G19" s="195" t="s">
        <v>1557</v>
      </c>
      <c r="H19" s="195" t="s">
        <v>1553</v>
      </c>
      <c r="I19" s="195" t="s">
        <v>1558</v>
      </c>
      <c r="J19" s="194" t="s">
        <v>637</v>
      </c>
      <c r="K19" s="194" t="s">
        <v>241</v>
      </c>
      <c r="L19" s="194" t="s">
        <v>638</v>
      </c>
      <c r="M19" s="194"/>
      <c r="N19" s="196"/>
      <c r="O19" s="196"/>
      <c r="P19" s="196"/>
      <c r="Q19" s="196"/>
      <c r="R19" s="196"/>
      <c r="S19" s="196"/>
      <c r="T19" s="196"/>
      <c r="U19" s="196"/>
      <c r="V19" s="196"/>
      <c r="W19" s="196"/>
      <c r="X19" s="196"/>
      <c r="Y19" s="196"/>
      <c r="Z19" s="196"/>
      <c r="AA19" s="196"/>
      <c r="AB19" s="197"/>
      <c r="AC19" s="197"/>
      <c r="AD19" s="197"/>
      <c r="AE19" s="197"/>
      <c r="AF19" s="197"/>
      <c r="AG19" s="197"/>
      <c r="AH19" s="197"/>
      <c r="AI19" s="197"/>
      <c r="AJ19" s="197"/>
      <c r="AK19" s="197"/>
      <c r="AL19" s="197"/>
      <c r="AM19" s="198" t="str">
        <f aca="false">IF($A19="","",IF(OR($N19="Yes",$S19="Yes",$X19="Yes",$AC19="Yes",$AH19="Yes"),"Yes","No"))</f>
        <v>No</v>
      </c>
      <c r="AN19" s="198" t="str">
        <f aca="false">IF($A19="","",IFERROR(IF($AI19&lt;&gt;"",$AI19,IF($AD19&lt;&gt;"",$AD19,IF($Y19&lt;&gt;"",$Y19,IF($T19&lt;&gt;"",$T19,IF($O19&lt;&gt;"",$O19,""))))),""))</f>
        <v/>
      </c>
      <c r="AO19" s="198" t="str">
        <f aca="false">IFERROR(IF($AJ19&lt;&gt;"",$AJ19,IF($AE19&lt;&gt;"",$AE19,IF($Z19&lt;&gt;"",$Z19,IF($U19&lt;&gt;"",$U19,IF($P19&lt;&gt;"",$P19,""))))),"")</f>
        <v/>
      </c>
      <c r="AP19" s="199" t="s">
        <v>1559</v>
      </c>
    </row>
    <row r="20" customFormat="false" ht="60" hidden="false" customHeight="true" outlineLevel="0" collapsed="false">
      <c r="A20" s="194" t="str">
        <f aca="false">IF(C20="","",$C$2&amp;"."&amp;COUNTA($C$8:C20)&amp;"")</f>
        <v>TC_05.11</v>
      </c>
      <c r="B20" s="194" t="s">
        <v>556</v>
      </c>
      <c r="C20" s="194" t="s">
        <v>1515</v>
      </c>
      <c r="D20" s="194" t="s">
        <v>42</v>
      </c>
      <c r="E20" s="194" t="s">
        <v>158</v>
      </c>
      <c r="F20" s="195" t="s">
        <v>1560</v>
      </c>
      <c r="G20" s="195" t="s">
        <v>1561</v>
      </c>
      <c r="H20" s="195" t="s">
        <v>1553</v>
      </c>
      <c r="I20" s="195" t="s">
        <v>1562</v>
      </c>
      <c r="J20" s="194" t="s">
        <v>637</v>
      </c>
      <c r="K20" s="194" t="s">
        <v>241</v>
      </c>
      <c r="L20" s="194" t="s">
        <v>638</v>
      </c>
      <c r="M20" s="194"/>
      <c r="N20" s="196"/>
      <c r="O20" s="196"/>
      <c r="P20" s="196"/>
      <c r="Q20" s="196"/>
      <c r="R20" s="196"/>
      <c r="S20" s="196"/>
      <c r="T20" s="196"/>
      <c r="U20" s="196"/>
      <c r="V20" s="196"/>
      <c r="W20" s="196"/>
      <c r="X20" s="196"/>
      <c r="Y20" s="196"/>
      <c r="Z20" s="196"/>
      <c r="AA20" s="196"/>
      <c r="AB20" s="197"/>
      <c r="AC20" s="197"/>
      <c r="AD20" s="197"/>
      <c r="AE20" s="197"/>
      <c r="AF20" s="197"/>
      <c r="AG20" s="197"/>
      <c r="AH20" s="197"/>
      <c r="AI20" s="197"/>
      <c r="AJ20" s="197"/>
      <c r="AK20" s="197"/>
      <c r="AL20" s="197"/>
      <c r="AM20" s="198" t="str">
        <f aca="false">IF($A20="","",IF(OR($N20="Yes",$S20="Yes",$X20="Yes",$AC20="Yes",$AH20="Yes"),"Yes","No"))</f>
        <v>No</v>
      </c>
      <c r="AN20" s="198" t="str">
        <f aca="false">IF($A20="","",IFERROR(IF($AI20&lt;&gt;"",$AI20,IF($AD20&lt;&gt;"",$AD20,IF($Y20&lt;&gt;"",$Y20,IF($T20&lt;&gt;"",$T20,IF($O20&lt;&gt;"",$O20,""))))),""))</f>
        <v/>
      </c>
      <c r="AO20" s="198" t="str">
        <f aca="false">IFERROR(IF($AJ20&lt;&gt;"",$AJ20,IF($AE20&lt;&gt;"",$AE20,IF($Z20&lt;&gt;"",$Z20,IF($U20&lt;&gt;"",$U20,IF($P20&lt;&gt;"",$P20,""))))),"")</f>
        <v/>
      </c>
      <c r="AP20" s="199" t="s">
        <v>1563</v>
      </c>
    </row>
    <row r="21" customFormat="false" ht="60" hidden="false" customHeight="true" outlineLevel="0" collapsed="false">
      <c r="A21" s="194" t="str">
        <f aca="false">IF(C21="","",$C$2&amp;"."&amp;COUNTA($C$8:C21)&amp;"")</f>
        <v>TC_05.12</v>
      </c>
      <c r="B21" s="194" t="s">
        <v>556</v>
      </c>
      <c r="C21" s="194" t="s">
        <v>1515</v>
      </c>
      <c r="D21" s="194" t="s">
        <v>40</v>
      </c>
      <c r="E21" s="194" t="s">
        <v>157</v>
      </c>
      <c r="F21" s="195" t="s">
        <v>1564</v>
      </c>
      <c r="G21" s="195" t="s">
        <v>1537</v>
      </c>
      <c r="H21" s="195" t="s">
        <v>1565</v>
      </c>
      <c r="I21" s="195" t="s">
        <v>1566</v>
      </c>
      <c r="J21" s="194" t="s">
        <v>637</v>
      </c>
      <c r="K21" s="194" t="s">
        <v>241</v>
      </c>
      <c r="L21" s="194" t="s">
        <v>638</v>
      </c>
      <c r="M21" s="194"/>
      <c r="N21" s="196"/>
      <c r="O21" s="196"/>
      <c r="P21" s="196"/>
      <c r="Q21" s="196"/>
      <c r="R21" s="196"/>
      <c r="S21" s="196"/>
      <c r="T21" s="196"/>
      <c r="U21" s="196"/>
      <c r="V21" s="196"/>
      <c r="W21" s="196"/>
      <c r="X21" s="196"/>
      <c r="Y21" s="196"/>
      <c r="Z21" s="196"/>
      <c r="AA21" s="196"/>
      <c r="AB21" s="197"/>
      <c r="AC21" s="197"/>
      <c r="AD21" s="197"/>
      <c r="AE21" s="197"/>
      <c r="AF21" s="197"/>
      <c r="AG21" s="197"/>
      <c r="AH21" s="197"/>
      <c r="AI21" s="197"/>
      <c r="AJ21" s="197"/>
      <c r="AK21" s="197"/>
      <c r="AL21" s="197"/>
      <c r="AM21" s="198" t="str">
        <f aca="false">IF($A21="","",IF(OR($N21="Yes",$S21="Yes",$X21="Yes",$AC21="Yes",$AH21="Yes"),"Yes","No"))</f>
        <v>No</v>
      </c>
      <c r="AN21" s="198" t="str">
        <f aca="false">IF($A21="","",IFERROR(IF($AI21&lt;&gt;"",$AI21,IF($AD21&lt;&gt;"",$AD21,IF($Y21&lt;&gt;"",$Y21,IF($T21&lt;&gt;"",$T21,IF($O21&lt;&gt;"",$O21,""))))),""))</f>
        <v/>
      </c>
      <c r="AO21" s="198" t="str">
        <f aca="false">IFERROR(IF($AJ21&lt;&gt;"",$AJ21,IF($AE21&lt;&gt;"",$AE21,IF($Z21&lt;&gt;"",$Z21,IF($U21&lt;&gt;"",$U21,IF($P21&lt;&gt;"",$P21,""))))),"")</f>
        <v/>
      </c>
      <c r="AP21" s="199"/>
    </row>
    <row r="22" customFormat="false" ht="19.5" hidden="false" customHeight="true" outlineLevel="0" collapsed="false">
      <c r="A22" s="194"/>
      <c r="B22" s="200" t="s">
        <v>1567</v>
      </c>
      <c r="C22" s="200"/>
      <c r="D22" s="200"/>
      <c r="E22" s="200"/>
      <c r="F22" s="200"/>
      <c r="G22" s="200"/>
      <c r="H22" s="200"/>
      <c r="I22" s="200"/>
      <c r="J22" s="194"/>
      <c r="K22" s="194"/>
      <c r="L22" s="194"/>
      <c r="M22" s="194"/>
      <c r="N22" s="196"/>
      <c r="O22" s="196"/>
      <c r="P22" s="196"/>
      <c r="Q22" s="196"/>
      <c r="R22" s="196"/>
      <c r="S22" s="196"/>
      <c r="T22" s="196"/>
      <c r="U22" s="196"/>
      <c r="V22" s="196"/>
      <c r="W22" s="196"/>
      <c r="X22" s="196"/>
      <c r="Y22" s="196"/>
      <c r="Z22" s="196"/>
      <c r="AA22" s="196"/>
      <c r="AB22" s="197"/>
      <c r="AC22" s="197"/>
      <c r="AD22" s="197"/>
      <c r="AE22" s="197"/>
      <c r="AF22" s="197"/>
      <c r="AG22" s="197"/>
      <c r="AH22" s="197"/>
      <c r="AI22" s="197"/>
      <c r="AJ22" s="197"/>
      <c r="AK22" s="197"/>
      <c r="AL22" s="197"/>
      <c r="AM22" s="198"/>
      <c r="AN22" s="198"/>
      <c r="AO22" s="198"/>
      <c r="AP22" s="199"/>
    </row>
    <row r="23" customFormat="false" ht="60" hidden="false" customHeight="true" outlineLevel="0" collapsed="false">
      <c r="A23" s="194" t="str">
        <f aca="false">IF(C23="","",$C$2&amp;"."&amp;COUNTA($C$8:C23)&amp;"")</f>
        <v>TC_05.13</v>
      </c>
      <c r="B23" s="194" t="s">
        <v>556</v>
      </c>
      <c r="C23" s="194" t="s">
        <v>1515</v>
      </c>
      <c r="D23" s="194" t="s">
        <v>42</v>
      </c>
      <c r="E23" s="194" t="s">
        <v>158</v>
      </c>
      <c r="F23" s="195" t="s">
        <v>1568</v>
      </c>
      <c r="G23" s="195" t="s">
        <v>634</v>
      </c>
      <c r="H23" s="195" t="s">
        <v>1569</v>
      </c>
      <c r="I23" s="195" t="s">
        <v>1570</v>
      </c>
      <c r="J23" s="194" t="s">
        <v>637</v>
      </c>
      <c r="K23" s="194" t="s">
        <v>241</v>
      </c>
      <c r="L23" s="194" t="s">
        <v>638</v>
      </c>
      <c r="M23" s="194"/>
      <c r="N23" s="196"/>
      <c r="O23" s="196"/>
      <c r="P23" s="196"/>
      <c r="Q23" s="196"/>
      <c r="R23" s="196"/>
      <c r="S23" s="196"/>
      <c r="T23" s="196"/>
      <c r="U23" s="196"/>
      <c r="V23" s="196"/>
      <c r="W23" s="196"/>
      <c r="X23" s="196"/>
      <c r="Y23" s="196"/>
      <c r="Z23" s="196"/>
      <c r="AA23" s="196"/>
      <c r="AB23" s="197"/>
      <c r="AC23" s="197"/>
      <c r="AD23" s="197"/>
      <c r="AE23" s="197"/>
      <c r="AF23" s="197"/>
      <c r="AG23" s="197"/>
      <c r="AH23" s="197"/>
      <c r="AI23" s="197"/>
      <c r="AJ23" s="197"/>
      <c r="AK23" s="197"/>
      <c r="AL23" s="197"/>
      <c r="AM23" s="198" t="str">
        <f aca="false">IF($A23="","",IF(OR($N23="Yes",$S23="Yes",$X23="Yes",$AC23="Yes",$AH23="Yes"),"Yes","No"))</f>
        <v>No</v>
      </c>
      <c r="AN23" s="198" t="str">
        <f aca="false">IF($A23="","",IFERROR(IF($AI23&lt;&gt;"",$AI23,IF($AD23&lt;&gt;"",$AD23,IF($Y23&lt;&gt;"",$Y23,IF($T23&lt;&gt;"",$T23,IF($O23&lt;&gt;"",$O23,""))))),""))</f>
        <v/>
      </c>
      <c r="AO23" s="198" t="str">
        <f aca="false">IFERROR(IF($AJ23&lt;&gt;"",$AJ23,IF($AE23&lt;&gt;"",$AE23,IF($Z23&lt;&gt;"",$Z23,IF($U23&lt;&gt;"",$U23,IF($P23&lt;&gt;"",$P23,""))))),"")</f>
        <v/>
      </c>
      <c r="AP23" s="199" t="s">
        <v>1571</v>
      </c>
    </row>
    <row r="24" customFormat="false" ht="19.5" hidden="false" customHeight="true" outlineLevel="0" collapsed="false">
      <c r="A24" s="194"/>
      <c r="B24" s="200" t="s">
        <v>1572</v>
      </c>
      <c r="C24" s="200"/>
      <c r="D24" s="200"/>
      <c r="E24" s="200"/>
      <c r="F24" s="200"/>
      <c r="G24" s="200"/>
      <c r="H24" s="200"/>
      <c r="I24" s="200"/>
      <c r="J24" s="194"/>
      <c r="K24" s="194"/>
      <c r="L24" s="194"/>
      <c r="M24" s="194"/>
      <c r="N24" s="196"/>
      <c r="O24" s="196"/>
      <c r="P24" s="196"/>
      <c r="Q24" s="196"/>
      <c r="R24" s="196"/>
      <c r="S24" s="196"/>
      <c r="T24" s="196"/>
      <c r="U24" s="196"/>
      <c r="V24" s="196"/>
      <c r="W24" s="196"/>
      <c r="X24" s="196"/>
      <c r="Y24" s="196"/>
      <c r="Z24" s="196"/>
      <c r="AA24" s="196"/>
      <c r="AB24" s="197"/>
      <c r="AC24" s="197"/>
      <c r="AD24" s="197"/>
      <c r="AE24" s="197"/>
      <c r="AF24" s="197"/>
      <c r="AG24" s="197"/>
      <c r="AH24" s="197"/>
      <c r="AI24" s="197"/>
      <c r="AJ24" s="197"/>
      <c r="AK24" s="197"/>
      <c r="AL24" s="197"/>
      <c r="AM24" s="198"/>
      <c r="AN24" s="198"/>
      <c r="AO24" s="198"/>
      <c r="AP24" s="199"/>
    </row>
    <row r="25" customFormat="false" ht="60" hidden="false" customHeight="true" outlineLevel="0" collapsed="false">
      <c r="A25" s="194" t="str">
        <f aca="false">IF(C25="","",$C$2&amp;"."&amp;COUNTA($C$8:C25)&amp;"")</f>
        <v>TC_05.14</v>
      </c>
      <c r="B25" s="194" t="s">
        <v>517</v>
      </c>
      <c r="C25" s="194" t="s">
        <v>1573</v>
      </c>
      <c r="D25" s="194" t="s">
        <v>42</v>
      </c>
      <c r="E25" s="194" t="s">
        <v>157</v>
      </c>
      <c r="F25" s="195" t="s">
        <v>1574</v>
      </c>
      <c r="G25" s="195" t="s">
        <v>1575</v>
      </c>
      <c r="H25" s="195" t="s">
        <v>1576</v>
      </c>
      <c r="I25" s="195" t="s">
        <v>1577</v>
      </c>
      <c r="J25" s="194" t="s">
        <v>637</v>
      </c>
      <c r="K25" s="194" t="s">
        <v>241</v>
      </c>
      <c r="L25" s="194" t="s">
        <v>638</v>
      </c>
      <c r="M25" s="194"/>
      <c r="N25" s="196"/>
      <c r="O25" s="196"/>
      <c r="P25" s="196"/>
      <c r="Q25" s="196"/>
      <c r="R25" s="196"/>
      <c r="S25" s="196"/>
      <c r="T25" s="196"/>
      <c r="U25" s="196"/>
      <c r="V25" s="196"/>
      <c r="W25" s="196"/>
      <c r="X25" s="196"/>
      <c r="Y25" s="196"/>
      <c r="Z25" s="196"/>
      <c r="AA25" s="196"/>
      <c r="AB25" s="197"/>
      <c r="AC25" s="197"/>
      <c r="AD25" s="197"/>
      <c r="AE25" s="197"/>
      <c r="AF25" s="197"/>
      <c r="AG25" s="197"/>
      <c r="AH25" s="197"/>
      <c r="AI25" s="197"/>
      <c r="AJ25" s="197"/>
      <c r="AK25" s="197"/>
      <c r="AL25" s="197"/>
      <c r="AM25" s="198" t="str">
        <f aca="false">IF($A25="","",IF(OR($N25="Yes",$S25="Yes",$X25="Yes",$AC25="Yes",$AH25="Yes"),"Yes","No"))</f>
        <v>No</v>
      </c>
      <c r="AN25" s="198" t="str">
        <f aca="false">IF($A25="","",IFERROR(IF($AI25&lt;&gt;"",$AI25,IF($AD25&lt;&gt;"",$AD25,IF($Y25&lt;&gt;"",$Y25,IF($T25&lt;&gt;"",$T25,IF($O25&lt;&gt;"",$O25,""))))),""))</f>
        <v/>
      </c>
      <c r="AO25" s="198" t="str">
        <f aca="false">IFERROR(IF($AJ25&lt;&gt;"",$AJ25,IF($AE25&lt;&gt;"",$AE25,IF($Z25&lt;&gt;"",$Z25,IF($U25&lt;&gt;"",$U25,IF($P25&lt;&gt;"",$P25,""))))),"")</f>
        <v/>
      </c>
      <c r="AP25" s="199" t="s">
        <v>675</v>
      </c>
    </row>
    <row r="26" customFormat="false" ht="60" hidden="false" customHeight="true" outlineLevel="0" collapsed="false">
      <c r="A26" s="194" t="str">
        <f aca="false">IF(C26="","",$C$2&amp;"."&amp;COUNTA($C$8:C26)&amp;"")</f>
        <v>TC_05.15</v>
      </c>
      <c r="B26" s="194" t="s">
        <v>517</v>
      </c>
      <c r="C26" s="194" t="s">
        <v>724</v>
      </c>
      <c r="D26" s="194" t="s">
        <v>42</v>
      </c>
      <c r="E26" s="194" t="s">
        <v>157</v>
      </c>
      <c r="F26" s="195" t="s">
        <v>1578</v>
      </c>
      <c r="G26" s="195" t="s">
        <v>1579</v>
      </c>
      <c r="H26" s="195" t="s">
        <v>1580</v>
      </c>
      <c r="I26" s="195" t="s">
        <v>1581</v>
      </c>
      <c r="J26" s="194" t="s">
        <v>637</v>
      </c>
      <c r="K26" s="194" t="s">
        <v>241</v>
      </c>
      <c r="L26" s="194" t="s">
        <v>638</v>
      </c>
      <c r="M26" s="194"/>
      <c r="N26" s="196"/>
      <c r="O26" s="196"/>
      <c r="P26" s="196"/>
      <c r="Q26" s="196"/>
      <c r="R26" s="196"/>
      <c r="S26" s="196"/>
      <c r="T26" s="196"/>
      <c r="U26" s="196"/>
      <c r="V26" s="196"/>
      <c r="W26" s="196"/>
      <c r="X26" s="196"/>
      <c r="Y26" s="196"/>
      <c r="Z26" s="196"/>
      <c r="AA26" s="196"/>
      <c r="AB26" s="197"/>
      <c r="AC26" s="197"/>
      <c r="AD26" s="197"/>
      <c r="AE26" s="197"/>
      <c r="AF26" s="197"/>
      <c r="AG26" s="197"/>
      <c r="AH26" s="197"/>
      <c r="AI26" s="197"/>
      <c r="AJ26" s="197"/>
      <c r="AK26" s="197"/>
      <c r="AL26" s="197"/>
      <c r="AM26" s="198" t="str">
        <f aca="false">IF($A26="","",IF(OR($N26="Yes",$S26="Yes",$X26="Yes",$AC26="Yes",$AH26="Yes"),"Yes","No"))</f>
        <v>No</v>
      </c>
      <c r="AN26" s="198" t="str">
        <f aca="false">IF($A26="","",IFERROR(IF($AI26&lt;&gt;"",$AI26,IF($AD26&lt;&gt;"",$AD26,IF($Y26&lt;&gt;"",$Y26,IF($T26&lt;&gt;"",$T26,IF($O26&lt;&gt;"",$O26,""))))),""))</f>
        <v/>
      </c>
      <c r="AO26" s="198" t="str">
        <f aca="false">IFERROR(IF($AJ26&lt;&gt;"",$AJ26,IF($AE26&lt;&gt;"",$AE26,IF($Z26&lt;&gt;"",$Z26,IF($U26&lt;&gt;"",$U26,IF($P26&lt;&gt;"",$P26,""))))),"")</f>
        <v/>
      </c>
      <c r="AP26" s="199" t="s">
        <v>1582</v>
      </c>
    </row>
    <row r="27" customFormat="false" ht="60" hidden="false" customHeight="true" outlineLevel="0" collapsed="false">
      <c r="A27" s="194" t="str">
        <f aca="false">IF(C27="","",$C$2&amp;"."&amp;COUNTA($C$8:C27)&amp;"")</f>
        <v>TC_05.16</v>
      </c>
      <c r="B27" s="194" t="s">
        <v>517</v>
      </c>
      <c r="C27" s="194" t="s">
        <v>1573</v>
      </c>
      <c r="D27" s="194" t="s">
        <v>42</v>
      </c>
      <c r="E27" s="194" t="s">
        <v>157</v>
      </c>
      <c r="F27" s="195" t="s">
        <v>1583</v>
      </c>
      <c r="G27" s="195" t="s">
        <v>1584</v>
      </c>
      <c r="H27" s="195" t="s">
        <v>1585</v>
      </c>
      <c r="I27" s="195" t="s">
        <v>1586</v>
      </c>
      <c r="J27" s="194" t="s">
        <v>637</v>
      </c>
      <c r="K27" s="194" t="s">
        <v>241</v>
      </c>
      <c r="L27" s="194" t="s">
        <v>638</v>
      </c>
      <c r="M27" s="194"/>
      <c r="N27" s="196"/>
      <c r="O27" s="196"/>
      <c r="P27" s="196"/>
      <c r="Q27" s="196"/>
      <c r="R27" s="196"/>
      <c r="S27" s="196"/>
      <c r="T27" s="196"/>
      <c r="U27" s="196"/>
      <c r="V27" s="196"/>
      <c r="W27" s="196"/>
      <c r="X27" s="196"/>
      <c r="Y27" s="196"/>
      <c r="Z27" s="196"/>
      <c r="AA27" s="196"/>
      <c r="AB27" s="197"/>
      <c r="AC27" s="197"/>
      <c r="AD27" s="197"/>
      <c r="AE27" s="197"/>
      <c r="AF27" s="197"/>
      <c r="AG27" s="197"/>
      <c r="AH27" s="197"/>
      <c r="AI27" s="197"/>
      <c r="AJ27" s="197"/>
      <c r="AK27" s="197"/>
      <c r="AL27" s="197"/>
      <c r="AM27" s="198" t="str">
        <f aca="false">IF($A27="","",IF(OR($N27="Yes",$S27="Yes",$X27="Yes",$AC27="Yes",$AH27="Yes"),"Yes","No"))</f>
        <v>No</v>
      </c>
      <c r="AN27" s="198" t="str">
        <f aca="false">IF($A27="","",IFERROR(IF($AI27&lt;&gt;"",$AI27,IF($AD27&lt;&gt;"",$AD27,IF($Y27&lt;&gt;"",$Y27,IF($T27&lt;&gt;"",$T27,IF($O27&lt;&gt;"",$O27,""))))),""))</f>
        <v/>
      </c>
      <c r="AO27" s="198" t="str">
        <f aca="false">IFERROR(IF($AJ27&lt;&gt;"",$AJ27,IF($AE27&lt;&gt;"",$AE27,IF($Z27&lt;&gt;"",$Z27,IF($U27&lt;&gt;"",$U27,IF($P27&lt;&gt;"",$P27,""))))),"")</f>
        <v/>
      </c>
      <c r="AP27" s="199" t="s">
        <v>1587</v>
      </c>
    </row>
    <row r="28" customFormat="false" ht="60" hidden="false" customHeight="true" outlineLevel="0" collapsed="false">
      <c r="A28" s="194" t="str">
        <f aca="false">IF(C28="","",$C$2&amp;"."&amp;COUNTA($C$8:C28)&amp;"")</f>
        <v>TC_05.17</v>
      </c>
      <c r="B28" s="194" t="s">
        <v>517</v>
      </c>
      <c r="C28" s="194" t="s">
        <v>1573</v>
      </c>
      <c r="D28" s="194" t="s">
        <v>42</v>
      </c>
      <c r="E28" s="194" t="s">
        <v>157</v>
      </c>
      <c r="F28" s="195" t="s">
        <v>1588</v>
      </c>
      <c r="G28" s="195" t="s">
        <v>1589</v>
      </c>
      <c r="H28" s="195" t="s">
        <v>1585</v>
      </c>
      <c r="I28" s="195" t="s">
        <v>1590</v>
      </c>
      <c r="J28" s="194" t="s">
        <v>637</v>
      </c>
      <c r="K28" s="194" t="s">
        <v>241</v>
      </c>
      <c r="L28" s="194" t="s">
        <v>638</v>
      </c>
      <c r="M28" s="194"/>
      <c r="N28" s="196"/>
      <c r="O28" s="196"/>
      <c r="P28" s="196"/>
      <c r="Q28" s="196"/>
      <c r="R28" s="196"/>
      <c r="S28" s="196"/>
      <c r="T28" s="196"/>
      <c r="U28" s="196"/>
      <c r="V28" s="196"/>
      <c r="W28" s="196"/>
      <c r="X28" s="196"/>
      <c r="Y28" s="196"/>
      <c r="Z28" s="196"/>
      <c r="AA28" s="196"/>
      <c r="AB28" s="197"/>
      <c r="AC28" s="197"/>
      <c r="AD28" s="197"/>
      <c r="AE28" s="197"/>
      <c r="AF28" s="197"/>
      <c r="AG28" s="197"/>
      <c r="AH28" s="197"/>
      <c r="AI28" s="197"/>
      <c r="AJ28" s="197"/>
      <c r="AK28" s="197"/>
      <c r="AL28" s="197"/>
      <c r="AM28" s="198" t="str">
        <f aca="false">IF($A28="","",IF(OR($N28="Yes",$S28="Yes",$X28="Yes",$AC28="Yes",$AH28="Yes"),"Yes","No"))</f>
        <v>No</v>
      </c>
      <c r="AN28" s="198" t="str">
        <f aca="false">IF($A28="","",IFERROR(IF($AI28&lt;&gt;"",$AI28,IF($AD28&lt;&gt;"",$AD28,IF($Y28&lt;&gt;"",$Y28,IF($T28&lt;&gt;"",$T28,IF($O28&lt;&gt;"",$O28,""))))),""))</f>
        <v/>
      </c>
      <c r="AO28" s="198" t="str">
        <f aca="false">IFERROR(IF($AJ28&lt;&gt;"",$AJ28,IF($AE28&lt;&gt;"",$AE28,IF($Z28&lt;&gt;"",$Z28,IF($U28&lt;&gt;"",$U28,IF($P28&lt;&gt;"",$P28,""))))),"")</f>
        <v/>
      </c>
      <c r="AP28" s="199" t="s">
        <v>664</v>
      </c>
    </row>
    <row r="29" customFormat="false" ht="60" hidden="false" customHeight="true" outlineLevel="0" collapsed="false">
      <c r="A29" s="194" t="str">
        <f aca="false">IF(C29="","",$C$2&amp;"."&amp;COUNTA($C$8:C29)&amp;"")</f>
        <v>TC_05.18</v>
      </c>
      <c r="B29" s="194" t="s">
        <v>517</v>
      </c>
      <c r="C29" s="194" t="s">
        <v>1573</v>
      </c>
      <c r="D29" s="194" t="s">
        <v>42</v>
      </c>
      <c r="E29" s="194" t="s">
        <v>157</v>
      </c>
      <c r="F29" s="195" t="s">
        <v>1591</v>
      </c>
      <c r="G29" s="195" t="s">
        <v>1592</v>
      </c>
      <c r="H29" s="195" t="s">
        <v>1585</v>
      </c>
      <c r="I29" s="195" t="s">
        <v>1593</v>
      </c>
      <c r="J29" s="194" t="s">
        <v>637</v>
      </c>
      <c r="K29" s="194" t="s">
        <v>241</v>
      </c>
      <c r="L29" s="194" t="s">
        <v>638</v>
      </c>
      <c r="M29" s="194"/>
      <c r="N29" s="196"/>
      <c r="O29" s="196"/>
      <c r="P29" s="196"/>
      <c r="Q29" s="196"/>
      <c r="R29" s="196"/>
      <c r="S29" s="196"/>
      <c r="T29" s="196"/>
      <c r="U29" s="196"/>
      <c r="V29" s="196"/>
      <c r="W29" s="196"/>
      <c r="X29" s="196"/>
      <c r="Y29" s="196"/>
      <c r="Z29" s="196"/>
      <c r="AA29" s="196"/>
      <c r="AB29" s="197"/>
      <c r="AC29" s="197"/>
      <c r="AD29" s="197"/>
      <c r="AE29" s="197"/>
      <c r="AF29" s="197"/>
      <c r="AG29" s="197"/>
      <c r="AH29" s="197"/>
      <c r="AI29" s="197"/>
      <c r="AJ29" s="197"/>
      <c r="AK29" s="197"/>
      <c r="AL29" s="197"/>
      <c r="AM29" s="198" t="str">
        <f aca="false">IF($A29="","",IF(OR($N29="Yes",$S29="Yes",$X29="Yes",$AC29="Yes",$AH29="Yes"),"Yes","No"))</f>
        <v>No</v>
      </c>
      <c r="AN29" s="198" t="str">
        <f aca="false">IF($A29="","",IFERROR(IF($AI29&lt;&gt;"",$AI29,IF($AD29&lt;&gt;"",$AD29,IF($Y29&lt;&gt;"",$Y29,IF($T29&lt;&gt;"",$T29,IF($O29&lt;&gt;"",$O29,""))))),""))</f>
        <v/>
      </c>
      <c r="AO29" s="198" t="str">
        <f aca="false">IFERROR(IF($AJ29&lt;&gt;"",$AJ29,IF($AE29&lt;&gt;"",$AE29,IF($Z29&lt;&gt;"",$Z29,IF($U29&lt;&gt;"",$U29,IF($P29&lt;&gt;"",$P29,""))))),"")</f>
        <v/>
      </c>
      <c r="AP29" s="199" t="s">
        <v>669</v>
      </c>
    </row>
    <row r="30" customFormat="false" ht="60" hidden="false" customHeight="true" outlineLevel="0" collapsed="false">
      <c r="A30" s="194" t="str">
        <f aca="false">IF(C30="","",$C$2&amp;"."&amp;COUNTA($C$8:C30)&amp;"")</f>
        <v>TC_05.19</v>
      </c>
      <c r="B30" s="194" t="s">
        <v>517</v>
      </c>
      <c r="C30" s="194" t="s">
        <v>1573</v>
      </c>
      <c r="D30" s="194" t="s">
        <v>42</v>
      </c>
      <c r="E30" s="194" t="s">
        <v>157</v>
      </c>
      <c r="F30" s="195" t="s">
        <v>1594</v>
      </c>
      <c r="G30" s="195" t="s">
        <v>1595</v>
      </c>
      <c r="H30" s="195" t="s">
        <v>1585</v>
      </c>
      <c r="I30" s="195" t="s">
        <v>1596</v>
      </c>
      <c r="J30" s="194" t="s">
        <v>637</v>
      </c>
      <c r="K30" s="194" t="s">
        <v>241</v>
      </c>
      <c r="L30" s="194" t="s">
        <v>638</v>
      </c>
      <c r="M30" s="194"/>
      <c r="N30" s="196"/>
      <c r="O30" s="196"/>
      <c r="P30" s="196"/>
      <c r="Q30" s="196"/>
      <c r="R30" s="196"/>
      <c r="S30" s="196"/>
      <c r="T30" s="196"/>
      <c r="U30" s="196"/>
      <c r="V30" s="196"/>
      <c r="W30" s="196"/>
      <c r="X30" s="196"/>
      <c r="Y30" s="196"/>
      <c r="Z30" s="196"/>
      <c r="AA30" s="196"/>
      <c r="AB30" s="197"/>
      <c r="AC30" s="197"/>
      <c r="AD30" s="197"/>
      <c r="AE30" s="197"/>
      <c r="AF30" s="197"/>
      <c r="AG30" s="197"/>
      <c r="AH30" s="197"/>
      <c r="AI30" s="197"/>
      <c r="AJ30" s="197"/>
      <c r="AK30" s="197"/>
      <c r="AL30" s="197"/>
      <c r="AM30" s="198" t="str">
        <f aca="false">IF($A30="","",IF(OR($N30="Yes",$S30="Yes",$X30="Yes",$AC30="Yes",$AH30="Yes"),"Yes","No"))</f>
        <v>No</v>
      </c>
      <c r="AN30" s="198" t="str">
        <f aca="false">IF($A30="","",IFERROR(IF($AI30&lt;&gt;"",$AI30,IF($AD30&lt;&gt;"",$AD30,IF($Y30&lt;&gt;"",$Y30,IF($T30&lt;&gt;"",$T30,IF($O30&lt;&gt;"",$O30,""))))),""))</f>
        <v/>
      </c>
      <c r="AO30" s="198" t="str">
        <f aca="false">IFERROR(IF($AJ30&lt;&gt;"",$AJ30,IF($AE30&lt;&gt;"",$AE30,IF($Z30&lt;&gt;"",$Z30,IF($U30&lt;&gt;"",$U30,IF($P30&lt;&gt;"",$P30,""))))),"")</f>
        <v/>
      </c>
      <c r="AP30" s="199" t="s">
        <v>1597</v>
      </c>
    </row>
    <row r="31" customFormat="false" ht="60" hidden="false" customHeight="true" outlineLevel="0" collapsed="false">
      <c r="A31" s="194" t="str">
        <f aca="false">IF(C31="","",$C$2&amp;"."&amp;COUNTA($C$8:C31)&amp;"")</f>
        <v>TC_05.20</v>
      </c>
      <c r="B31" s="194" t="s">
        <v>517</v>
      </c>
      <c r="C31" s="194" t="s">
        <v>1573</v>
      </c>
      <c r="D31" s="194" t="s">
        <v>42</v>
      </c>
      <c r="E31" s="194" t="s">
        <v>157</v>
      </c>
      <c r="F31" s="195" t="s">
        <v>1598</v>
      </c>
      <c r="G31" s="195" t="s">
        <v>1599</v>
      </c>
      <c r="H31" s="195" t="s">
        <v>1585</v>
      </c>
      <c r="I31" s="195" t="s">
        <v>1600</v>
      </c>
      <c r="J31" s="194" t="s">
        <v>637</v>
      </c>
      <c r="K31" s="194" t="s">
        <v>241</v>
      </c>
      <c r="L31" s="194" t="s">
        <v>638</v>
      </c>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t="str">
        <f aca="false">IF($A31="","",IF(OR($N31="Yes",$S31="Yes",$X31="Yes",$AC31="Yes",$AH31="Yes"),"Yes","No"))</f>
        <v>No</v>
      </c>
      <c r="AN31" s="198" t="str">
        <f aca="false">IF($A31="","",IFERROR(IF($AI31&lt;&gt;"",$AI31,IF($AD31&lt;&gt;"",$AD31,IF($Y31&lt;&gt;"",$Y31,IF($T31&lt;&gt;"",$T31,IF($O31&lt;&gt;"",$O31,""))))),""))</f>
        <v/>
      </c>
      <c r="AO31" s="198" t="str">
        <f aca="false">IFERROR(IF($AJ31&lt;&gt;"",$AJ31,IF($AE31&lt;&gt;"",$AE31,IF($Z31&lt;&gt;"",$Z31,IF($U31&lt;&gt;"",$U31,IF($P31&lt;&gt;"",$P31,""))))),"")</f>
        <v/>
      </c>
      <c r="AP31" s="199" t="s">
        <v>711</v>
      </c>
    </row>
    <row r="32" customFormat="false" ht="60" hidden="false" customHeight="true" outlineLevel="0" collapsed="false">
      <c r="A32" s="194" t="str">
        <f aca="false">IF(C32="","",$C$2&amp;"."&amp;COUNTA($C$8:C32)&amp;"")</f>
        <v>TC_05.21</v>
      </c>
      <c r="B32" s="194" t="s">
        <v>1601</v>
      </c>
      <c r="C32" s="194" t="s">
        <v>713</v>
      </c>
      <c r="D32" s="194" t="s">
        <v>42</v>
      </c>
      <c r="E32" s="194" t="s">
        <v>157</v>
      </c>
      <c r="F32" s="195" t="s">
        <v>1602</v>
      </c>
      <c r="G32" s="195" t="s">
        <v>1603</v>
      </c>
      <c r="H32" s="195" t="s">
        <v>1580</v>
      </c>
      <c r="I32" s="195" t="s">
        <v>1604</v>
      </c>
      <c r="J32" s="194" t="s">
        <v>637</v>
      </c>
      <c r="K32" s="194" t="s">
        <v>241</v>
      </c>
      <c r="L32" s="194" t="s">
        <v>638</v>
      </c>
      <c r="M32" s="194"/>
      <c r="N32" s="196"/>
      <c r="O32" s="196"/>
      <c r="P32" s="196"/>
      <c r="Q32" s="196"/>
      <c r="R32" s="196"/>
      <c r="S32" s="196"/>
      <c r="T32" s="196"/>
      <c r="U32" s="196"/>
      <c r="V32" s="196"/>
      <c r="W32" s="196"/>
      <c r="X32" s="196"/>
      <c r="Y32" s="196"/>
      <c r="Z32" s="196"/>
      <c r="AA32" s="196"/>
      <c r="AB32" s="197"/>
      <c r="AC32" s="197"/>
      <c r="AD32" s="197"/>
      <c r="AE32" s="197"/>
      <c r="AF32" s="197"/>
      <c r="AG32" s="197"/>
      <c r="AH32" s="197"/>
      <c r="AI32" s="197"/>
      <c r="AJ32" s="197"/>
      <c r="AK32" s="197"/>
      <c r="AL32" s="197"/>
      <c r="AM32" s="198" t="str">
        <f aca="false">IF($A32="","",IF(OR($N32="Yes",$S32="Yes",$X32="Yes",$AC32="Yes",$AH32="Yes"),"Yes","No"))</f>
        <v>No</v>
      </c>
      <c r="AN32" s="198" t="str">
        <f aca="false">IF($A32="","",IFERROR(IF($AI32&lt;&gt;"",$AI32,IF($AD32&lt;&gt;"",$AD32,IF($Y32&lt;&gt;"",$Y32,IF($T32&lt;&gt;"",$T32,IF($O32&lt;&gt;"",$O32,""))))),""))</f>
        <v/>
      </c>
      <c r="AO32" s="198" t="str">
        <f aca="false">IFERROR(IF($AJ32&lt;&gt;"",$AJ32,IF($AE32&lt;&gt;"",$AE32,IF($Z32&lt;&gt;"",$Z32,IF($U32&lt;&gt;"",$U32,IF($P32&lt;&gt;"",$P32,""))))),"")</f>
        <v/>
      </c>
      <c r="AP32" s="199" t="s">
        <v>1605</v>
      </c>
    </row>
    <row r="33" customFormat="false" ht="60" hidden="false" customHeight="true" outlineLevel="0" collapsed="false">
      <c r="A33" s="194" t="str">
        <f aca="false">IF(C33="","",$C$2&amp;"."&amp;COUNTA($C$8:C33)&amp;"")</f>
        <v>TC_05.22</v>
      </c>
      <c r="B33" s="194" t="s">
        <v>517</v>
      </c>
      <c r="C33" s="194" t="s">
        <v>1573</v>
      </c>
      <c r="D33" s="194" t="s">
        <v>42</v>
      </c>
      <c r="E33" s="194" t="s">
        <v>157</v>
      </c>
      <c r="F33" s="195" t="s">
        <v>1606</v>
      </c>
      <c r="G33" s="195" t="s">
        <v>1607</v>
      </c>
      <c r="H33" s="195" t="s">
        <v>1608</v>
      </c>
      <c r="I33" s="195" t="s">
        <v>1609</v>
      </c>
      <c r="J33" s="194" t="s">
        <v>637</v>
      </c>
      <c r="K33" s="194" t="s">
        <v>241</v>
      </c>
      <c r="L33" s="194" t="s">
        <v>638</v>
      </c>
      <c r="M33" s="194"/>
      <c r="N33" s="196"/>
      <c r="O33" s="196"/>
      <c r="P33" s="196"/>
      <c r="Q33" s="196"/>
      <c r="R33" s="196"/>
      <c r="S33" s="196"/>
      <c r="T33" s="196"/>
      <c r="U33" s="196"/>
      <c r="V33" s="196"/>
      <c r="W33" s="196"/>
      <c r="X33" s="196"/>
      <c r="Y33" s="196"/>
      <c r="Z33" s="196"/>
      <c r="AA33" s="196"/>
      <c r="AB33" s="197"/>
      <c r="AC33" s="197"/>
      <c r="AD33" s="197"/>
      <c r="AE33" s="197"/>
      <c r="AF33" s="197"/>
      <c r="AG33" s="197"/>
      <c r="AH33" s="197"/>
      <c r="AI33" s="197"/>
      <c r="AJ33" s="197"/>
      <c r="AK33" s="197"/>
      <c r="AL33" s="197"/>
      <c r="AM33" s="198" t="str">
        <f aca="false">IF($A32="","",IF(OR($N32="Yes",$S32="Yes",$X32="Yes",$AC32="Yes",$AH32="Yes"),"Yes","No"))</f>
        <v>No</v>
      </c>
      <c r="AN33" s="198" t="str">
        <f aca="false">IF($A32="","",IFERROR(IF($AI32&lt;&gt;"",$AI32,IF($AD32&lt;&gt;"",$AD32,IF($Y32&lt;&gt;"",$Y32,IF($T32&lt;&gt;"",$T32,IF($O32&lt;&gt;"",$O32,""))))),""))</f>
        <v/>
      </c>
      <c r="AO33" s="198" t="str">
        <f aca="false">IFERROR(IF($AJ32&lt;&gt;"",$AJ32,IF($AE32&lt;&gt;"",$AE32,IF($Z32&lt;&gt;"",$Z32,IF($U32&lt;&gt;"",$U32,IF($P32&lt;&gt;"",$P32,""))))),"")</f>
        <v/>
      </c>
      <c r="AP33" s="199" t="s">
        <v>1610</v>
      </c>
    </row>
    <row r="34" customFormat="false" ht="60" hidden="false" customHeight="true" outlineLevel="0" collapsed="false">
      <c r="A34" s="194" t="str">
        <f aca="false">IF(C34="","",$C$2&amp;"."&amp;COUNTA($C$8:C34)&amp;"")</f>
        <v>TC_05.23</v>
      </c>
      <c r="B34" s="194" t="s">
        <v>517</v>
      </c>
      <c r="C34" s="194" t="s">
        <v>1573</v>
      </c>
      <c r="D34" s="194" t="s">
        <v>42</v>
      </c>
      <c r="E34" s="194" t="s">
        <v>158</v>
      </c>
      <c r="F34" s="195" t="s">
        <v>1611</v>
      </c>
      <c r="G34" s="195" t="s">
        <v>1612</v>
      </c>
      <c r="H34" s="195" t="s">
        <v>1613</v>
      </c>
      <c r="I34" s="195" t="s">
        <v>1614</v>
      </c>
      <c r="J34" s="194" t="s">
        <v>637</v>
      </c>
      <c r="K34" s="194" t="s">
        <v>241</v>
      </c>
      <c r="L34" s="194" t="s">
        <v>638</v>
      </c>
      <c r="M34" s="194"/>
      <c r="N34" s="196"/>
      <c r="O34" s="196"/>
      <c r="P34" s="196"/>
      <c r="Q34" s="196"/>
      <c r="R34" s="196"/>
      <c r="S34" s="196"/>
      <c r="T34" s="196"/>
      <c r="U34" s="196"/>
      <c r="V34" s="196"/>
      <c r="W34" s="196"/>
      <c r="X34" s="196"/>
      <c r="Y34" s="196"/>
      <c r="Z34" s="196"/>
      <c r="AA34" s="196"/>
      <c r="AB34" s="197"/>
      <c r="AC34" s="197"/>
      <c r="AD34" s="197"/>
      <c r="AE34" s="197"/>
      <c r="AF34" s="197"/>
      <c r="AG34" s="197"/>
      <c r="AH34" s="197"/>
      <c r="AI34" s="197"/>
      <c r="AJ34" s="197"/>
      <c r="AK34" s="197"/>
      <c r="AL34" s="197"/>
      <c r="AM34" s="198" t="str">
        <f aca="false">IF($A33="","",IF(OR($N33="Yes",$S33="Yes",$X33="Yes",$AC33="Yes",$AH33="Yes"),"Yes","No"))</f>
        <v>No</v>
      </c>
      <c r="AN34" s="198" t="str">
        <f aca="false">IF($A33="","",IFERROR(IF($AI33&lt;&gt;"",$AI33,IF($AD33&lt;&gt;"",$AD33,IF($Y33&lt;&gt;"",$Y33,IF($T33&lt;&gt;"",$T33,IF($O33&lt;&gt;"",$O33,""))))),""))</f>
        <v/>
      </c>
      <c r="AO34" s="198" t="str">
        <f aca="false">IFERROR(IF($AJ33&lt;&gt;"",$AJ33,IF($AE33&lt;&gt;"",$AE33,IF($Z33&lt;&gt;"",$Z33,IF($U33&lt;&gt;"",$U33,IF($P33&lt;&gt;"",$P33,""))))),"")</f>
        <v/>
      </c>
      <c r="AP34" s="199" t="s">
        <v>1615</v>
      </c>
    </row>
    <row r="35" customFormat="false" ht="60" hidden="false" customHeight="true" outlineLevel="0" collapsed="false">
      <c r="A35" s="194" t="str">
        <f aca="false">IF(C35="","",$C$2&amp;"."&amp;COUNTA($C$8:C35)&amp;"")</f>
        <v>TC_05.24</v>
      </c>
      <c r="B35" s="194" t="s">
        <v>517</v>
      </c>
      <c r="C35" s="194" t="s">
        <v>1573</v>
      </c>
      <c r="D35" s="194" t="s">
        <v>42</v>
      </c>
      <c r="E35" s="194" t="s">
        <v>158</v>
      </c>
      <c r="F35" s="195" t="s">
        <v>1616</v>
      </c>
      <c r="G35" s="195" t="s">
        <v>1617</v>
      </c>
      <c r="H35" s="195" t="s">
        <v>1613</v>
      </c>
      <c r="I35" s="195" t="s">
        <v>1618</v>
      </c>
      <c r="J35" s="194" t="s">
        <v>637</v>
      </c>
      <c r="K35" s="194" t="s">
        <v>241</v>
      </c>
      <c r="L35" s="194" t="s">
        <v>638</v>
      </c>
      <c r="M35" s="194"/>
      <c r="N35" s="196"/>
      <c r="O35" s="196"/>
      <c r="P35" s="196"/>
      <c r="Q35" s="196"/>
      <c r="R35" s="196"/>
      <c r="S35" s="196"/>
      <c r="T35" s="196"/>
      <c r="U35" s="196"/>
      <c r="V35" s="196"/>
      <c r="W35" s="196"/>
      <c r="X35" s="196"/>
      <c r="Y35" s="196"/>
      <c r="Z35" s="196"/>
      <c r="AA35" s="196"/>
      <c r="AB35" s="197"/>
      <c r="AC35" s="197"/>
      <c r="AD35" s="197"/>
      <c r="AE35" s="197"/>
      <c r="AF35" s="197"/>
      <c r="AG35" s="197"/>
      <c r="AH35" s="197"/>
      <c r="AI35" s="197"/>
      <c r="AJ35" s="197"/>
      <c r="AK35" s="197"/>
      <c r="AL35" s="197"/>
      <c r="AM35" s="198" t="str">
        <f aca="false">IF($A34="","",IF(OR($N34="Yes",$S34="Yes",$X34="Yes",$AC34="Yes",$AH34="Yes"),"Yes","No"))</f>
        <v>No</v>
      </c>
      <c r="AN35" s="198" t="str">
        <f aca="false">IF($A34="","",IFERROR(IF($AI34&lt;&gt;"",$AI34,IF($AD34&lt;&gt;"",$AD34,IF($Y34&lt;&gt;"",$Y34,IF($T34&lt;&gt;"",$T34,IF($O34&lt;&gt;"",$O34,""))))),""))</f>
        <v/>
      </c>
      <c r="AO35" s="198" t="str">
        <f aca="false">IFERROR(IF($AJ34&lt;&gt;"",$AJ34,IF($AE34&lt;&gt;"",$AE34,IF($Z34&lt;&gt;"",$Z34,IF($U34&lt;&gt;"",$U34,IF($P34&lt;&gt;"",$P34,""))))),"")</f>
        <v/>
      </c>
      <c r="AP35" s="199" t="s">
        <v>1619</v>
      </c>
    </row>
    <row r="36" customFormat="false" ht="60" hidden="false" customHeight="true" outlineLevel="0" collapsed="false">
      <c r="A36" s="194" t="str">
        <f aca="false">IF(C36="","",$C$2&amp;"."&amp;COUNTA($C$8:C36)&amp;"")</f>
        <v>TC_05.25</v>
      </c>
      <c r="B36" s="194" t="s">
        <v>517</v>
      </c>
      <c r="C36" s="194" t="s">
        <v>1573</v>
      </c>
      <c r="D36" s="194" t="s">
        <v>40</v>
      </c>
      <c r="E36" s="194" t="s">
        <v>156</v>
      </c>
      <c r="F36" s="195" t="s">
        <v>1620</v>
      </c>
      <c r="G36" s="195" t="s">
        <v>1621</v>
      </c>
      <c r="H36" s="195" t="s">
        <v>1622</v>
      </c>
      <c r="I36" s="195" t="s">
        <v>1623</v>
      </c>
      <c r="J36" s="194" t="s">
        <v>637</v>
      </c>
      <c r="K36" s="194" t="s">
        <v>241</v>
      </c>
      <c r="L36" s="194" t="s">
        <v>638</v>
      </c>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t="str">
        <f aca="false">IF($A35="","",IF(OR($N35="Yes",$S35="Yes",$X35="Yes",$AC35="Yes",$AH35="Yes"),"Yes","No"))</f>
        <v>No</v>
      </c>
      <c r="AN36" s="198" t="str">
        <f aca="false">IF($A35="","",IFERROR(IF($AI35&lt;&gt;"",$AI35,IF($AD35&lt;&gt;"",$AD35,IF($Y35&lt;&gt;"",$Y35,IF($T35&lt;&gt;"",$T35,IF($O35&lt;&gt;"",$O35,""))))),""))</f>
        <v/>
      </c>
      <c r="AO36" s="198" t="str">
        <f aca="false">IFERROR(IF($AJ35&lt;&gt;"",$AJ35,IF($AE35&lt;&gt;"",$AE35,IF($Z35&lt;&gt;"",$Z35,IF($U35&lt;&gt;"",$U35,IF($P35&lt;&gt;"",$P35,""))))),"")</f>
        <v/>
      </c>
      <c r="AP36" s="199"/>
    </row>
    <row r="37" customFormat="false" ht="19.5" hidden="false" customHeight="true" outlineLevel="0" collapsed="false">
      <c r="A37" s="194"/>
      <c r="B37" s="200" t="s">
        <v>1624</v>
      </c>
      <c r="C37" s="200"/>
      <c r="D37" s="200"/>
      <c r="E37" s="200"/>
      <c r="F37" s="200"/>
      <c r="G37" s="200"/>
      <c r="H37" s="200"/>
      <c r="I37" s="200"/>
      <c r="J37" s="194"/>
      <c r="K37" s="194"/>
      <c r="L37" s="194"/>
      <c r="M37" s="194"/>
      <c r="N37" s="196"/>
      <c r="O37" s="196"/>
      <c r="P37" s="196"/>
      <c r="Q37" s="196"/>
      <c r="R37" s="196"/>
      <c r="S37" s="196"/>
      <c r="T37" s="196"/>
      <c r="U37" s="196"/>
      <c r="V37" s="196"/>
      <c r="W37" s="196"/>
      <c r="X37" s="196"/>
      <c r="Y37" s="196"/>
      <c r="Z37" s="196"/>
      <c r="AA37" s="196"/>
      <c r="AB37" s="197"/>
      <c r="AC37" s="197"/>
      <c r="AD37" s="197"/>
      <c r="AE37" s="197"/>
      <c r="AF37" s="197"/>
      <c r="AG37" s="197"/>
      <c r="AH37" s="197"/>
      <c r="AI37" s="197"/>
      <c r="AJ37" s="197"/>
      <c r="AK37" s="197"/>
      <c r="AL37" s="197"/>
      <c r="AM37" s="198"/>
      <c r="AN37" s="198"/>
      <c r="AO37" s="198"/>
      <c r="AP37" s="199"/>
    </row>
    <row r="38" customFormat="false" ht="60" hidden="false" customHeight="true" outlineLevel="0" collapsed="false">
      <c r="A38" s="194" t="str">
        <f aca="false">IF(C38="","",$C$2&amp;"."&amp;COUNTA($C$8:C38)&amp;"")</f>
        <v>TC_05.26</v>
      </c>
      <c r="B38" s="194" t="s">
        <v>550</v>
      </c>
      <c r="C38" s="194" t="s">
        <v>1625</v>
      </c>
      <c r="D38" s="194" t="s">
        <v>42</v>
      </c>
      <c r="E38" s="194" t="s">
        <v>157</v>
      </c>
      <c r="F38" s="195" t="s">
        <v>1626</v>
      </c>
      <c r="G38" s="195" t="s">
        <v>1627</v>
      </c>
      <c r="H38" s="195" t="s">
        <v>1628</v>
      </c>
      <c r="I38" s="195" t="s">
        <v>1629</v>
      </c>
      <c r="J38" s="194" t="s">
        <v>637</v>
      </c>
      <c r="K38" s="194" t="s">
        <v>241</v>
      </c>
      <c r="L38" s="194" t="s">
        <v>638</v>
      </c>
      <c r="M38" s="194"/>
      <c r="N38" s="196"/>
      <c r="O38" s="196"/>
      <c r="P38" s="196"/>
      <c r="Q38" s="196"/>
      <c r="R38" s="196"/>
      <c r="S38" s="196"/>
      <c r="T38" s="196"/>
      <c r="U38" s="196"/>
      <c r="V38" s="196"/>
      <c r="W38" s="196"/>
      <c r="X38" s="196"/>
      <c r="Y38" s="196"/>
      <c r="Z38" s="196"/>
      <c r="AA38" s="196"/>
      <c r="AB38" s="197"/>
      <c r="AC38" s="197"/>
      <c r="AD38" s="197"/>
      <c r="AE38" s="197"/>
      <c r="AF38" s="197"/>
      <c r="AG38" s="197"/>
      <c r="AH38" s="197"/>
      <c r="AI38" s="197"/>
      <c r="AJ38" s="197"/>
      <c r="AK38" s="197"/>
      <c r="AL38" s="197"/>
      <c r="AM38" s="198" t="str">
        <f aca="false">IF($A37="","",IF(OR($N37="Yes",$S37="Yes",$X37="Yes",$AC37="Yes",$AH37="Yes"),"Yes","No"))</f>
        <v/>
      </c>
      <c r="AN38" s="198" t="str">
        <f aca="false">IF($A37="","",IFERROR(IF($AI37&lt;&gt;"",$AI37,IF($AD37&lt;&gt;"",$AD37,IF($Y37&lt;&gt;"",$Y37,IF($T37&lt;&gt;"",$T37,IF($O37&lt;&gt;"",$O37,""))))),""))</f>
        <v/>
      </c>
      <c r="AO38" s="198" t="str">
        <f aca="false">IFERROR(IF($AJ37&lt;&gt;"",$AJ37,IF($AE37&lt;&gt;"",$AE37,IF($Z37&lt;&gt;"",$Z37,IF($U37&lt;&gt;"",$U37,IF($P37&lt;&gt;"",$P37,""))))),"")</f>
        <v/>
      </c>
      <c r="AP38" s="199" t="s">
        <v>1630</v>
      </c>
    </row>
    <row r="39" customFormat="false" ht="60" hidden="false" customHeight="true" outlineLevel="0" collapsed="false">
      <c r="A39" s="194" t="str">
        <f aca="false">IF(C39="","",$C$2&amp;"."&amp;COUNTA($C$8:C39)&amp;"")</f>
        <v>TC_05.27</v>
      </c>
      <c r="B39" s="194" t="s">
        <v>550</v>
      </c>
      <c r="C39" s="194" t="s">
        <v>1625</v>
      </c>
      <c r="D39" s="194" t="s">
        <v>40</v>
      </c>
      <c r="E39" s="194" t="s">
        <v>157</v>
      </c>
      <c r="F39" s="195" t="s">
        <v>1631</v>
      </c>
      <c r="G39" s="195" t="s">
        <v>1632</v>
      </c>
      <c r="H39" s="195" t="s">
        <v>1633</v>
      </c>
      <c r="I39" s="195" t="s">
        <v>1634</v>
      </c>
      <c r="J39" s="194" t="s">
        <v>637</v>
      </c>
      <c r="K39" s="194" t="s">
        <v>241</v>
      </c>
      <c r="L39" s="194" t="s">
        <v>638</v>
      </c>
      <c r="M39" s="194"/>
      <c r="N39" s="196"/>
      <c r="O39" s="196"/>
      <c r="P39" s="196"/>
      <c r="Q39" s="196"/>
      <c r="R39" s="196"/>
      <c r="S39" s="196"/>
      <c r="T39" s="196"/>
      <c r="U39" s="196"/>
      <c r="V39" s="196"/>
      <c r="W39" s="196"/>
      <c r="X39" s="196"/>
      <c r="Y39" s="196"/>
      <c r="Z39" s="196"/>
      <c r="AA39" s="196"/>
      <c r="AB39" s="197"/>
      <c r="AC39" s="197"/>
      <c r="AD39" s="197"/>
      <c r="AE39" s="197"/>
      <c r="AF39" s="197"/>
      <c r="AG39" s="197"/>
      <c r="AH39" s="197"/>
      <c r="AI39" s="197"/>
      <c r="AJ39" s="197"/>
      <c r="AK39" s="197"/>
      <c r="AL39" s="197"/>
      <c r="AM39" s="198" t="str">
        <f aca="false">IF($A38="","",IF(OR($N38="Yes",$S38="Yes",$X38="Yes",$AC38="Yes",$AH38="Yes"),"Yes","No"))</f>
        <v>No</v>
      </c>
      <c r="AN39" s="198" t="str">
        <f aca="false">IF($A38="","",IFERROR(IF($AI38&lt;&gt;"",$AI38,IF($AD38&lt;&gt;"",$AD38,IF($Y38&lt;&gt;"",$Y38,IF($T38&lt;&gt;"",$T38,IF($O38&lt;&gt;"",$O38,""))))),""))</f>
        <v/>
      </c>
      <c r="AO39" s="198" t="str">
        <f aca="false">IFERROR(IF($AJ38&lt;&gt;"",$AJ38,IF($AE38&lt;&gt;"",$AE38,IF($Z38&lt;&gt;"",$Z38,IF($U38&lt;&gt;"",$U38,IF($P38&lt;&gt;"",$P38,""))))),"")</f>
        <v/>
      </c>
      <c r="AP39" s="199"/>
    </row>
    <row r="40" customFormat="false" ht="60" hidden="false" customHeight="true" outlineLevel="0" collapsed="false">
      <c r="A40" s="194" t="str">
        <f aca="false">IF(C40="","",$C$2&amp;"."&amp;COUNTA($C$8:C40)&amp;"")</f>
        <v>TC_05.28</v>
      </c>
      <c r="B40" s="194" t="s">
        <v>550</v>
      </c>
      <c r="C40" s="194" t="s">
        <v>1625</v>
      </c>
      <c r="D40" s="194" t="s">
        <v>40</v>
      </c>
      <c r="E40" s="194" t="s">
        <v>158</v>
      </c>
      <c r="F40" s="195" t="s">
        <v>1635</v>
      </c>
      <c r="G40" s="195" t="s">
        <v>1636</v>
      </c>
      <c r="H40" s="195" t="s">
        <v>1637</v>
      </c>
      <c r="I40" s="195" t="s">
        <v>1638</v>
      </c>
      <c r="J40" s="194" t="s">
        <v>637</v>
      </c>
      <c r="K40" s="194" t="s">
        <v>241</v>
      </c>
      <c r="L40" s="194" t="s">
        <v>638</v>
      </c>
      <c r="M40" s="194"/>
      <c r="N40" s="196"/>
      <c r="O40" s="196"/>
      <c r="P40" s="196"/>
      <c r="Q40" s="196"/>
      <c r="R40" s="196"/>
      <c r="S40" s="196"/>
      <c r="T40" s="196"/>
      <c r="U40" s="196"/>
      <c r="V40" s="196"/>
      <c r="W40" s="196"/>
      <c r="X40" s="196"/>
      <c r="Y40" s="196"/>
      <c r="Z40" s="196"/>
      <c r="AA40" s="196"/>
      <c r="AB40" s="197"/>
      <c r="AC40" s="197"/>
      <c r="AD40" s="197"/>
      <c r="AE40" s="197"/>
      <c r="AF40" s="197"/>
      <c r="AG40" s="197"/>
      <c r="AH40" s="197"/>
      <c r="AI40" s="197"/>
      <c r="AJ40" s="197"/>
      <c r="AK40" s="197"/>
      <c r="AL40" s="197"/>
      <c r="AM40" s="198" t="str">
        <f aca="false">IF($A39="","",IF(OR($N39="Yes",$S39="Yes",$X39="Yes",$AC39="Yes",$AH39="Yes"),"Yes","No"))</f>
        <v>No</v>
      </c>
      <c r="AN40" s="198" t="str">
        <f aca="false">IF($A39="","",IFERROR(IF($AI39&lt;&gt;"",$AI39,IF($AD39&lt;&gt;"",$AD39,IF($Y39&lt;&gt;"",$Y39,IF($T39&lt;&gt;"",$T39,IF($O39&lt;&gt;"",$O39,""))))),""))</f>
        <v/>
      </c>
      <c r="AO40" s="198" t="str">
        <f aca="false">IFERROR(IF($AJ39&lt;&gt;"",$AJ39,IF($AE39&lt;&gt;"",$AE39,IF($Z39&lt;&gt;"",$Z39,IF($U39&lt;&gt;"",$U39,IF($P39&lt;&gt;"",$P39,""))))),"")</f>
        <v/>
      </c>
      <c r="AP40" s="199" t="s">
        <v>1639</v>
      </c>
    </row>
    <row r="41" customFormat="false" ht="60" hidden="false" customHeight="true" outlineLevel="0" collapsed="false">
      <c r="A41" s="194" t="str">
        <f aca="false">IF(C41="","",$C$2&amp;"."&amp;COUNTA($C$8:C41)&amp;"")</f>
        <v>TC_05.29</v>
      </c>
      <c r="B41" s="194" t="s">
        <v>550</v>
      </c>
      <c r="C41" s="194" t="s">
        <v>1625</v>
      </c>
      <c r="D41" s="194" t="s">
        <v>40</v>
      </c>
      <c r="E41" s="194" t="s">
        <v>158</v>
      </c>
      <c r="F41" s="195" t="s">
        <v>1640</v>
      </c>
      <c r="G41" s="195" t="s">
        <v>1641</v>
      </c>
      <c r="H41" s="195" t="s">
        <v>1637</v>
      </c>
      <c r="I41" s="195" t="s">
        <v>1642</v>
      </c>
      <c r="J41" s="194" t="s">
        <v>637</v>
      </c>
      <c r="K41" s="194" t="s">
        <v>241</v>
      </c>
      <c r="L41" s="194" t="s">
        <v>638</v>
      </c>
      <c r="M41" s="194"/>
      <c r="N41" s="196"/>
      <c r="O41" s="196"/>
      <c r="P41" s="196"/>
      <c r="Q41" s="196"/>
      <c r="R41" s="196"/>
      <c r="S41" s="196"/>
      <c r="T41" s="196"/>
      <c r="U41" s="196"/>
      <c r="V41" s="196"/>
      <c r="W41" s="196"/>
      <c r="X41" s="196"/>
      <c r="Y41" s="196"/>
      <c r="Z41" s="196"/>
      <c r="AA41" s="196"/>
      <c r="AB41" s="197"/>
      <c r="AC41" s="197"/>
      <c r="AD41" s="197"/>
      <c r="AE41" s="197"/>
      <c r="AF41" s="197"/>
      <c r="AG41" s="197"/>
      <c r="AH41" s="197"/>
      <c r="AI41" s="197"/>
      <c r="AJ41" s="197"/>
      <c r="AK41" s="197"/>
      <c r="AL41" s="197"/>
      <c r="AM41" s="198" t="str">
        <f aca="false">IF($A40="","",IF(OR($N40="Yes",$S40="Yes",$X40="Yes",$AC40="Yes",$AH40="Yes"),"Yes","No"))</f>
        <v>No</v>
      </c>
      <c r="AN41" s="198" t="str">
        <f aca="false">IF($A40="","",IFERROR(IF($AI40&lt;&gt;"",$AI40,IF($AD40&lt;&gt;"",$AD40,IF($Y40&lt;&gt;"",$Y40,IF($T40&lt;&gt;"",$T40,IF($O40&lt;&gt;"",$O40,""))))),""))</f>
        <v/>
      </c>
      <c r="AO41" s="198" t="str">
        <f aca="false">IFERROR(IF($AJ40&lt;&gt;"",$AJ40,IF($AE40&lt;&gt;"",$AE40,IF($Z40&lt;&gt;"",$Z40,IF($U40&lt;&gt;"",$U40,IF($P40&lt;&gt;"",$P40,""))))),"")</f>
        <v/>
      </c>
      <c r="AP41" s="199" t="s">
        <v>1643</v>
      </c>
    </row>
    <row r="42" customFormat="false" ht="60" hidden="false" customHeight="true" outlineLevel="0" collapsed="false">
      <c r="A42" s="194" t="str">
        <f aca="false">IF(C42="","",$C$2&amp;"."&amp;COUNTA($C$8:C42)&amp;"")</f>
        <v>TC_05.30</v>
      </c>
      <c r="B42" s="194" t="s">
        <v>550</v>
      </c>
      <c r="C42" s="194" t="s">
        <v>1625</v>
      </c>
      <c r="D42" s="194" t="s">
        <v>40</v>
      </c>
      <c r="E42" s="194" t="s">
        <v>157</v>
      </c>
      <c r="F42" s="195" t="s">
        <v>1644</v>
      </c>
      <c r="G42" s="195" t="s">
        <v>1645</v>
      </c>
      <c r="H42" s="195" t="s">
        <v>1637</v>
      </c>
      <c r="I42" s="195" t="s">
        <v>1646</v>
      </c>
      <c r="J42" s="194" t="s">
        <v>637</v>
      </c>
      <c r="K42" s="194" t="s">
        <v>241</v>
      </c>
      <c r="L42" s="194" t="s">
        <v>638</v>
      </c>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t="str">
        <f aca="false">IF($A41="","",IF(OR($N41="Yes",$S41="Yes",$X41="Yes",$AC41="Yes",$AH41="Yes"),"Yes","No"))</f>
        <v>No</v>
      </c>
      <c r="AN42" s="198" t="str">
        <f aca="false">IF($A41="","",IFERROR(IF($AI41&lt;&gt;"",$AI41,IF($AD41&lt;&gt;"",$AD41,IF($Y41&lt;&gt;"",$Y41,IF($T41&lt;&gt;"",$T41,IF($O41&lt;&gt;"",$O41,""))))),""))</f>
        <v/>
      </c>
      <c r="AO42" s="198" t="str">
        <f aca="false">IFERROR(IF($AJ41&lt;&gt;"",$AJ41,IF($AE41&lt;&gt;"",$AE41,IF($Z41&lt;&gt;"",$Z41,IF($U41&lt;&gt;"",$U41,IF($P41&lt;&gt;"",$P41,""))))),"")</f>
        <v/>
      </c>
      <c r="AP42" s="199" t="s">
        <v>1647</v>
      </c>
    </row>
    <row r="43" customFormat="false" ht="60" hidden="false" customHeight="true" outlineLevel="0" collapsed="false">
      <c r="A43" s="194" t="str">
        <f aca="false">IF(C43="","",$C$2&amp;"."&amp;COUNTA($C$8:C43)&amp;"")</f>
        <v>TC_05.31</v>
      </c>
      <c r="B43" s="194" t="s">
        <v>570</v>
      </c>
      <c r="C43" s="194" t="s">
        <v>1648</v>
      </c>
      <c r="D43" s="194" t="s">
        <v>40</v>
      </c>
      <c r="E43" s="194" t="s">
        <v>157</v>
      </c>
      <c r="F43" s="195" t="s">
        <v>1649</v>
      </c>
      <c r="G43" s="195" t="s">
        <v>1650</v>
      </c>
      <c r="H43" s="195" t="s">
        <v>1651</v>
      </c>
      <c r="I43" s="195" t="s">
        <v>1652</v>
      </c>
      <c r="J43" s="194" t="s">
        <v>637</v>
      </c>
      <c r="K43" s="194" t="s">
        <v>241</v>
      </c>
      <c r="L43" s="194" t="s">
        <v>638</v>
      </c>
      <c r="M43" s="194"/>
      <c r="N43" s="196"/>
      <c r="O43" s="196"/>
      <c r="P43" s="196"/>
      <c r="Q43" s="196"/>
      <c r="R43" s="196"/>
      <c r="S43" s="196"/>
      <c r="T43" s="196"/>
      <c r="U43" s="196"/>
      <c r="V43" s="196"/>
      <c r="W43" s="196"/>
      <c r="X43" s="196"/>
      <c r="Y43" s="196"/>
      <c r="Z43" s="196"/>
      <c r="AA43" s="196"/>
      <c r="AB43" s="197"/>
      <c r="AC43" s="197"/>
      <c r="AD43" s="197"/>
      <c r="AE43" s="197"/>
      <c r="AF43" s="197"/>
      <c r="AG43" s="197"/>
      <c r="AH43" s="197"/>
      <c r="AI43" s="197"/>
      <c r="AJ43" s="197"/>
      <c r="AK43" s="197"/>
      <c r="AL43" s="197"/>
      <c r="AM43" s="198" t="str">
        <f aca="false">IF($A42="","",IF(OR($N42="Yes",$S42="Yes",$X42="Yes",$AC42="Yes",$AH42="Yes"),"Yes","No"))</f>
        <v>No</v>
      </c>
      <c r="AN43" s="198" t="str">
        <f aca="false">IF($A42="","",IFERROR(IF($AI42&lt;&gt;"",$AI42,IF($AD42&lt;&gt;"",$AD42,IF($Y42&lt;&gt;"",$Y42,IF($T42&lt;&gt;"",$T42,IF($O42&lt;&gt;"",$O42,""))))),""))</f>
        <v/>
      </c>
      <c r="AO43" s="198" t="str">
        <f aca="false">IFERROR(IF($AJ42&lt;&gt;"",$AJ42,IF($AE42&lt;&gt;"",$AE42,IF($Z42&lt;&gt;"",$Z42,IF($U42&lt;&gt;"",$U42,IF($P42&lt;&gt;"",$P42,""))))),"")</f>
        <v/>
      </c>
      <c r="AP43" s="199" t="s">
        <v>1653</v>
      </c>
    </row>
    <row r="44" customFormat="false" ht="60" hidden="false" customHeight="true" outlineLevel="0" collapsed="false">
      <c r="A44" s="194" t="str">
        <f aca="false">IF(C44="","",$C$2&amp;"."&amp;COUNTA($C$8:C44)&amp;"")</f>
        <v>TC_05.32</v>
      </c>
      <c r="B44" s="194" t="s">
        <v>570</v>
      </c>
      <c r="C44" s="194" t="s">
        <v>1648</v>
      </c>
      <c r="D44" s="194" t="s">
        <v>40</v>
      </c>
      <c r="E44" s="194" t="s">
        <v>157</v>
      </c>
      <c r="F44" s="195" t="s">
        <v>1654</v>
      </c>
      <c r="G44" s="195" t="s">
        <v>1655</v>
      </c>
      <c r="H44" s="195" t="s">
        <v>1656</v>
      </c>
      <c r="I44" s="195" t="s">
        <v>1657</v>
      </c>
      <c r="J44" s="194" t="s">
        <v>637</v>
      </c>
      <c r="K44" s="194" t="s">
        <v>241</v>
      </c>
      <c r="L44" s="194" t="s">
        <v>638</v>
      </c>
      <c r="M44" s="194"/>
      <c r="N44" s="196"/>
      <c r="O44" s="196"/>
      <c r="P44" s="196"/>
      <c r="Q44" s="196"/>
      <c r="R44" s="196"/>
      <c r="S44" s="196"/>
      <c r="T44" s="196"/>
      <c r="U44" s="196"/>
      <c r="V44" s="196"/>
      <c r="W44" s="196"/>
      <c r="X44" s="196"/>
      <c r="Y44" s="196"/>
      <c r="Z44" s="196"/>
      <c r="AA44" s="196"/>
      <c r="AB44" s="197"/>
      <c r="AC44" s="197"/>
      <c r="AD44" s="197"/>
      <c r="AE44" s="197"/>
      <c r="AF44" s="197"/>
      <c r="AG44" s="197"/>
      <c r="AH44" s="197"/>
      <c r="AI44" s="197"/>
      <c r="AJ44" s="197"/>
      <c r="AK44" s="197"/>
      <c r="AL44" s="197"/>
      <c r="AM44" s="198" t="str">
        <f aca="false">IF($A43="","",IF(OR($N43="Yes",$S43="Yes",$X43="Yes",$AC43="Yes",$AH43="Yes"),"Yes","No"))</f>
        <v>No</v>
      </c>
      <c r="AN44" s="198" t="str">
        <f aca="false">IF($A43="","",IFERROR(IF($AI43&lt;&gt;"",$AI43,IF($AD43&lt;&gt;"",$AD43,IF($Y43&lt;&gt;"",$Y43,IF($T43&lt;&gt;"",$T43,IF($O43&lt;&gt;"",$O43,""))))),""))</f>
        <v/>
      </c>
      <c r="AO44" s="198" t="str">
        <f aca="false">IFERROR(IF($AJ43&lt;&gt;"",$AJ43,IF($AE43&lt;&gt;"",$AE43,IF($Z43&lt;&gt;"",$Z43,IF($U43&lt;&gt;"",$U43,IF($P43&lt;&gt;"",$P43,""))))),"")</f>
        <v/>
      </c>
      <c r="AP44" s="199" t="s">
        <v>1658</v>
      </c>
    </row>
    <row r="45" customFormat="false" ht="60" hidden="false" customHeight="true" outlineLevel="0" collapsed="false">
      <c r="A45" s="194" t="str">
        <f aca="false">IF(C45="","",$C$2&amp;"."&amp;COUNTA($C$8:C45)&amp;"")</f>
        <v>TC_05.33</v>
      </c>
      <c r="B45" s="194" t="s">
        <v>550</v>
      </c>
      <c r="C45" s="194" t="s">
        <v>1625</v>
      </c>
      <c r="D45" s="194" t="s">
        <v>42</v>
      </c>
      <c r="E45" s="194" t="s">
        <v>157</v>
      </c>
      <c r="F45" s="195" t="s">
        <v>1659</v>
      </c>
      <c r="G45" s="195" t="s">
        <v>1660</v>
      </c>
      <c r="H45" s="195" t="s">
        <v>1661</v>
      </c>
      <c r="I45" s="195" t="s">
        <v>1662</v>
      </c>
      <c r="J45" s="194" t="s">
        <v>637</v>
      </c>
      <c r="K45" s="194" t="s">
        <v>241</v>
      </c>
      <c r="L45" s="194" t="s">
        <v>638</v>
      </c>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t="str">
        <f aca="false">IF($A44="","",IF(OR($N44="Yes",$S44="Yes",$X44="Yes",$AC44="Yes",$AH44="Yes"),"Yes","No"))</f>
        <v>No</v>
      </c>
      <c r="AN45" s="198" t="str">
        <f aca="false">IF($A44="","",IFERROR(IF($AI44&lt;&gt;"",$AI44,IF($AD44&lt;&gt;"",$AD44,IF($Y44&lt;&gt;"",$Y44,IF($T44&lt;&gt;"",$T44,IF($O44&lt;&gt;"",$O44,""))))),""))</f>
        <v/>
      </c>
      <c r="AO45" s="198" t="str">
        <f aca="false">IFERROR(IF($AJ44&lt;&gt;"",$AJ44,IF($AE44&lt;&gt;"",$AE44,IF($Z44&lt;&gt;"",$Z44,IF($U44&lt;&gt;"",$U44,IF($P44&lt;&gt;"",$P44,""))))),"")</f>
        <v/>
      </c>
      <c r="AP45" s="199" t="s">
        <v>1663</v>
      </c>
    </row>
    <row r="46" customFormat="false" ht="60" hidden="false" customHeight="true" outlineLevel="0" collapsed="false">
      <c r="A46" s="194" t="str">
        <f aca="false">IF(C46="","",$C$2&amp;"."&amp;COUNTA($C$8:C46)&amp;"")</f>
        <v>TC_05.34</v>
      </c>
      <c r="B46" s="194" t="s">
        <v>550</v>
      </c>
      <c r="C46" s="194" t="s">
        <v>724</v>
      </c>
      <c r="D46" s="194" t="s">
        <v>42</v>
      </c>
      <c r="E46" s="194" t="s">
        <v>158</v>
      </c>
      <c r="F46" s="195" t="s">
        <v>1664</v>
      </c>
      <c r="G46" s="195" t="s">
        <v>1665</v>
      </c>
      <c r="H46" s="195" t="s">
        <v>1628</v>
      </c>
      <c r="I46" s="195" t="s">
        <v>1666</v>
      </c>
      <c r="J46" s="194" t="s">
        <v>637</v>
      </c>
      <c r="K46" s="194" t="s">
        <v>241</v>
      </c>
      <c r="L46" s="194" t="s">
        <v>638</v>
      </c>
      <c r="M46" s="194"/>
      <c r="N46" s="196"/>
      <c r="O46" s="196"/>
      <c r="P46" s="196"/>
      <c r="Q46" s="196"/>
      <c r="R46" s="196"/>
      <c r="S46" s="196"/>
      <c r="T46" s="196"/>
      <c r="U46" s="196"/>
      <c r="V46" s="196"/>
      <c r="W46" s="196"/>
      <c r="X46" s="196"/>
      <c r="Y46" s="196"/>
      <c r="Z46" s="196"/>
      <c r="AA46" s="196"/>
      <c r="AB46" s="197"/>
      <c r="AC46" s="197"/>
      <c r="AD46" s="197"/>
      <c r="AE46" s="197"/>
      <c r="AF46" s="197"/>
      <c r="AG46" s="197"/>
      <c r="AH46" s="197"/>
      <c r="AI46" s="197"/>
      <c r="AJ46" s="197"/>
      <c r="AK46" s="197"/>
      <c r="AL46" s="197"/>
      <c r="AM46" s="198" t="str">
        <f aca="false">IF($A46="","",IF(OR($N46="Yes",$S46="Yes",$X46="Yes",$AC46="Yes",$AH46="Yes"),"Yes","No"))</f>
        <v>No</v>
      </c>
      <c r="AN46" s="198" t="str">
        <f aca="false">IF($A46="","",IFERROR(IF($AI46&lt;&gt;"",$AI46,IF($AD46&lt;&gt;"",$AD46,IF($Y46&lt;&gt;"",$Y46,IF($T46&lt;&gt;"",$T46,IF($O46&lt;&gt;"",$O46,""))))),""))</f>
        <v/>
      </c>
      <c r="AO46" s="198" t="str">
        <f aca="false">IFERROR(IF($AJ46&lt;&gt;"",$AJ46,IF($AE46&lt;&gt;"",$AE46,IF($Z46&lt;&gt;"",$Z46,IF($U46&lt;&gt;"",$U46,IF($P46&lt;&gt;"",$P46,""))))),"")</f>
        <v/>
      </c>
      <c r="AP46" s="199" t="s">
        <v>1667</v>
      </c>
    </row>
    <row r="47" customFormat="false" ht="15" hidden="false" customHeight="true" outlineLevel="0" collapsed="false">
      <c r="A47" s="194"/>
      <c r="B47" s="194"/>
      <c r="C47" s="194"/>
      <c r="D47" s="194"/>
      <c r="E47" s="194"/>
      <c r="F47" s="195"/>
      <c r="G47" s="195"/>
      <c r="H47" s="195"/>
      <c r="I47" s="195"/>
      <c r="J47" s="194"/>
      <c r="K47" s="194"/>
      <c r="L47" s="194"/>
      <c r="M47" s="194"/>
      <c r="N47" s="196"/>
      <c r="O47" s="196"/>
      <c r="P47" s="196"/>
      <c r="Q47" s="196"/>
      <c r="R47" s="196"/>
      <c r="S47" s="196"/>
      <c r="T47" s="196"/>
      <c r="U47" s="196"/>
      <c r="V47" s="196"/>
      <c r="W47" s="196"/>
      <c r="X47" s="196"/>
      <c r="Y47" s="196"/>
      <c r="Z47" s="196"/>
      <c r="AA47" s="196"/>
      <c r="AB47" s="197"/>
      <c r="AC47" s="197"/>
      <c r="AD47" s="197"/>
      <c r="AE47" s="197"/>
      <c r="AF47" s="197"/>
      <c r="AG47" s="197"/>
      <c r="AH47" s="197"/>
      <c r="AI47" s="197"/>
      <c r="AJ47" s="197"/>
      <c r="AK47" s="197"/>
      <c r="AL47" s="197"/>
      <c r="AM47" s="198"/>
      <c r="AN47" s="198"/>
      <c r="AO47" s="198"/>
      <c r="AP47" s="199"/>
    </row>
    <row r="48" customFormat="false" ht="15" hidden="false" customHeight="true" outlineLevel="0" collapsed="false">
      <c r="A48" s="194"/>
      <c r="B48" s="194"/>
      <c r="C48" s="194"/>
      <c r="D48" s="194"/>
      <c r="E48" s="194"/>
      <c r="F48" s="195"/>
      <c r="G48" s="195"/>
      <c r="H48" s="195"/>
      <c r="I48" s="195"/>
      <c r="J48" s="194"/>
      <c r="K48" s="194"/>
      <c r="L48" s="194"/>
      <c r="M48" s="194"/>
      <c r="N48" s="196"/>
      <c r="O48" s="196"/>
      <c r="P48" s="196"/>
      <c r="Q48" s="196"/>
      <c r="R48" s="196"/>
      <c r="S48" s="196"/>
      <c r="T48" s="196"/>
      <c r="U48" s="196"/>
      <c r="V48" s="196"/>
      <c r="W48" s="196"/>
      <c r="X48" s="196"/>
      <c r="Y48" s="196"/>
      <c r="Z48" s="196"/>
      <c r="AA48" s="196"/>
      <c r="AB48" s="197"/>
      <c r="AC48" s="197"/>
      <c r="AD48" s="197"/>
      <c r="AE48" s="197"/>
      <c r="AF48" s="197"/>
      <c r="AG48" s="197"/>
      <c r="AH48" s="197"/>
      <c r="AI48" s="197"/>
      <c r="AJ48" s="197"/>
      <c r="AK48" s="197"/>
      <c r="AL48" s="197"/>
      <c r="AM48" s="198"/>
      <c r="AN48" s="198"/>
      <c r="AO48" s="198"/>
      <c r="AP48" s="199"/>
    </row>
    <row r="49" customFormat="false" ht="15" hidden="false" customHeight="true" outlineLevel="0" collapsed="false">
      <c r="A49" s="194"/>
      <c r="B49" s="194"/>
      <c r="C49" s="194"/>
      <c r="D49" s="194"/>
      <c r="E49" s="194"/>
      <c r="F49" s="195"/>
      <c r="G49" s="195"/>
      <c r="H49" s="195"/>
      <c r="I49" s="195"/>
      <c r="J49" s="194"/>
      <c r="K49" s="194"/>
      <c r="L49" s="194"/>
      <c r="M49" s="194"/>
      <c r="N49" s="196"/>
      <c r="O49" s="196"/>
      <c r="P49" s="196"/>
      <c r="Q49" s="196"/>
      <c r="R49" s="196"/>
      <c r="S49" s="196"/>
      <c r="T49" s="196"/>
      <c r="U49" s="196"/>
      <c r="V49" s="196"/>
      <c r="W49" s="196"/>
      <c r="X49" s="196"/>
      <c r="Y49" s="196"/>
      <c r="Z49" s="196"/>
      <c r="AA49" s="196"/>
      <c r="AB49" s="197"/>
      <c r="AC49" s="197"/>
      <c r="AD49" s="197"/>
      <c r="AE49" s="197"/>
      <c r="AF49" s="197"/>
      <c r="AG49" s="197"/>
      <c r="AH49" s="197"/>
      <c r="AI49" s="197"/>
      <c r="AJ49" s="197"/>
      <c r="AK49" s="197"/>
      <c r="AL49" s="197"/>
      <c r="AM49" s="198"/>
      <c r="AN49" s="198"/>
      <c r="AO49" s="198"/>
      <c r="AP49" s="199"/>
    </row>
    <row r="50" customFormat="false" ht="15" hidden="false" customHeight="true" outlineLevel="0" collapsed="false">
      <c r="A50" s="194"/>
      <c r="B50" s="194"/>
      <c r="C50" s="194"/>
      <c r="D50" s="194"/>
      <c r="E50" s="194"/>
      <c r="F50" s="195"/>
      <c r="G50" s="195"/>
      <c r="H50" s="195"/>
      <c r="I50" s="195"/>
      <c r="J50" s="194"/>
      <c r="K50" s="194"/>
      <c r="L50" s="194"/>
      <c r="M50" s="194"/>
      <c r="N50" s="196"/>
      <c r="O50" s="196"/>
      <c r="P50" s="196"/>
      <c r="Q50" s="196"/>
      <c r="R50" s="196"/>
      <c r="S50" s="196"/>
      <c r="T50" s="196"/>
      <c r="U50" s="196"/>
      <c r="V50" s="196"/>
      <c r="W50" s="196"/>
      <c r="X50" s="196"/>
      <c r="Y50" s="196"/>
      <c r="Z50" s="196"/>
      <c r="AA50" s="196"/>
      <c r="AB50" s="197"/>
      <c r="AC50" s="197"/>
      <c r="AD50" s="197"/>
      <c r="AE50" s="197"/>
      <c r="AF50" s="197"/>
      <c r="AG50" s="197"/>
      <c r="AH50" s="197"/>
      <c r="AI50" s="197"/>
      <c r="AJ50" s="197"/>
      <c r="AK50" s="197"/>
      <c r="AL50" s="197"/>
      <c r="AM50" s="198"/>
      <c r="AN50" s="198"/>
      <c r="AO50" s="198"/>
      <c r="AP50" s="199"/>
    </row>
    <row r="51" customFormat="false" ht="15" hidden="false" customHeight="true" outlineLevel="0" collapsed="false">
      <c r="A51" s="194"/>
      <c r="B51" s="194"/>
      <c r="C51" s="194"/>
      <c r="D51" s="194"/>
      <c r="E51" s="194"/>
      <c r="F51" s="195"/>
      <c r="G51" s="195"/>
      <c r="H51" s="195"/>
      <c r="I51" s="195"/>
      <c r="J51" s="194"/>
      <c r="K51" s="194"/>
      <c r="L51" s="194"/>
      <c r="M51" s="194"/>
      <c r="N51" s="196"/>
      <c r="O51" s="196"/>
      <c r="P51" s="196"/>
      <c r="Q51" s="196"/>
      <c r="R51" s="196"/>
      <c r="S51" s="196"/>
      <c r="T51" s="196"/>
      <c r="U51" s="196"/>
      <c r="V51" s="196"/>
      <c r="W51" s="196"/>
      <c r="X51" s="196"/>
      <c r="Y51" s="196"/>
      <c r="Z51" s="196"/>
      <c r="AA51" s="196"/>
      <c r="AB51" s="197"/>
      <c r="AC51" s="197"/>
      <c r="AD51" s="197"/>
      <c r="AE51" s="197"/>
      <c r="AF51" s="197"/>
      <c r="AG51" s="197"/>
      <c r="AH51" s="197"/>
      <c r="AI51" s="197"/>
      <c r="AJ51" s="197"/>
      <c r="AK51" s="197"/>
      <c r="AL51" s="197"/>
      <c r="AM51" s="198"/>
      <c r="AN51" s="198"/>
      <c r="AO51" s="198"/>
      <c r="AP51" s="199"/>
    </row>
    <row r="52" customFormat="false" ht="15" hidden="false" customHeight="true" outlineLevel="0" collapsed="false">
      <c r="A52" s="194"/>
      <c r="B52" s="194"/>
      <c r="C52" s="194"/>
      <c r="D52" s="194"/>
      <c r="E52" s="194"/>
      <c r="F52" s="195"/>
      <c r="G52" s="195"/>
      <c r="H52" s="195"/>
      <c r="I52" s="195"/>
      <c r="J52" s="194"/>
      <c r="K52" s="194"/>
      <c r="L52" s="194"/>
      <c r="M52" s="194"/>
      <c r="N52" s="196"/>
      <c r="O52" s="196"/>
      <c r="P52" s="196"/>
      <c r="Q52" s="196"/>
      <c r="R52" s="196"/>
      <c r="S52" s="196"/>
      <c r="T52" s="196"/>
      <c r="U52" s="196"/>
      <c r="V52" s="196"/>
      <c r="W52" s="196"/>
      <c r="X52" s="196"/>
      <c r="Y52" s="196"/>
      <c r="Z52" s="196"/>
      <c r="AA52" s="196"/>
      <c r="AB52" s="197"/>
      <c r="AC52" s="197"/>
      <c r="AD52" s="197"/>
      <c r="AE52" s="197"/>
      <c r="AF52" s="197"/>
      <c r="AG52" s="197"/>
      <c r="AH52" s="197"/>
      <c r="AI52" s="197"/>
      <c r="AJ52" s="197"/>
      <c r="AK52" s="197"/>
      <c r="AL52" s="197"/>
      <c r="AM52" s="198"/>
      <c r="AN52" s="198"/>
      <c r="AO52" s="198"/>
      <c r="AP52" s="199"/>
    </row>
    <row r="53" customFormat="false" ht="15" hidden="false" customHeight="true" outlineLevel="0" collapsed="false">
      <c r="A53" s="194"/>
      <c r="B53" s="194"/>
      <c r="C53" s="194"/>
      <c r="D53" s="194"/>
      <c r="E53" s="194"/>
      <c r="F53" s="195"/>
      <c r="G53" s="195"/>
      <c r="H53" s="195"/>
      <c r="I53" s="195"/>
      <c r="J53" s="194"/>
      <c r="K53" s="194"/>
      <c r="L53" s="194"/>
      <c r="M53" s="194"/>
      <c r="N53" s="196"/>
      <c r="O53" s="196"/>
      <c r="P53" s="196"/>
      <c r="Q53" s="196"/>
      <c r="R53" s="196"/>
      <c r="S53" s="196"/>
      <c r="T53" s="196"/>
      <c r="U53" s="196"/>
      <c r="V53" s="196"/>
      <c r="W53" s="196"/>
      <c r="X53" s="196"/>
      <c r="Y53" s="196"/>
      <c r="Z53" s="196"/>
      <c r="AA53" s="196"/>
      <c r="AB53" s="197"/>
      <c r="AC53" s="197"/>
      <c r="AD53" s="197"/>
      <c r="AE53" s="197"/>
      <c r="AF53" s="197"/>
      <c r="AG53" s="197"/>
      <c r="AH53" s="197"/>
      <c r="AI53" s="197"/>
      <c r="AJ53" s="197"/>
      <c r="AK53" s="197"/>
      <c r="AL53" s="197"/>
      <c r="AM53" s="198"/>
      <c r="AN53" s="198"/>
      <c r="AO53" s="198"/>
      <c r="AP53" s="199"/>
    </row>
    <row r="54" customFormat="false" ht="15" hidden="false" customHeight="true" outlineLevel="0" collapsed="false">
      <c r="A54" s="194"/>
      <c r="B54" s="194"/>
      <c r="C54" s="194"/>
      <c r="D54" s="194"/>
      <c r="E54" s="194"/>
      <c r="F54" s="195"/>
      <c r="G54" s="195"/>
      <c r="H54" s="195"/>
      <c r="I54" s="195"/>
      <c r="J54" s="194"/>
      <c r="K54" s="194"/>
      <c r="L54" s="194"/>
      <c r="M54" s="194"/>
      <c r="N54" s="196"/>
      <c r="O54" s="196"/>
      <c r="P54" s="196"/>
      <c r="Q54" s="196"/>
      <c r="R54" s="196"/>
      <c r="S54" s="196"/>
      <c r="T54" s="196"/>
      <c r="U54" s="196"/>
      <c r="V54" s="196"/>
      <c r="W54" s="196"/>
      <c r="X54" s="196"/>
      <c r="Y54" s="196"/>
      <c r="Z54" s="196"/>
      <c r="AA54" s="196"/>
      <c r="AB54" s="197"/>
      <c r="AC54" s="197"/>
      <c r="AD54" s="197"/>
      <c r="AE54" s="197"/>
      <c r="AF54" s="197"/>
      <c r="AG54" s="197"/>
      <c r="AH54" s="197"/>
      <c r="AI54" s="197"/>
      <c r="AJ54" s="197"/>
      <c r="AK54" s="197"/>
      <c r="AL54" s="197"/>
      <c r="AM54" s="198"/>
      <c r="AN54" s="198"/>
      <c r="AO54" s="198"/>
      <c r="AP54" s="199"/>
    </row>
    <row r="55" customFormat="false" ht="15" hidden="false" customHeight="true" outlineLevel="0" collapsed="false">
      <c r="A55" s="194"/>
      <c r="B55" s="194"/>
      <c r="C55" s="194"/>
      <c r="D55" s="194"/>
      <c r="E55" s="194"/>
      <c r="F55" s="195"/>
      <c r="G55" s="195"/>
      <c r="H55" s="195"/>
      <c r="I55" s="195"/>
      <c r="J55" s="194"/>
      <c r="K55" s="194"/>
      <c r="L55" s="194"/>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c r="AN55" s="198"/>
      <c r="AO55" s="198"/>
      <c r="AP55" s="199"/>
    </row>
    <row r="56" customFormat="false" ht="15" hidden="false" customHeight="true" outlineLevel="0" collapsed="false">
      <c r="A56" s="194"/>
      <c r="B56" s="194"/>
      <c r="C56" s="194"/>
      <c r="D56" s="194"/>
      <c r="E56" s="194"/>
      <c r="F56" s="195"/>
      <c r="G56" s="195"/>
      <c r="H56" s="195"/>
      <c r="I56" s="195"/>
      <c r="J56" s="194"/>
      <c r="K56" s="194"/>
      <c r="L56" s="194"/>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c r="AN56" s="198"/>
      <c r="AO56" s="198"/>
      <c r="AP56" s="199"/>
    </row>
    <row r="57" customFormat="false" ht="15" hidden="false" customHeight="true" outlineLevel="0" collapsed="false">
      <c r="A57" s="194"/>
      <c r="B57" s="194"/>
      <c r="C57" s="194"/>
      <c r="D57" s="194"/>
      <c r="E57" s="194"/>
      <c r="F57" s="195"/>
      <c r="G57" s="195"/>
      <c r="H57" s="195"/>
      <c r="I57" s="195"/>
      <c r="J57" s="194"/>
      <c r="K57" s="194"/>
      <c r="L57" s="194"/>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c r="AN57" s="198"/>
      <c r="AO57" s="198"/>
      <c r="AP57" s="199"/>
    </row>
    <row r="58" customFormat="false" ht="15" hidden="false" customHeight="true" outlineLevel="0" collapsed="false">
      <c r="A58" s="194"/>
      <c r="B58" s="194"/>
      <c r="C58" s="194"/>
      <c r="D58" s="194"/>
      <c r="E58" s="194"/>
      <c r="F58" s="194"/>
      <c r="G58" s="194"/>
      <c r="H58" s="194"/>
      <c r="I58" s="194"/>
      <c r="J58" s="194"/>
      <c r="K58" s="194"/>
      <c r="L58" s="194"/>
      <c r="M58" s="194"/>
      <c r="N58" s="194"/>
      <c r="O58" s="194"/>
      <c r="P58" s="194"/>
      <c r="Q58" s="194"/>
      <c r="R58" s="201"/>
      <c r="S58" s="201"/>
      <c r="T58" s="201"/>
      <c r="U58" s="201"/>
      <c r="V58" s="201"/>
      <c r="W58" s="201"/>
      <c r="X58" s="201"/>
      <c r="Y58" s="201"/>
      <c r="Z58" s="201"/>
      <c r="AA58" s="201"/>
      <c r="AM58" s="202"/>
      <c r="AN58" s="202"/>
    </row>
    <row r="59" customFormat="false" ht="15" hidden="false" customHeight="true" outlineLevel="0" collapsed="false">
      <c r="A59" s="194"/>
      <c r="B59" s="194"/>
      <c r="C59" s="194"/>
      <c r="D59" s="194"/>
      <c r="E59" s="194"/>
      <c r="F59" s="194"/>
      <c r="G59" s="194"/>
      <c r="H59" s="194"/>
      <c r="I59" s="194"/>
      <c r="J59" s="194"/>
      <c r="K59" s="194"/>
      <c r="L59" s="194"/>
      <c r="M59" s="194"/>
      <c r="N59" s="194"/>
      <c r="O59" s="194"/>
      <c r="P59" s="194"/>
      <c r="Q59" s="194"/>
      <c r="R59" s="201"/>
      <c r="S59" s="201"/>
      <c r="T59" s="201"/>
      <c r="U59" s="201"/>
      <c r="V59" s="201"/>
      <c r="W59" s="201"/>
      <c r="X59" s="201"/>
      <c r="Y59" s="201"/>
      <c r="Z59" s="201"/>
      <c r="AA59" s="201"/>
      <c r="AM59" s="202"/>
      <c r="AN59" s="202"/>
    </row>
    <row r="60" customFormat="false" ht="15" hidden="false" customHeight="true" outlineLevel="0" collapsed="false">
      <c r="A60" s="194"/>
      <c r="B60" s="194"/>
      <c r="C60" s="194"/>
      <c r="D60" s="194"/>
      <c r="E60" s="194"/>
      <c r="F60" s="194"/>
      <c r="G60" s="194"/>
      <c r="H60" s="194"/>
      <c r="I60" s="194"/>
      <c r="J60" s="194"/>
      <c r="K60" s="194"/>
      <c r="L60" s="194"/>
      <c r="M60" s="194"/>
      <c r="N60" s="194"/>
      <c r="O60" s="194"/>
      <c r="P60" s="194"/>
      <c r="Q60" s="194"/>
      <c r="R60" s="201"/>
      <c r="S60" s="201"/>
      <c r="T60" s="201"/>
      <c r="U60" s="201"/>
      <c r="V60" s="201"/>
      <c r="W60" s="201"/>
      <c r="X60" s="201"/>
      <c r="Y60" s="201"/>
      <c r="Z60" s="201"/>
      <c r="AA60" s="201"/>
      <c r="AM60" s="202"/>
      <c r="AN60" s="202"/>
    </row>
    <row r="61" customFormat="false" ht="15" hidden="false" customHeight="true" outlineLevel="0" collapsed="false">
      <c r="A61" s="194"/>
      <c r="B61" s="194"/>
      <c r="C61" s="194"/>
      <c r="D61" s="194"/>
      <c r="E61" s="194"/>
      <c r="F61" s="194"/>
      <c r="G61" s="194"/>
      <c r="H61" s="194"/>
      <c r="I61" s="194"/>
      <c r="J61" s="194"/>
      <c r="K61" s="194"/>
      <c r="L61" s="194"/>
      <c r="M61" s="194"/>
      <c r="N61" s="194"/>
      <c r="O61" s="194"/>
      <c r="P61" s="194"/>
      <c r="Q61" s="194"/>
      <c r="R61" s="201"/>
      <c r="S61" s="201"/>
      <c r="T61" s="201"/>
      <c r="U61" s="201"/>
      <c r="V61" s="201"/>
      <c r="W61" s="201"/>
      <c r="X61" s="201"/>
      <c r="Y61" s="201"/>
      <c r="Z61" s="201"/>
      <c r="AA61" s="201"/>
      <c r="AM61" s="202"/>
      <c r="AN61" s="202"/>
    </row>
    <row r="62" customFormat="false" ht="15" hidden="false" customHeight="true" outlineLevel="0" collapsed="false">
      <c r="A62" s="194"/>
      <c r="B62" s="194"/>
      <c r="C62" s="194"/>
      <c r="D62" s="194"/>
      <c r="E62" s="194"/>
      <c r="F62" s="194"/>
      <c r="G62" s="194"/>
      <c r="H62" s="194"/>
      <c r="I62" s="194"/>
      <c r="J62" s="194"/>
      <c r="K62" s="194"/>
      <c r="L62" s="194"/>
      <c r="M62" s="194"/>
      <c r="N62" s="194"/>
      <c r="O62" s="194"/>
      <c r="P62" s="194"/>
      <c r="Q62" s="194"/>
      <c r="R62" s="201"/>
      <c r="S62" s="201"/>
      <c r="T62" s="201"/>
      <c r="U62" s="201"/>
      <c r="V62" s="201"/>
      <c r="W62" s="201"/>
      <c r="X62" s="201"/>
      <c r="Y62" s="201"/>
      <c r="Z62" s="201"/>
      <c r="AA62" s="201"/>
      <c r="AM62" s="202"/>
      <c r="AN62" s="202"/>
    </row>
    <row r="63" customFormat="false" ht="15" hidden="false" customHeight="true" outlineLevel="0" collapsed="false">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Q63" s="1"/>
    </row>
    <row r="64" customFormat="false" ht="15" hidden="false" customHeight="true" outlineLevel="0" collapsed="false">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Q64" s="1"/>
    </row>
    <row r="65" customFormat="false" ht="15" hidden="false" customHeight="true" outlineLevel="0" collapsed="false">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Q65" s="1"/>
    </row>
    <row r="66" customFormat="false" ht="15" hidden="false" customHeight="true" outlineLevel="0" collapsed="false">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Q66" s="1"/>
    </row>
    <row r="67" customFormat="false" ht="15" hidden="false" customHeight="true" outlineLevel="0" collapsed="false">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Q67" s="1"/>
    </row>
    <row r="68" customFormat="false" ht="15" hidden="false" customHeight="true" outlineLevel="0" collapsed="false">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Q68" s="1"/>
    </row>
    <row r="69" customFormat="false" ht="15" hidden="false" customHeight="true" outlineLevel="0" collapsed="false">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Q69" s="1"/>
    </row>
    <row r="70" customFormat="false" ht="15" hidden="false" customHeight="true" outlineLevel="0" collapsed="false">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Q70" s="1"/>
    </row>
    <row r="71" customFormat="false" ht="15" hidden="false" customHeight="true" outlineLevel="0" collapsed="false">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Q71" s="1"/>
    </row>
    <row r="72" customFormat="false" ht="15" hidden="false" customHeight="true" outlineLevel="0" collapsed="false">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Q72" s="1"/>
    </row>
    <row r="73" customFormat="false" ht="15" hidden="false" customHeight="true" outlineLevel="0" collapsed="false">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Q73" s="1"/>
    </row>
    <row r="74" customFormat="false" ht="15" hidden="false" customHeight="true" outlineLevel="0" collapsed="false">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Q74" s="1"/>
    </row>
    <row r="75" customFormat="false" ht="15" hidden="false" customHeight="true" outlineLevel="0" collapsed="false">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Q75" s="1"/>
    </row>
    <row r="76" customFormat="false" ht="15" hidden="false" customHeight="true" outlineLevel="0" collapsed="false">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Q76" s="1"/>
    </row>
    <row r="77" customFormat="false" ht="15" hidden="false" customHeight="true" outlineLevel="0" collapsed="false">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Q77" s="1"/>
    </row>
    <row r="78" customFormat="false" ht="15" hidden="false" customHeight="true" outlineLevel="0" collapsed="false">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Q78" s="1"/>
    </row>
    <row r="79" customFormat="false" ht="15" hidden="false" customHeight="true" outlineLevel="0" collapsed="false">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Q79" s="1"/>
    </row>
    <row r="80" customFormat="false" ht="15" hidden="false" customHeight="true" outlineLevel="0" collapsed="false">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Q80" s="1"/>
    </row>
    <row r="81" customFormat="false" ht="15" hidden="false" customHeight="true" outlineLevel="0" collapsed="false">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Q81" s="1"/>
    </row>
    <row r="82" customFormat="false" ht="15" hidden="false" customHeight="true" outlineLevel="0" collapsed="false">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Q82" s="1"/>
    </row>
    <row r="83" customFormat="false" ht="15" hidden="false" customHeight="true" outlineLevel="0" collapsed="false">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Q83" s="1"/>
    </row>
    <row r="84" customFormat="false" ht="15" hidden="false" customHeight="true" outlineLevel="0" collapsed="false">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Q84" s="1"/>
    </row>
    <row r="85" customFormat="false" ht="15" hidden="false" customHeight="true" outlineLevel="0" collapsed="false">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Q85" s="1"/>
    </row>
    <row r="86" customFormat="false" ht="15" hidden="false" customHeight="true" outlineLevel="0" collapsed="false">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Q86" s="1"/>
    </row>
    <row r="87" customFormat="false" ht="15" hidden="false" customHeight="true" outlineLevel="0" collapsed="false">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Q87" s="1"/>
    </row>
    <row r="88" customFormat="false" ht="15" hidden="false" customHeight="true" outlineLevel="0" collapsed="false">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Q88" s="1"/>
    </row>
    <row r="89" customFormat="false" ht="15" hidden="false" customHeight="true" outlineLevel="0" collapsed="false">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Q89" s="1"/>
    </row>
    <row r="90" customFormat="false" ht="15" hidden="false" customHeight="true" outlineLevel="0" collapsed="false">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Q90" s="1"/>
    </row>
    <row r="91" customFormat="false" ht="15" hidden="false" customHeight="true" outlineLevel="0" collapsed="false">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Q91" s="1"/>
    </row>
    <row r="92" customFormat="false" ht="15" hidden="false" customHeight="true" outlineLevel="0" collapsed="false">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Q92" s="1"/>
    </row>
    <row r="93" customFormat="false" ht="15" hidden="false" customHeight="true" outlineLevel="0" collapsed="false">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Q93" s="1"/>
    </row>
    <row r="94" customFormat="false" ht="15" hidden="false" customHeight="true" outlineLevel="0" collapsed="false">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Q94" s="1"/>
    </row>
    <row r="95" customFormat="false" ht="15" hidden="false" customHeight="true" outlineLevel="0" collapsed="false">
      <c r="AQ95" s="1"/>
    </row>
    <row r="96" customFormat="false" ht="15" hidden="false" customHeight="true" outlineLevel="0" collapsed="false">
      <c r="AQ96" s="1"/>
    </row>
    <row r="97" customFormat="false" ht="15" hidden="false" customHeight="true" outlineLevel="0" collapsed="false">
      <c r="AQ97" s="1"/>
    </row>
    <row r="98" customFormat="false" ht="15" hidden="false" customHeight="true" outlineLevel="0" collapsed="false">
      <c r="AQ98" s="1"/>
    </row>
    <row r="99" customFormat="false" ht="15" hidden="false" customHeight="true" outlineLevel="0" collapsed="false">
      <c r="AQ99" s="1"/>
    </row>
    <row r="100" customFormat="false" ht="15" hidden="false" customHeight="true" outlineLevel="0" collapsed="false">
      <c r="AQ100" s="1"/>
    </row>
    <row r="101" customFormat="false" ht="15" hidden="false" customHeight="true" outlineLevel="0" collapsed="false">
      <c r="AQ101" s="1"/>
    </row>
    <row r="102" customFormat="false" ht="15" hidden="false" customHeight="true" outlineLevel="0" collapsed="false">
      <c r="AQ102" s="1"/>
    </row>
    <row r="103" customFormat="false" ht="15" hidden="false" customHeight="true" outlineLevel="0" collapsed="false">
      <c r="AQ103" s="1"/>
    </row>
    <row r="104" customFormat="false" ht="15" hidden="false" customHeight="true" outlineLevel="0" collapsed="false">
      <c r="AQ104" s="1"/>
    </row>
    <row r="105" customFormat="false" ht="15" hidden="false" customHeight="true" outlineLevel="0" collapsed="false">
      <c r="AQ105" s="1"/>
    </row>
    <row r="106" customFormat="false" ht="15" hidden="false" customHeight="true" outlineLevel="0" collapsed="false">
      <c r="AQ106" s="1"/>
    </row>
    <row r="107" customFormat="false" ht="15" hidden="false" customHeight="true" outlineLevel="0" collapsed="false">
      <c r="AQ107" s="1"/>
    </row>
    <row r="108" customFormat="false" ht="15" hidden="false" customHeight="true" outlineLevel="0" collapsed="false">
      <c r="AQ108" s="1"/>
    </row>
    <row r="109" customFormat="false" ht="15" hidden="false" customHeight="true" outlineLevel="0" collapsed="false">
      <c r="AQ109" s="1"/>
    </row>
    <row r="110" customFormat="false" ht="15" hidden="false" customHeight="true" outlineLevel="0" collapsed="false">
      <c r="AQ110" s="1"/>
    </row>
    <row r="111" customFormat="false" ht="15" hidden="false" customHeight="true" outlineLevel="0" collapsed="false">
      <c r="AQ111" s="1"/>
    </row>
    <row r="112" customFormat="false" ht="15" hidden="false" customHeight="true" outlineLevel="0" collapsed="false">
      <c r="AQ112" s="1"/>
    </row>
    <row r="113" customFormat="false" ht="15" hidden="false" customHeight="true" outlineLevel="0" collapsed="false">
      <c r="AQ113" s="1"/>
    </row>
    <row r="114" customFormat="false" ht="15" hidden="false" customHeight="true" outlineLevel="0" collapsed="false">
      <c r="AQ114" s="1"/>
    </row>
    <row r="115" customFormat="false" ht="15" hidden="false" customHeight="true" outlineLevel="0" collapsed="false">
      <c r="AQ115" s="1"/>
    </row>
    <row r="116" customFormat="false" ht="15" hidden="false" customHeight="true" outlineLevel="0" collapsed="false">
      <c r="AQ116" s="1"/>
    </row>
    <row r="117" customFormat="false" ht="15" hidden="false" customHeight="true" outlineLevel="0" collapsed="false">
      <c r="AQ117" s="1"/>
    </row>
    <row r="118" customFormat="false" ht="15" hidden="false" customHeight="true" outlineLevel="0" collapsed="false">
      <c r="AQ118" s="1"/>
    </row>
    <row r="119" customFormat="false" ht="15" hidden="false" customHeight="true" outlineLevel="0" collapsed="false">
      <c r="AQ119" s="1"/>
    </row>
    <row r="120" customFormat="false" ht="15" hidden="false" customHeight="true" outlineLevel="0" collapsed="false">
      <c r="AQ120" s="1"/>
    </row>
    <row r="121" customFormat="false" ht="15" hidden="false" customHeight="true" outlineLevel="0" collapsed="false">
      <c r="AQ121" s="1"/>
    </row>
    <row r="122" customFormat="false" ht="15" hidden="false" customHeight="true" outlineLevel="0" collapsed="false">
      <c r="AQ122" s="1"/>
    </row>
    <row r="123" customFormat="false" ht="15" hidden="false" customHeight="true" outlineLevel="0" collapsed="false">
      <c r="AQ123" s="1"/>
    </row>
    <row r="124" customFormat="false" ht="15" hidden="false" customHeight="true" outlineLevel="0" collapsed="false">
      <c r="AQ124" s="1"/>
    </row>
    <row r="125" customFormat="false" ht="15" hidden="false" customHeight="true" outlineLevel="0" collapsed="false">
      <c r="AQ125" s="1"/>
    </row>
    <row r="126" customFormat="false" ht="15" hidden="false" customHeight="true" outlineLevel="0" collapsed="false">
      <c r="AQ126" s="1"/>
    </row>
    <row r="127" customFormat="false" ht="15" hidden="false" customHeight="true" outlineLevel="0" collapsed="false">
      <c r="AQ127" s="1"/>
    </row>
    <row r="128" customFormat="false" ht="15" hidden="false" customHeight="true" outlineLevel="0" collapsed="false">
      <c r="AQ128" s="1"/>
    </row>
    <row r="129" customFormat="false" ht="15" hidden="false" customHeight="true" outlineLevel="0" collapsed="false">
      <c r="AQ129" s="1"/>
    </row>
    <row r="130" customFormat="false" ht="15" hidden="false" customHeight="true" outlineLevel="0" collapsed="false">
      <c r="AQ130" s="1"/>
    </row>
    <row r="131" customFormat="false" ht="15" hidden="false" customHeight="true" outlineLevel="0" collapsed="false">
      <c r="AQ131" s="1"/>
    </row>
    <row r="132" customFormat="false" ht="15" hidden="false" customHeight="true" outlineLevel="0" collapsed="false">
      <c r="AQ132" s="1"/>
    </row>
    <row r="133" customFormat="false" ht="15" hidden="false" customHeight="true" outlineLevel="0" collapsed="false">
      <c r="AQ133" s="1"/>
    </row>
    <row r="134" customFormat="false" ht="15" hidden="false" customHeight="true" outlineLevel="0" collapsed="false">
      <c r="AQ134" s="1"/>
    </row>
    <row r="135" customFormat="false" ht="15" hidden="false" customHeight="true" outlineLevel="0" collapsed="false">
      <c r="AQ135" s="1"/>
    </row>
    <row r="136" customFormat="false" ht="15" hidden="false" customHeight="true" outlineLevel="0" collapsed="false">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217" customFormat="false" ht="15" hidden="false" customHeight="true" outlineLevel="0" collapsed="false">
      <c r="AQ217" s="1"/>
    </row>
    <row r="218" customFormat="false" ht="15" hidden="false" customHeight="true" outlineLevel="0" collapsed="false">
      <c r="AQ218" s="1"/>
    </row>
    <row r="219" customFormat="false" ht="15" hidden="false" customHeight="true" outlineLevel="0" collapsed="false">
      <c r="AQ219" s="1"/>
    </row>
    <row r="220" customFormat="false" ht="15" hidden="false" customHeight="true" outlineLevel="0" collapsed="false">
      <c r="AQ220" s="1"/>
    </row>
    <row r="221" customFormat="false" ht="15" hidden="false" customHeight="true" outlineLevel="0" collapsed="false">
      <c r="AQ221" s="1"/>
    </row>
    <row r="222" customFormat="false" ht="15" hidden="false" customHeight="true" outlineLevel="0" collapsed="false">
      <c r="AQ222"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25">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8:I8"/>
    <mergeCell ref="B14:I14"/>
    <mergeCell ref="B22:I22"/>
    <mergeCell ref="B24:I24"/>
    <mergeCell ref="B37:I37"/>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205</v>
      </c>
      <c r="D2" s="183"/>
      <c r="E2" s="183"/>
    </row>
    <row r="3" customFormat="false" ht="15" hidden="false" customHeight="true" outlineLevel="0" collapsed="false">
      <c r="A3" s="182" t="s">
        <v>610</v>
      </c>
      <c r="B3" s="182"/>
      <c r="C3" s="183" t="s">
        <v>206</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30" hidden="false" customHeight="true" outlineLevel="0" collapsed="false">
      <c r="A7" s="191" t="s">
        <v>206</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19.5" hidden="false" customHeight="true" outlineLevel="0" collapsed="false">
      <c r="A8" s="194"/>
      <c r="B8" s="200" t="s">
        <v>1668</v>
      </c>
      <c r="C8" s="200"/>
      <c r="D8" s="200"/>
      <c r="E8" s="200"/>
      <c r="F8" s="200"/>
      <c r="G8" s="200"/>
      <c r="H8" s="200"/>
      <c r="I8" s="200"/>
      <c r="J8" s="194"/>
      <c r="K8" s="194"/>
      <c r="L8" s="194"/>
      <c r="M8" s="194"/>
      <c r="N8" s="196"/>
      <c r="O8" s="196"/>
      <c r="P8" s="196"/>
      <c r="Q8" s="196"/>
      <c r="R8" s="196"/>
      <c r="S8" s="196"/>
      <c r="T8" s="196"/>
      <c r="U8" s="196"/>
      <c r="V8" s="196"/>
      <c r="W8" s="196"/>
      <c r="X8" s="196"/>
      <c r="Y8" s="196"/>
      <c r="Z8" s="196"/>
      <c r="AA8" s="196"/>
      <c r="AB8" s="197"/>
      <c r="AC8" s="197"/>
      <c r="AD8" s="197"/>
      <c r="AE8" s="197"/>
      <c r="AF8" s="197"/>
      <c r="AG8" s="197"/>
      <c r="AH8" s="197"/>
      <c r="AI8" s="197"/>
      <c r="AJ8" s="197"/>
      <c r="AK8" s="197"/>
      <c r="AL8" s="197"/>
      <c r="AM8" s="198"/>
      <c r="AN8" s="198"/>
      <c r="AO8" s="198"/>
      <c r="AP8" s="199"/>
    </row>
    <row r="9" customFormat="false" ht="60" hidden="false" customHeight="true" outlineLevel="0" collapsed="false">
      <c r="A9" s="194" t="str">
        <f aca="false">IF(C9="","",$C$2&amp;"."&amp;COUNTA($C$8:C9)&amp;"")</f>
        <v>TC_06.1</v>
      </c>
      <c r="B9" s="194" t="s">
        <v>579</v>
      </c>
      <c r="C9" s="194" t="s">
        <v>1669</v>
      </c>
      <c r="D9" s="194" t="s">
        <v>42</v>
      </c>
      <c r="E9" s="194" t="s">
        <v>157</v>
      </c>
      <c r="F9" s="195" t="s">
        <v>1670</v>
      </c>
      <c r="G9" s="195" t="s">
        <v>1671</v>
      </c>
      <c r="H9" s="195" t="s">
        <v>1672</v>
      </c>
      <c r="I9" s="195" t="s">
        <v>1673</v>
      </c>
      <c r="J9" s="194" t="s">
        <v>637</v>
      </c>
      <c r="K9" s="194" t="s">
        <v>241</v>
      </c>
      <c r="L9" s="194" t="s">
        <v>638</v>
      </c>
      <c r="M9" s="194"/>
      <c r="N9" s="196"/>
      <c r="O9" s="196"/>
      <c r="P9" s="196"/>
      <c r="Q9" s="196"/>
      <c r="R9" s="196"/>
      <c r="S9" s="196"/>
      <c r="T9" s="196"/>
      <c r="U9" s="196"/>
      <c r="V9" s="196"/>
      <c r="W9" s="196"/>
      <c r="X9" s="196"/>
      <c r="Y9" s="196"/>
      <c r="Z9" s="196"/>
      <c r="AA9" s="196"/>
      <c r="AB9" s="197"/>
      <c r="AC9" s="197"/>
      <c r="AD9" s="197"/>
      <c r="AE9" s="197"/>
      <c r="AF9" s="197"/>
      <c r="AG9" s="197"/>
      <c r="AH9" s="197"/>
      <c r="AI9" s="197"/>
      <c r="AJ9" s="197"/>
      <c r="AK9" s="197"/>
      <c r="AL9" s="197"/>
      <c r="AM9" s="198" t="str">
        <f aca="false">IF($A9="","",IF(OR($N9="Yes",$S9="Yes",$X9="Yes",$AC9="Yes",$AH9="Yes"),"Yes","No"))</f>
        <v>No</v>
      </c>
      <c r="AN9" s="198" t="str">
        <f aca="false">IF($A9="","",IFERROR(IF($AI9&lt;&gt;"",$AI9,IF($AD9&lt;&gt;"",$AD9,IF($Y9&lt;&gt;"",$Y9,IF($T9&lt;&gt;"",$T9,IF($O9&lt;&gt;"",$O9,""))))),""))</f>
        <v/>
      </c>
      <c r="AO9" s="198" t="str">
        <f aca="false">IFERROR(IF($AJ9&lt;&gt;"",$AJ9,IF($AE9&lt;&gt;"",$AE9,IF($Z9&lt;&gt;"",$Z9,IF($U9&lt;&gt;"",$U9,IF($P9&lt;&gt;"",$P9,""))))),"")</f>
        <v/>
      </c>
      <c r="AP9" s="199" t="s">
        <v>1674</v>
      </c>
    </row>
    <row r="10" customFormat="false" ht="60" hidden="false" customHeight="true" outlineLevel="0" collapsed="false">
      <c r="A10" s="194" t="str">
        <f aca="false">IF(C10="","",$C$2&amp;"."&amp;COUNTA($C$8:C10)&amp;"")</f>
        <v>TC_06.2</v>
      </c>
      <c r="B10" s="194" t="s">
        <v>579</v>
      </c>
      <c r="C10" s="194" t="s">
        <v>1669</v>
      </c>
      <c r="D10" s="194" t="s">
        <v>42</v>
      </c>
      <c r="E10" s="194" t="s">
        <v>157</v>
      </c>
      <c r="F10" s="195" t="s">
        <v>1675</v>
      </c>
      <c r="G10" s="195" t="s">
        <v>1676</v>
      </c>
      <c r="H10" s="195" t="s">
        <v>1677</v>
      </c>
      <c r="I10" s="195" t="s">
        <v>1678</v>
      </c>
      <c r="J10" s="194" t="s">
        <v>637</v>
      </c>
      <c r="K10" s="194" t="s">
        <v>241</v>
      </c>
      <c r="L10" s="194" t="s">
        <v>638</v>
      </c>
      <c r="M10" s="194"/>
      <c r="N10" s="196"/>
      <c r="O10" s="196"/>
      <c r="P10" s="196"/>
      <c r="Q10" s="196"/>
      <c r="R10" s="196"/>
      <c r="S10" s="196"/>
      <c r="T10" s="196"/>
      <c r="U10" s="196"/>
      <c r="V10" s="196"/>
      <c r="W10" s="196"/>
      <c r="X10" s="196"/>
      <c r="Y10" s="196"/>
      <c r="Z10" s="196"/>
      <c r="AA10" s="196"/>
      <c r="AB10" s="197"/>
      <c r="AC10" s="197"/>
      <c r="AD10" s="197"/>
      <c r="AE10" s="197"/>
      <c r="AF10" s="197"/>
      <c r="AG10" s="197"/>
      <c r="AH10" s="197"/>
      <c r="AI10" s="197"/>
      <c r="AJ10" s="197"/>
      <c r="AK10" s="197"/>
      <c r="AL10" s="197"/>
      <c r="AM10" s="198" t="str">
        <f aca="false">IF($A10="","",IF(OR($N10="Yes",$S10="Yes",$X10="Yes",$AC10="Yes",$AH10="Yes"),"Yes","No"))</f>
        <v>No</v>
      </c>
      <c r="AN10" s="198" t="str">
        <f aca="false">IF($A10="","",IFERROR(IF($AI10&lt;&gt;"",$AI10,IF($AD10&lt;&gt;"",$AD10,IF($Y10&lt;&gt;"",$Y10,IF($T10&lt;&gt;"",$T10,IF($O10&lt;&gt;"",$O10,""))))),""))</f>
        <v/>
      </c>
      <c r="AO10" s="198" t="str">
        <f aca="false">IFERROR(IF($AJ10&lt;&gt;"",$AJ10,IF($AE10&lt;&gt;"",$AE10,IF($Z10&lt;&gt;"",$Z10,IF($U10&lt;&gt;"",$U10,IF($P10&lt;&gt;"",$P10,""))))),"")</f>
        <v/>
      </c>
      <c r="AP10" s="199" t="s">
        <v>1679</v>
      </c>
    </row>
    <row r="11" customFormat="false" ht="60" hidden="false" customHeight="true" outlineLevel="0" collapsed="false">
      <c r="A11" s="194" t="str">
        <f aca="false">IF(C11="","",$C$2&amp;"."&amp;COUNTA($C$8:C11)&amp;"")</f>
        <v>TC_06.3</v>
      </c>
      <c r="B11" s="194" t="s">
        <v>579</v>
      </c>
      <c r="C11" s="194" t="s">
        <v>1669</v>
      </c>
      <c r="D11" s="194" t="s">
        <v>42</v>
      </c>
      <c r="E11" s="194" t="s">
        <v>157</v>
      </c>
      <c r="F11" s="195" t="s">
        <v>1680</v>
      </c>
      <c r="G11" s="195" t="s">
        <v>1681</v>
      </c>
      <c r="H11" s="195" t="s">
        <v>1682</v>
      </c>
      <c r="I11" s="195" t="s">
        <v>1683</v>
      </c>
      <c r="J11" s="194" t="s">
        <v>637</v>
      </c>
      <c r="K11" s="194" t="s">
        <v>241</v>
      </c>
      <c r="L11" s="194" t="s">
        <v>638</v>
      </c>
      <c r="M11" s="194"/>
      <c r="N11" s="196"/>
      <c r="O11" s="196"/>
      <c r="P11" s="196"/>
      <c r="Q11" s="196"/>
      <c r="R11" s="196"/>
      <c r="S11" s="196"/>
      <c r="T11" s="196"/>
      <c r="U11" s="196"/>
      <c r="V11" s="196"/>
      <c r="W11" s="196"/>
      <c r="X11" s="196"/>
      <c r="Y11" s="196"/>
      <c r="Z11" s="196"/>
      <c r="AA11" s="196"/>
      <c r="AB11" s="197"/>
      <c r="AC11" s="197"/>
      <c r="AD11" s="197"/>
      <c r="AE11" s="197"/>
      <c r="AF11" s="197"/>
      <c r="AG11" s="197"/>
      <c r="AH11" s="197"/>
      <c r="AI11" s="197"/>
      <c r="AJ11" s="197"/>
      <c r="AK11" s="197"/>
      <c r="AL11" s="197"/>
      <c r="AM11" s="198" t="str">
        <f aca="false">IF($A11="","",IF(OR($N11="Yes",$S11="Yes",$X11="Yes",$AC11="Yes",$AH11="Yes"),"Yes","No"))</f>
        <v>No</v>
      </c>
      <c r="AN11" s="198" t="str">
        <f aca="false">IF($A11="","",IFERROR(IF($AI11&lt;&gt;"",$AI11,IF($AD11&lt;&gt;"",$AD11,IF($Y11&lt;&gt;"",$Y11,IF($T11&lt;&gt;"",$T11,IF($O11&lt;&gt;"",$O11,""))))),""))</f>
        <v/>
      </c>
      <c r="AO11" s="198" t="str">
        <f aca="false">IFERROR(IF($AJ11&lt;&gt;"",$AJ11,IF($AE11&lt;&gt;"",$AE11,IF($Z11&lt;&gt;"",$Z11,IF($U11&lt;&gt;"",$U11,IF($P11&lt;&gt;"",$P11,""))))),"")</f>
        <v/>
      </c>
      <c r="AP11" s="199" t="s">
        <v>1684</v>
      </c>
    </row>
    <row r="12" customFormat="false" ht="60" hidden="false" customHeight="true" outlineLevel="0" collapsed="false">
      <c r="A12" s="194" t="str">
        <f aca="false">IF(C12="","",$C$2&amp;"."&amp;COUNTA($C$8:C12)&amp;"")</f>
        <v>TC_06.4</v>
      </c>
      <c r="B12" s="194" t="s">
        <v>579</v>
      </c>
      <c r="C12" s="194" t="s">
        <v>1669</v>
      </c>
      <c r="D12" s="194" t="s">
        <v>40</v>
      </c>
      <c r="E12" s="194" t="s">
        <v>156</v>
      </c>
      <c r="F12" s="195" t="s">
        <v>1685</v>
      </c>
      <c r="G12" s="195" t="s">
        <v>1686</v>
      </c>
      <c r="H12" s="195" t="s">
        <v>1687</v>
      </c>
      <c r="I12" s="195" t="s">
        <v>1688</v>
      </c>
      <c r="J12" s="194" t="s">
        <v>637</v>
      </c>
      <c r="K12" s="194" t="s">
        <v>241</v>
      </c>
      <c r="L12" s="194" t="s">
        <v>638</v>
      </c>
      <c r="M12" s="194"/>
      <c r="N12" s="196"/>
      <c r="O12" s="196"/>
      <c r="P12" s="196"/>
      <c r="Q12" s="196"/>
      <c r="R12" s="196"/>
      <c r="S12" s="196"/>
      <c r="T12" s="196"/>
      <c r="U12" s="196"/>
      <c r="V12" s="196"/>
      <c r="W12" s="196"/>
      <c r="X12" s="196"/>
      <c r="Y12" s="196"/>
      <c r="Z12" s="196"/>
      <c r="AA12" s="196"/>
      <c r="AB12" s="197"/>
      <c r="AC12" s="197"/>
      <c r="AD12" s="197"/>
      <c r="AE12" s="197"/>
      <c r="AF12" s="197"/>
      <c r="AG12" s="197"/>
      <c r="AH12" s="197"/>
      <c r="AI12" s="197"/>
      <c r="AJ12" s="197"/>
      <c r="AK12" s="197"/>
      <c r="AL12" s="197"/>
      <c r="AM12" s="198" t="str">
        <f aca="false">IF($A12="","",IF(OR($N12="Yes",$S12="Yes",$X12="Yes",$AC12="Yes",$AH12="Yes"),"Yes","No"))</f>
        <v>No</v>
      </c>
      <c r="AN12" s="198" t="str">
        <f aca="false">IF($A12="","",IFERROR(IF($AI12&lt;&gt;"",$AI12,IF($AD12&lt;&gt;"",$AD12,IF($Y12&lt;&gt;"",$Y12,IF($T12&lt;&gt;"",$T12,IF($O12&lt;&gt;"",$O12,""))))),""))</f>
        <v/>
      </c>
      <c r="AO12" s="198" t="str">
        <f aca="false">IFERROR(IF($AJ12&lt;&gt;"",$AJ12,IF($AE12&lt;&gt;"",$AE12,IF($Z12&lt;&gt;"",$Z12,IF($U12&lt;&gt;"",$U12,IF($P12&lt;&gt;"",$P12,""))))),"")</f>
        <v/>
      </c>
      <c r="AP12" s="199"/>
    </row>
    <row r="13" customFormat="false" ht="60" hidden="false" customHeight="true" outlineLevel="0" collapsed="false">
      <c r="A13" s="194" t="str">
        <f aca="false">IF(C13="","",$C$2&amp;"."&amp;COUNTA($C$8:C13)&amp;"")</f>
        <v>TC_06.5</v>
      </c>
      <c r="B13" s="194" t="s">
        <v>1689</v>
      </c>
      <c r="C13" s="194" t="s">
        <v>1690</v>
      </c>
      <c r="D13" s="194" t="s">
        <v>42</v>
      </c>
      <c r="E13" s="194" t="s">
        <v>157</v>
      </c>
      <c r="F13" s="195" t="s">
        <v>1691</v>
      </c>
      <c r="G13" s="195" t="s">
        <v>1692</v>
      </c>
      <c r="H13" s="195" t="s">
        <v>1693</v>
      </c>
      <c r="I13" s="195" t="s">
        <v>1694</v>
      </c>
      <c r="J13" s="194" t="s">
        <v>637</v>
      </c>
      <c r="K13" s="194" t="s">
        <v>241</v>
      </c>
      <c r="L13" s="194" t="s">
        <v>638</v>
      </c>
      <c r="M13" s="194"/>
      <c r="N13" s="196"/>
      <c r="O13" s="196"/>
      <c r="P13" s="196"/>
      <c r="Q13" s="196"/>
      <c r="R13" s="196"/>
      <c r="S13" s="196"/>
      <c r="T13" s="196"/>
      <c r="U13" s="196"/>
      <c r="V13" s="196"/>
      <c r="W13" s="196"/>
      <c r="X13" s="196"/>
      <c r="Y13" s="196"/>
      <c r="Z13" s="196"/>
      <c r="AA13" s="196"/>
      <c r="AB13" s="197"/>
      <c r="AC13" s="197"/>
      <c r="AD13" s="197"/>
      <c r="AE13" s="197"/>
      <c r="AF13" s="197"/>
      <c r="AG13" s="197"/>
      <c r="AH13" s="197"/>
      <c r="AI13" s="197"/>
      <c r="AJ13" s="197"/>
      <c r="AK13" s="197"/>
      <c r="AL13" s="197"/>
      <c r="AM13" s="198" t="str">
        <f aca="false">IF($A13="","",IF(OR($N13="Yes",$S13="Yes",$X13="Yes",$AC13="Yes",$AH13="Yes"),"Yes","No"))</f>
        <v>No</v>
      </c>
      <c r="AN13" s="198" t="str">
        <f aca="false">IF($A13="","",IFERROR(IF($AI13&lt;&gt;"",$AI13,IF($AD13&lt;&gt;"",$AD13,IF($Y13&lt;&gt;"",$Y13,IF($T13&lt;&gt;"",$T13,IF($O13&lt;&gt;"",$O13,""))))),""))</f>
        <v/>
      </c>
      <c r="AO13" s="198" t="str">
        <f aca="false">IFERROR(IF($AJ13&lt;&gt;"",$AJ13,IF($AE13&lt;&gt;"",$AE13,IF($Z13&lt;&gt;"",$Z13,IF($U13&lt;&gt;"",$U13,IF($P13&lt;&gt;"",$P13,""))))),"")</f>
        <v/>
      </c>
      <c r="AP13" s="199" t="s">
        <v>1695</v>
      </c>
    </row>
    <row r="14" customFormat="false" ht="60" hidden="false" customHeight="true" outlineLevel="0" collapsed="false">
      <c r="A14" s="194" t="str">
        <f aca="false">IF(C14="","",$C$2&amp;"."&amp;COUNTA($C$8:C14)&amp;"")</f>
        <v>TC_06.6</v>
      </c>
      <c r="B14" s="194" t="s">
        <v>1689</v>
      </c>
      <c r="C14" s="194" t="s">
        <v>1690</v>
      </c>
      <c r="D14" s="194" t="s">
        <v>40</v>
      </c>
      <c r="E14" s="194" t="s">
        <v>156</v>
      </c>
      <c r="F14" s="195" t="s">
        <v>1696</v>
      </c>
      <c r="G14" s="195" t="s">
        <v>1697</v>
      </c>
      <c r="H14" s="195" t="s">
        <v>1698</v>
      </c>
      <c r="I14" s="195" t="s">
        <v>1699</v>
      </c>
      <c r="J14" s="194" t="s">
        <v>637</v>
      </c>
      <c r="K14" s="194" t="s">
        <v>241</v>
      </c>
      <c r="L14" s="194" t="s">
        <v>638</v>
      </c>
      <c r="M14" s="194"/>
      <c r="N14" s="196"/>
      <c r="O14" s="196"/>
      <c r="P14" s="196"/>
      <c r="Q14" s="196"/>
      <c r="R14" s="196"/>
      <c r="S14" s="196"/>
      <c r="T14" s="196"/>
      <c r="U14" s="196"/>
      <c r="V14" s="196"/>
      <c r="W14" s="196"/>
      <c r="X14" s="196"/>
      <c r="Y14" s="196"/>
      <c r="Z14" s="196"/>
      <c r="AA14" s="196"/>
      <c r="AB14" s="197"/>
      <c r="AC14" s="197"/>
      <c r="AD14" s="197"/>
      <c r="AE14" s="197"/>
      <c r="AF14" s="197"/>
      <c r="AG14" s="197"/>
      <c r="AH14" s="197"/>
      <c r="AI14" s="197"/>
      <c r="AJ14" s="197"/>
      <c r="AK14" s="197"/>
      <c r="AL14" s="197"/>
      <c r="AM14" s="198" t="str">
        <f aca="false">IF($A14="","",IF(OR($N14="Yes",$S14="Yes",$X14="Yes",$AC14="Yes",$AH14="Yes"),"Yes","No"))</f>
        <v>No</v>
      </c>
      <c r="AN14" s="198" t="str">
        <f aca="false">IF($A14="","",IFERROR(IF($AI14&lt;&gt;"",$AI14,IF($AD14&lt;&gt;"",$AD14,IF($Y14&lt;&gt;"",$Y14,IF($T14&lt;&gt;"",$T14,IF($O14&lt;&gt;"",$O14,""))))),""))</f>
        <v/>
      </c>
      <c r="AO14" s="198" t="str">
        <f aca="false">IFERROR(IF($AJ14&lt;&gt;"",$AJ14,IF($AE14&lt;&gt;"",$AE14,IF($Z14&lt;&gt;"",$Z14,IF($U14&lt;&gt;"",$U14,IF($P14&lt;&gt;"",$P14,""))))),"")</f>
        <v/>
      </c>
      <c r="AP14" s="199" t="s">
        <v>1700</v>
      </c>
    </row>
    <row r="15" customFormat="false" ht="60" hidden="false" customHeight="true" outlineLevel="0" collapsed="false">
      <c r="A15" s="194" t="str">
        <f aca="false">IF(C15="","",$C$2&amp;"."&amp;COUNTA($C$8:C15)&amp;"")</f>
        <v>TC_06.7</v>
      </c>
      <c r="B15" s="194" t="s">
        <v>1689</v>
      </c>
      <c r="C15" s="194" t="s">
        <v>1690</v>
      </c>
      <c r="D15" s="194" t="s">
        <v>40</v>
      </c>
      <c r="E15" s="194" t="s">
        <v>156</v>
      </c>
      <c r="F15" s="195" t="s">
        <v>1701</v>
      </c>
      <c r="G15" s="195" t="s">
        <v>1702</v>
      </c>
      <c r="H15" s="195" t="s">
        <v>1703</v>
      </c>
      <c r="I15" s="195" t="s">
        <v>1704</v>
      </c>
      <c r="J15" s="194" t="s">
        <v>637</v>
      </c>
      <c r="K15" s="194" t="s">
        <v>241</v>
      </c>
      <c r="L15" s="194" t="s">
        <v>638</v>
      </c>
      <c r="M15" s="194"/>
      <c r="N15" s="196"/>
      <c r="O15" s="196"/>
      <c r="P15" s="196"/>
      <c r="Q15" s="196"/>
      <c r="R15" s="196"/>
      <c r="S15" s="196"/>
      <c r="T15" s="196"/>
      <c r="U15" s="196"/>
      <c r="V15" s="196"/>
      <c r="W15" s="196"/>
      <c r="X15" s="196"/>
      <c r="Y15" s="196"/>
      <c r="Z15" s="196"/>
      <c r="AA15" s="196"/>
      <c r="AB15" s="197"/>
      <c r="AC15" s="197"/>
      <c r="AD15" s="197"/>
      <c r="AE15" s="197"/>
      <c r="AF15" s="197"/>
      <c r="AG15" s="197"/>
      <c r="AH15" s="197"/>
      <c r="AI15" s="197"/>
      <c r="AJ15" s="197"/>
      <c r="AK15" s="197"/>
      <c r="AL15" s="197"/>
      <c r="AM15" s="198" t="str">
        <f aca="false">IF($A15="","",IF(OR($N15="Yes",$S15="Yes",$X15="Yes",$AC15="Yes",$AH15="Yes"),"Yes","No"))</f>
        <v>No</v>
      </c>
      <c r="AN15" s="198" t="str">
        <f aca="false">IF($A15="","",IFERROR(IF($AI15&lt;&gt;"",$AI15,IF($AD15&lt;&gt;"",$AD15,IF($Y15&lt;&gt;"",$Y15,IF($T15&lt;&gt;"",$T15,IF($O15&lt;&gt;"",$O15,""))))),""))</f>
        <v/>
      </c>
      <c r="AO15" s="198" t="str">
        <f aca="false">IFERROR(IF($AJ15&lt;&gt;"",$AJ15,IF($AE15&lt;&gt;"",$AE15,IF($Z15&lt;&gt;"",$Z15,IF($U15&lt;&gt;"",$U15,IF($P15&lt;&gt;"",$P15,""))))),"")</f>
        <v/>
      </c>
      <c r="AP15" s="199" t="s">
        <v>1705</v>
      </c>
    </row>
    <row r="16" customFormat="false" ht="60" hidden="false" customHeight="true" outlineLevel="0" collapsed="false">
      <c r="A16" s="194" t="str">
        <f aca="false">IF(C16="","",$C$2&amp;"."&amp;COUNTA($C$8:C16)&amp;"")</f>
        <v>TC_06.8</v>
      </c>
      <c r="B16" s="194" t="s">
        <v>1706</v>
      </c>
      <c r="C16" s="194" t="s">
        <v>713</v>
      </c>
      <c r="D16" s="194" t="s">
        <v>40</v>
      </c>
      <c r="E16" s="194" t="s">
        <v>156</v>
      </c>
      <c r="F16" s="195" t="s">
        <v>1707</v>
      </c>
      <c r="G16" s="195" t="s">
        <v>1708</v>
      </c>
      <c r="H16" s="195" t="s">
        <v>1709</v>
      </c>
      <c r="I16" s="195" t="s">
        <v>1699</v>
      </c>
      <c r="J16" s="194" t="s">
        <v>637</v>
      </c>
      <c r="K16" s="194" t="s">
        <v>241</v>
      </c>
      <c r="L16" s="194" t="s">
        <v>638</v>
      </c>
      <c r="M16" s="194"/>
      <c r="N16" s="196"/>
      <c r="O16" s="196"/>
      <c r="P16" s="196"/>
      <c r="Q16" s="196"/>
      <c r="R16" s="196"/>
      <c r="S16" s="196"/>
      <c r="T16" s="196"/>
      <c r="U16" s="196"/>
      <c r="V16" s="196"/>
      <c r="W16" s="196"/>
      <c r="X16" s="196"/>
      <c r="Y16" s="196"/>
      <c r="Z16" s="196"/>
      <c r="AA16" s="196"/>
      <c r="AB16" s="197"/>
      <c r="AC16" s="197"/>
      <c r="AD16" s="197"/>
      <c r="AE16" s="197"/>
      <c r="AF16" s="197"/>
      <c r="AG16" s="197"/>
      <c r="AH16" s="197"/>
      <c r="AI16" s="197"/>
      <c r="AJ16" s="197"/>
      <c r="AK16" s="197"/>
      <c r="AL16" s="197"/>
      <c r="AM16" s="198" t="str">
        <f aca="false">IF($A16="","",IF(OR($N16="Yes",$S16="Yes",$X16="Yes",$AC16="Yes",$AH16="Yes"),"Yes","No"))</f>
        <v>No</v>
      </c>
      <c r="AN16" s="198" t="str">
        <f aca="false">IF($A16="","",IFERROR(IF($AI16&lt;&gt;"",$AI16,IF($AD16&lt;&gt;"",$AD16,IF($Y16&lt;&gt;"",$Y16,IF($T16&lt;&gt;"",$T16,IF($O16&lt;&gt;"",$O16,""))))),""))</f>
        <v/>
      </c>
      <c r="AO16" s="198" t="str">
        <f aca="false">IFERROR(IF($AJ16&lt;&gt;"",$AJ16,IF($AE16&lt;&gt;"",$AE16,IF($Z16&lt;&gt;"",$Z16,IF($U16&lt;&gt;"",$U16,IF($P16&lt;&gt;"",$P16,""))))),"")</f>
        <v/>
      </c>
      <c r="AP16" s="199" t="s">
        <v>1710</v>
      </c>
    </row>
    <row r="17" customFormat="false" ht="60" hidden="false" customHeight="true" outlineLevel="0" collapsed="false">
      <c r="A17" s="194" t="str">
        <f aca="false">IF(C17="","",$C$2&amp;"."&amp;COUNTA($C$8:C17)&amp;"")</f>
        <v>TC_06.9</v>
      </c>
      <c r="B17" s="194" t="s">
        <v>1711</v>
      </c>
      <c r="C17" s="194" t="s">
        <v>713</v>
      </c>
      <c r="D17" s="194" t="s">
        <v>40</v>
      </c>
      <c r="E17" s="194" t="s">
        <v>156</v>
      </c>
      <c r="F17" s="195" t="s">
        <v>1712</v>
      </c>
      <c r="G17" s="195" t="s">
        <v>1713</v>
      </c>
      <c r="H17" s="195" t="s">
        <v>1714</v>
      </c>
      <c r="I17" s="195" t="s">
        <v>1699</v>
      </c>
      <c r="J17" s="194" t="s">
        <v>637</v>
      </c>
      <c r="K17" s="194" t="s">
        <v>241</v>
      </c>
      <c r="L17" s="194" t="s">
        <v>638</v>
      </c>
      <c r="M17" s="194"/>
      <c r="N17" s="196"/>
      <c r="O17" s="196"/>
      <c r="P17" s="196"/>
      <c r="Q17" s="196"/>
      <c r="R17" s="196"/>
      <c r="S17" s="196"/>
      <c r="T17" s="196"/>
      <c r="U17" s="196"/>
      <c r="V17" s="196"/>
      <c r="W17" s="196"/>
      <c r="X17" s="196"/>
      <c r="Y17" s="196"/>
      <c r="Z17" s="196"/>
      <c r="AA17" s="196"/>
      <c r="AB17" s="197"/>
      <c r="AC17" s="197"/>
      <c r="AD17" s="197"/>
      <c r="AE17" s="197"/>
      <c r="AF17" s="197"/>
      <c r="AG17" s="197"/>
      <c r="AH17" s="197"/>
      <c r="AI17" s="197"/>
      <c r="AJ17" s="197"/>
      <c r="AK17" s="197"/>
      <c r="AL17" s="197"/>
      <c r="AM17" s="198" t="str">
        <f aca="false">IF($A16="","",IF(OR($N16="Yes",$S16="Yes",$X16="Yes",$AC16="Yes",$AH16="Yes"),"Yes","No"))</f>
        <v>No</v>
      </c>
      <c r="AN17" s="198" t="str">
        <f aca="false">IF($A16="","",IFERROR(IF($AI16&lt;&gt;"",$AI16,IF($AD16&lt;&gt;"",$AD16,IF($Y16&lt;&gt;"",$Y16,IF($T16&lt;&gt;"",$T16,IF($O16&lt;&gt;"",$O16,""))))),""))</f>
        <v/>
      </c>
      <c r="AO17" s="198" t="str">
        <f aca="false">IFERROR(IF($AJ16&lt;&gt;"",$AJ16,IF($AE16&lt;&gt;"",$AE16,IF($Z16&lt;&gt;"",$Z16,IF($U16&lt;&gt;"",$U16,IF($P16&lt;&gt;"",$P16,""))))),"")</f>
        <v/>
      </c>
      <c r="AP17" s="199" t="s">
        <v>1715</v>
      </c>
    </row>
    <row r="18" customFormat="false" ht="60" hidden="false" customHeight="true" outlineLevel="0" collapsed="false">
      <c r="A18" s="194" t="str">
        <f aca="false">IF(C18="","",$C$2&amp;"."&amp;COUNTA($C$8:C18)&amp;"")</f>
        <v>TC_06.10</v>
      </c>
      <c r="B18" s="194" t="s">
        <v>576</v>
      </c>
      <c r="C18" s="194" t="s">
        <v>1716</v>
      </c>
      <c r="D18" s="194" t="s">
        <v>40</v>
      </c>
      <c r="E18" s="194" t="s">
        <v>157</v>
      </c>
      <c r="F18" s="195" t="s">
        <v>1717</v>
      </c>
      <c r="G18" s="195" t="s">
        <v>1718</v>
      </c>
      <c r="H18" s="195" t="s">
        <v>1719</v>
      </c>
      <c r="I18" s="195" t="s">
        <v>1720</v>
      </c>
      <c r="J18" s="194" t="s">
        <v>637</v>
      </c>
      <c r="K18" s="194" t="s">
        <v>241</v>
      </c>
      <c r="L18" s="194" t="s">
        <v>638</v>
      </c>
      <c r="M18" s="194"/>
      <c r="N18" s="196"/>
      <c r="O18" s="196"/>
      <c r="P18" s="196"/>
      <c r="Q18" s="196"/>
      <c r="R18" s="196"/>
      <c r="S18" s="196"/>
      <c r="T18" s="196"/>
      <c r="U18" s="196"/>
      <c r="V18" s="196"/>
      <c r="W18" s="196"/>
      <c r="X18" s="196"/>
      <c r="Y18" s="196"/>
      <c r="Z18" s="196"/>
      <c r="AA18" s="196"/>
      <c r="AB18" s="197"/>
      <c r="AC18" s="197"/>
      <c r="AD18" s="197"/>
      <c r="AE18" s="197"/>
      <c r="AF18" s="197"/>
      <c r="AG18" s="197"/>
      <c r="AH18" s="197"/>
      <c r="AI18" s="197"/>
      <c r="AJ18" s="197"/>
      <c r="AK18" s="197"/>
      <c r="AL18" s="197"/>
      <c r="AM18" s="198" t="str">
        <f aca="false">IF($A16="","",IF(OR($N16="Yes",$S16="Yes",$X16="Yes",$AC16="Yes",$AH16="Yes"),"Yes","No"))</f>
        <v>No</v>
      </c>
      <c r="AN18" s="198" t="str">
        <f aca="false">IF($A16="","",IFERROR(IF($AI16&lt;&gt;"",$AI16,IF($AD16&lt;&gt;"",$AD16,IF($Y16&lt;&gt;"",$Y16,IF($T16&lt;&gt;"",$T16,IF($O16&lt;&gt;"",$O16,""))))),""))</f>
        <v/>
      </c>
      <c r="AO18" s="198" t="str">
        <f aca="false">IFERROR(IF($AJ16&lt;&gt;"",$AJ16,IF($AE16&lt;&gt;"",$AE16,IF($Z16&lt;&gt;"",$Z16,IF($U16&lt;&gt;"",$U16,IF($P16&lt;&gt;"",$P16,""))))),"")</f>
        <v/>
      </c>
      <c r="AP18" s="199" t="s">
        <v>1721</v>
      </c>
    </row>
    <row r="19" customFormat="false" ht="60" hidden="false" customHeight="true" outlineLevel="0" collapsed="false">
      <c r="A19" s="194" t="str">
        <f aca="false">IF(C19="","",$C$2&amp;"."&amp;COUNTA($C$8:C19)&amp;"")</f>
        <v>TC_06.11</v>
      </c>
      <c r="B19" s="194" t="s">
        <v>576</v>
      </c>
      <c r="C19" s="194" t="s">
        <v>1716</v>
      </c>
      <c r="D19" s="194" t="s">
        <v>40</v>
      </c>
      <c r="E19" s="194" t="s">
        <v>157</v>
      </c>
      <c r="F19" s="195" t="s">
        <v>1722</v>
      </c>
      <c r="G19" s="195" t="s">
        <v>1723</v>
      </c>
      <c r="H19" s="195" t="s">
        <v>1724</v>
      </c>
      <c r="I19" s="195" t="s">
        <v>1725</v>
      </c>
      <c r="J19" s="194" t="s">
        <v>637</v>
      </c>
      <c r="K19" s="194" t="s">
        <v>241</v>
      </c>
      <c r="L19" s="194" t="s">
        <v>638</v>
      </c>
      <c r="M19" s="194"/>
      <c r="N19" s="196"/>
      <c r="O19" s="196"/>
      <c r="P19" s="196"/>
      <c r="Q19" s="196"/>
      <c r="R19" s="196"/>
      <c r="S19" s="196"/>
      <c r="T19" s="196"/>
      <c r="U19" s="196"/>
      <c r="V19" s="196"/>
      <c r="W19" s="196"/>
      <c r="X19" s="196"/>
      <c r="Y19" s="196"/>
      <c r="Z19" s="196"/>
      <c r="AA19" s="196"/>
      <c r="AB19" s="197"/>
      <c r="AC19" s="197"/>
      <c r="AD19" s="197"/>
      <c r="AE19" s="197"/>
      <c r="AF19" s="197"/>
      <c r="AG19" s="197"/>
      <c r="AH19" s="197"/>
      <c r="AI19" s="197"/>
      <c r="AJ19" s="197"/>
      <c r="AK19" s="197"/>
      <c r="AL19" s="197"/>
      <c r="AM19" s="198" t="str">
        <f aca="false">IF($A17="","",IF(OR($N17="Yes",$S17="Yes",$X17="Yes",$AC17="Yes",$AH17="Yes"),"Yes","No"))</f>
        <v>No</v>
      </c>
      <c r="AN19" s="198" t="str">
        <f aca="false">IF($A17="","",IFERROR(IF($AI17&lt;&gt;"",$AI17,IF($AD17&lt;&gt;"",$AD17,IF($Y17&lt;&gt;"",$Y17,IF($T17&lt;&gt;"",$T17,IF($O17&lt;&gt;"",$O17,""))))),""))</f>
        <v/>
      </c>
      <c r="AO19" s="198" t="str">
        <f aca="false">IFERROR(IF($AJ17&lt;&gt;"",$AJ17,IF($AE17&lt;&gt;"",$AE17,IF($Z17&lt;&gt;"",$Z17,IF($U17&lt;&gt;"",$U17,IF($P17&lt;&gt;"",$P17,""))))),"")</f>
        <v/>
      </c>
      <c r="AP19" s="199" t="s">
        <v>1726</v>
      </c>
    </row>
    <row r="20" customFormat="false" ht="60" hidden="false" customHeight="true" outlineLevel="0" collapsed="false">
      <c r="A20" s="194" t="str">
        <f aca="false">IF(C20="","",$C$2&amp;"."&amp;COUNTA($C$8:C20)&amp;"")</f>
        <v>TC_06.12</v>
      </c>
      <c r="B20" s="194" t="s">
        <v>570</v>
      </c>
      <c r="C20" s="194" t="s">
        <v>1648</v>
      </c>
      <c r="D20" s="194" t="s">
        <v>40</v>
      </c>
      <c r="E20" s="194" t="s">
        <v>157</v>
      </c>
      <c r="F20" s="195" t="s">
        <v>1727</v>
      </c>
      <c r="G20" s="195" t="s">
        <v>1728</v>
      </c>
      <c r="H20" s="195" t="s">
        <v>1729</v>
      </c>
      <c r="I20" s="195" t="s">
        <v>1652</v>
      </c>
      <c r="J20" s="194" t="s">
        <v>637</v>
      </c>
      <c r="K20" s="194" t="s">
        <v>241</v>
      </c>
      <c r="L20" s="194" t="s">
        <v>638</v>
      </c>
      <c r="M20" s="194"/>
      <c r="N20" s="196"/>
      <c r="O20" s="196"/>
      <c r="P20" s="196"/>
      <c r="Q20" s="196"/>
      <c r="R20" s="196"/>
      <c r="S20" s="196"/>
      <c r="T20" s="196"/>
      <c r="U20" s="196"/>
      <c r="V20" s="196"/>
      <c r="W20" s="196"/>
      <c r="X20" s="196"/>
      <c r="Y20" s="196"/>
      <c r="Z20" s="196"/>
      <c r="AA20" s="196"/>
      <c r="AB20" s="197"/>
      <c r="AC20" s="197"/>
      <c r="AD20" s="197"/>
      <c r="AE20" s="197"/>
      <c r="AF20" s="197"/>
      <c r="AG20" s="197"/>
      <c r="AH20" s="197"/>
      <c r="AI20" s="197"/>
      <c r="AJ20" s="197"/>
      <c r="AK20" s="197"/>
      <c r="AL20" s="197"/>
      <c r="AM20" s="198" t="str">
        <f aca="false">IF($A18="","",IF(OR($N18="Yes",$S18="Yes",$X18="Yes",$AC18="Yes",$AH18="Yes"),"Yes","No"))</f>
        <v>No</v>
      </c>
      <c r="AN20" s="198" t="str">
        <f aca="false">IF($A18="","",IFERROR(IF($AI18&lt;&gt;"",$AI18,IF($AD18&lt;&gt;"",$AD18,IF($Y18&lt;&gt;"",$Y18,IF($T18&lt;&gt;"",$T18,IF($O18&lt;&gt;"",$O18,""))))),""))</f>
        <v/>
      </c>
      <c r="AO20" s="198" t="str">
        <f aca="false">IFERROR(IF($AJ18&lt;&gt;"",$AJ18,IF($AE18&lt;&gt;"",$AE18,IF($Z18&lt;&gt;"",$Z18,IF($U18&lt;&gt;"",$U18,IF($P18&lt;&gt;"",$P18,""))))),"")</f>
        <v/>
      </c>
      <c r="AP20" s="199" t="s">
        <v>1653</v>
      </c>
    </row>
    <row r="21" customFormat="false" ht="60" hidden="false" customHeight="true" outlineLevel="0" collapsed="false">
      <c r="A21" s="194" t="str">
        <f aca="false">IF(C21="","",$C$2&amp;"."&amp;COUNTA($C$8:C21)&amp;"")</f>
        <v>TC_06.13</v>
      </c>
      <c r="B21" s="194" t="s">
        <v>570</v>
      </c>
      <c r="C21" s="194" t="s">
        <v>1648</v>
      </c>
      <c r="D21" s="194" t="s">
        <v>40</v>
      </c>
      <c r="E21" s="194" t="s">
        <v>157</v>
      </c>
      <c r="F21" s="195" t="s">
        <v>1730</v>
      </c>
      <c r="G21" s="195" t="s">
        <v>1731</v>
      </c>
      <c r="H21" s="195" t="s">
        <v>1732</v>
      </c>
      <c r="I21" s="195" t="s">
        <v>1657</v>
      </c>
      <c r="J21" s="194" t="s">
        <v>637</v>
      </c>
      <c r="K21" s="194" t="s">
        <v>241</v>
      </c>
      <c r="L21" s="194" t="s">
        <v>638</v>
      </c>
      <c r="M21" s="194"/>
      <c r="N21" s="196"/>
      <c r="O21" s="196"/>
      <c r="P21" s="196"/>
      <c r="Q21" s="196"/>
      <c r="R21" s="196"/>
      <c r="S21" s="196"/>
      <c r="T21" s="196"/>
      <c r="U21" s="196"/>
      <c r="V21" s="196"/>
      <c r="W21" s="196"/>
      <c r="X21" s="196"/>
      <c r="Y21" s="196"/>
      <c r="Z21" s="196"/>
      <c r="AA21" s="196"/>
      <c r="AB21" s="197"/>
      <c r="AC21" s="197"/>
      <c r="AD21" s="197"/>
      <c r="AE21" s="197"/>
      <c r="AF21" s="197"/>
      <c r="AG21" s="197"/>
      <c r="AH21" s="197"/>
      <c r="AI21" s="197"/>
      <c r="AJ21" s="197"/>
      <c r="AK21" s="197"/>
      <c r="AL21" s="197"/>
      <c r="AM21" s="198" t="str">
        <f aca="false">IF($A19="","",IF(OR($N19="Yes",$S19="Yes",$X19="Yes",$AC19="Yes",$AH19="Yes"),"Yes","No"))</f>
        <v>No</v>
      </c>
      <c r="AN21" s="198" t="str">
        <f aca="false">IF($A19="","",IFERROR(IF($AI19&lt;&gt;"",$AI19,IF($AD19&lt;&gt;"",$AD19,IF($Y19&lt;&gt;"",$Y19,IF($T19&lt;&gt;"",$T19,IF($O19&lt;&gt;"",$O19,""))))),""))</f>
        <v/>
      </c>
      <c r="AO21" s="198" t="str">
        <f aca="false">IFERROR(IF($AJ19&lt;&gt;"",$AJ19,IF($AE19&lt;&gt;"",$AE19,IF($Z19&lt;&gt;"",$Z19,IF($U19&lt;&gt;"",$U19,IF($P19&lt;&gt;"",$P19,""))))),"")</f>
        <v/>
      </c>
      <c r="AP21" s="199" t="s">
        <v>1658</v>
      </c>
    </row>
    <row r="22" customFormat="false" ht="19.5" hidden="false" customHeight="true" outlineLevel="0" collapsed="false">
      <c r="A22" s="194"/>
      <c r="B22" s="200" t="s">
        <v>1733</v>
      </c>
      <c r="C22" s="200"/>
      <c r="D22" s="200"/>
      <c r="E22" s="200"/>
      <c r="F22" s="200"/>
      <c r="G22" s="200"/>
      <c r="H22" s="200"/>
      <c r="I22" s="200"/>
      <c r="J22" s="194"/>
      <c r="K22" s="194"/>
      <c r="L22" s="194"/>
      <c r="M22" s="194"/>
      <c r="N22" s="196"/>
      <c r="O22" s="196"/>
      <c r="P22" s="196"/>
      <c r="Q22" s="196"/>
      <c r="R22" s="196"/>
      <c r="S22" s="196"/>
      <c r="T22" s="196"/>
      <c r="U22" s="196"/>
      <c r="V22" s="196"/>
      <c r="W22" s="196"/>
      <c r="X22" s="196"/>
      <c r="Y22" s="196"/>
      <c r="Z22" s="196"/>
      <c r="AA22" s="196"/>
      <c r="AB22" s="197"/>
      <c r="AC22" s="197"/>
      <c r="AD22" s="197"/>
      <c r="AE22" s="197"/>
      <c r="AF22" s="197"/>
      <c r="AG22" s="197"/>
      <c r="AH22" s="197"/>
      <c r="AI22" s="197"/>
      <c r="AJ22" s="197"/>
      <c r="AK22" s="197"/>
      <c r="AL22" s="197"/>
      <c r="AM22" s="198"/>
      <c r="AN22" s="198"/>
      <c r="AO22" s="198"/>
      <c r="AP22" s="199"/>
    </row>
    <row r="23" customFormat="false" ht="60" hidden="false" customHeight="true" outlineLevel="0" collapsed="false">
      <c r="A23" s="194" t="str">
        <f aca="false">IF(C23="","",$C$2&amp;"."&amp;COUNTA($C$8:C23)&amp;"")</f>
        <v>TC_06.14</v>
      </c>
      <c r="B23" s="194" t="s">
        <v>517</v>
      </c>
      <c r="C23" s="194" t="s">
        <v>713</v>
      </c>
      <c r="D23" s="194" t="s">
        <v>42</v>
      </c>
      <c r="E23" s="194" t="s">
        <v>158</v>
      </c>
      <c r="F23" s="195" t="s">
        <v>1734</v>
      </c>
      <c r="G23" s="195" t="s">
        <v>1686</v>
      </c>
      <c r="H23" s="195" t="s">
        <v>1735</v>
      </c>
      <c r="I23" s="195" t="s">
        <v>1736</v>
      </c>
      <c r="J23" s="194" t="s">
        <v>637</v>
      </c>
      <c r="K23" s="194" t="s">
        <v>241</v>
      </c>
      <c r="L23" s="194" t="s">
        <v>638</v>
      </c>
      <c r="M23" s="194"/>
      <c r="N23" s="196"/>
      <c r="O23" s="196"/>
      <c r="P23" s="196"/>
      <c r="Q23" s="196"/>
      <c r="R23" s="196"/>
      <c r="S23" s="196"/>
      <c r="T23" s="196"/>
      <c r="U23" s="196"/>
      <c r="V23" s="196"/>
      <c r="W23" s="196"/>
      <c r="X23" s="196"/>
      <c r="Y23" s="196"/>
      <c r="Z23" s="196"/>
      <c r="AA23" s="196"/>
      <c r="AB23" s="197"/>
      <c r="AC23" s="197"/>
      <c r="AD23" s="197"/>
      <c r="AE23" s="197"/>
      <c r="AF23" s="197"/>
      <c r="AG23" s="197"/>
      <c r="AH23" s="197"/>
      <c r="AI23" s="197"/>
      <c r="AJ23" s="197"/>
      <c r="AK23" s="197"/>
      <c r="AL23" s="197"/>
      <c r="AM23" s="198" t="str">
        <f aca="false">IF($A19="","",IF(OR($N19="Yes",$S19="Yes",$X19="Yes",$AC19="Yes",$AH19="Yes"),"Yes","No"))</f>
        <v>No</v>
      </c>
      <c r="AN23" s="198" t="str">
        <f aca="false">IF($A19="","",IFERROR(IF($AI19&lt;&gt;"",$AI19,IF($AD19&lt;&gt;"",$AD19,IF($Y19&lt;&gt;"",$Y19,IF($T19&lt;&gt;"",$T19,IF($O19&lt;&gt;"",$O19,""))))),""))</f>
        <v/>
      </c>
      <c r="AO23" s="198" t="str">
        <f aca="false">IFERROR(IF($AJ19&lt;&gt;"",$AJ19,IF($AE19&lt;&gt;"",$AE19,IF($Z19&lt;&gt;"",$Z19,IF($U19&lt;&gt;"",$U19,IF($P19&lt;&gt;"",$P19,""))))),"")</f>
        <v/>
      </c>
      <c r="AP23" s="199" t="s">
        <v>926</v>
      </c>
    </row>
    <row r="24" customFormat="false" ht="60" hidden="false" customHeight="true" outlineLevel="0" collapsed="false">
      <c r="A24" s="194" t="str">
        <f aca="false">IF(C24="","",$C$2&amp;"."&amp;COUNTA($C$8:C24)&amp;"")</f>
        <v>TC_06.15</v>
      </c>
      <c r="B24" s="194" t="s">
        <v>517</v>
      </c>
      <c r="C24" s="194" t="s">
        <v>1737</v>
      </c>
      <c r="D24" s="194" t="s">
        <v>42</v>
      </c>
      <c r="E24" s="194" t="s">
        <v>157</v>
      </c>
      <c r="F24" s="195" t="s">
        <v>1738</v>
      </c>
      <c r="G24" s="195" t="s">
        <v>1739</v>
      </c>
      <c r="H24" s="195" t="s">
        <v>1740</v>
      </c>
      <c r="I24" s="195" t="s">
        <v>1741</v>
      </c>
      <c r="J24" s="194" t="s">
        <v>637</v>
      </c>
      <c r="K24" s="194" t="s">
        <v>241</v>
      </c>
      <c r="L24" s="194" t="s">
        <v>638</v>
      </c>
      <c r="M24" s="194"/>
      <c r="N24" s="196"/>
      <c r="O24" s="196"/>
      <c r="P24" s="196"/>
      <c r="Q24" s="196"/>
      <c r="R24" s="196"/>
      <c r="S24" s="196"/>
      <c r="T24" s="196"/>
      <c r="U24" s="196"/>
      <c r="V24" s="196"/>
      <c r="W24" s="196"/>
      <c r="X24" s="196"/>
      <c r="Y24" s="196"/>
      <c r="Z24" s="196"/>
      <c r="AA24" s="196"/>
      <c r="AB24" s="197"/>
      <c r="AC24" s="197"/>
      <c r="AD24" s="197"/>
      <c r="AE24" s="197"/>
      <c r="AF24" s="197"/>
      <c r="AG24" s="197"/>
      <c r="AH24" s="197"/>
      <c r="AI24" s="197"/>
      <c r="AJ24" s="197"/>
      <c r="AK24" s="197"/>
      <c r="AL24" s="197"/>
      <c r="AM24" s="198" t="str">
        <f aca="false">IF($A21="","",IF(OR($N21="Yes",$S21="Yes",$X21="Yes",$AC21="Yes",$AH21="Yes"),"Yes","No"))</f>
        <v>No</v>
      </c>
      <c r="AN24" s="198" t="str">
        <f aca="false">IF($A21="","",IFERROR(IF($AI21&lt;&gt;"",$AI21,IF($AD21&lt;&gt;"",$AD21,IF($Y21&lt;&gt;"",$Y21,IF($T21&lt;&gt;"",$T21,IF($O21&lt;&gt;"",$O21,""))))),""))</f>
        <v/>
      </c>
      <c r="AO24" s="198" t="str">
        <f aca="false">IFERROR(IF($AJ21&lt;&gt;"",$AJ21,IF($AE21&lt;&gt;"",$AE21,IF($Z21&lt;&gt;"",$Z21,IF($U21&lt;&gt;"",$U21,IF($P21&lt;&gt;"",$P21,""))))),"")</f>
        <v/>
      </c>
      <c r="AP24" s="199" t="s">
        <v>675</v>
      </c>
    </row>
    <row r="25" customFormat="false" ht="60" hidden="false" customHeight="true" outlineLevel="0" collapsed="false">
      <c r="A25" s="194" t="str">
        <f aca="false">IF(C25="","",$C$2&amp;"."&amp;COUNTA($C$8:C25)&amp;"")</f>
        <v>TC_06.16</v>
      </c>
      <c r="B25" s="194" t="s">
        <v>517</v>
      </c>
      <c r="C25" s="194" t="s">
        <v>1737</v>
      </c>
      <c r="D25" s="194" t="s">
        <v>42</v>
      </c>
      <c r="E25" s="194" t="s">
        <v>158</v>
      </c>
      <c r="F25" s="195" t="s">
        <v>1742</v>
      </c>
      <c r="G25" s="195" t="s">
        <v>1743</v>
      </c>
      <c r="H25" s="195" t="s">
        <v>1744</v>
      </c>
      <c r="I25" s="195" t="s">
        <v>1745</v>
      </c>
      <c r="J25" s="194" t="s">
        <v>637</v>
      </c>
      <c r="K25" s="194" t="s">
        <v>241</v>
      </c>
      <c r="L25" s="194" t="s">
        <v>638</v>
      </c>
      <c r="M25" s="194"/>
      <c r="N25" s="196"/>
      <c r="O25" s="196"/>
      <c r="P25" s="196"/>
      <c r="Q25" s="196"/>
      <c r="R25" s="196"/>
      <c r="S25" s="196"/>
      <c r="T25" s="196"/>
      <c r="U25" s="196"/>
      <c r="V25" s="196"/>
      <c r="W25" s="196"/>
      <c r="X25" s="196"/>
      <c r="Y25" s="196"/>
      <c r="Z25" s="196"/>
      <c r="AA25" s="196"/>
      <c r="AB25" s="197"/>
      <c r="AC25" s="197"/>
      <c r="AD25" s="197"/>
      <c r="AE25" s="197"/>
      <c r="AF25" s="197"/>
      <c r="AG25" s="197"/>
      <c r="AH25" s="197"/>
      <c r="AI25" s="197"/>
      <c r="AJ25" s="197"/>
      <c r="AK25" s="197"/>
      <c r="AL25" s="197"/>
      <c r="AM25" s="198" t="str">
        <f aca="false">IF($A22="","",IF(OR($N22="Yes",$S22="Yes",$X22="Yes",$AC22="Yes",$AH22="Yes"),"Yes","No"))</f>
        <v/>
      </c>
      <c r="AN25" s="198" t="str">
        <f aca="false">IF($A22="","",IFERROR(IF($AI22&lt;&gt;"",$AI22,IF($AD22&lt;&gt;"",$AD22,IF($Y22&lt;&gt;"",$Y22,IF($T22&lt;&gt;"",$T22,IF($O22&lt;&gt;"",$O22,""))))),""))</f>
        <v/>
      </c>
      <c r="AO25" s="198" t="str">
        <f aca="false">IFERROR(IF($AJ22&lt;&gt;"",$AJ22,IF($AE22&lt;&gt;"",$AE22,IF($Z22&lt;&gt;"",$Z22,IF($U22&lt;&gt;"",$U22,IF($P22&lt;&gt;"",$P22,""))))),"")</f>
        <v/>
      </c>
      <c r="AP25" s="199" t="s">
        <v>1746</v>
      </c>
    </row>
    <row r="26" customFormat="false" ht="60" hidden="false" customHeight="true" outlineLevel="0" collapsed="false">
      <c r="A26" s="194" t="str">
        <f aca="false">IF(C26="","",$C$2&amp;"."&amp;COUNTA($C$8:C26)&amp;"")</f>
        <v>TC_06.17</v>
      </c>
      <c r="B26" s="194" t="s">
        <v>517</v>
      </c>
      <c r="C26" s="194" t="s">
        <v>1737</v>
      </c>
      <c r="D26" s="194" t="s">
        <v>42</v>
      </c>
      <c r="E26" s="194" t="s">
        <v>158</v>
      </c>
      <c r="F26" s="195" t="s">
        <v>1747</v>
      </c>
      <c r="G26" s="195" t="s">
        <v>1748</v>
      </c>
      <c r="H26" s="195" t="s">
        <v>1744</v>
      </c>
      <c r="I26" s="195" t="s">
        <v>1749</v>
      </c>
      <c r="J26" s="194" t="s">
        <v>637</v>
      </c>
      <c r="K26" s="194" t="s">
        <v>241</v>
      </c>
      <c r="L26" s="194" t="s">
        <v>638</v>
      </c>
      <c r="M26" s="194"/>
      <c r="N26" s="196"/>
      <c r="O26" s="196"/>
      <c r="P26" s="196"/>
      <c r="Q26" s="196"/>
      <c r="R26" s="196"/>
      <c r="S26" s="196"/>
      <c r="T26" s="196"/>
      <c r="U26" s="196"/>
      <c r="V26" s="196"/>
      <c r="W26" s="196"/>
      <c r="X26" s="196"/>
      <c r="Y26" s="196"/>
      <c r="Z26" s="196"/>
      <c r="AA26" s="196"/>
      <c r="AB26" s="197"/>
      <c r="AC26" s="197"/>
      <c r="AD26" s="197"/>
      <c r="AE26" s="197"/>
      <c r="AF26" s="197"/>
      <c r="AG26" s="197"/>
      <c r="AH26" s="197"/>
      <c r="AI26" s="197"/>
      <c r="AJ26" s="197"/>
      <c r="AK26" s="197"/>
      <c r="AL26" s="197"/>
      <c r="AM26" s="198" t="str">
        <f aca="false">IF($A23="","",IF(OR($N23="Yes",$S23="Yes",$X23="Yes",$AC23="Yes",$AH23="Yes"),"Yes","No"))</f>
        <v>No</v>
      </c>
      <c r="AN26" s="198" t="str">
        <f aca="false">IF($A23="","",IFERROR(IF($AI23&lt;&gt;"",$AI23,IF($AD23&lt;&gt;"",$AD23,IF($Y23&lt;&gt;"",$Y23,IF($T23&lt;&gt;"",$T23,IF($O23&lt;&gt;"",$O23,""))))),""))</f>
        <v/>
      </c>
      <c r="AO26" s="198" t="str">
        <f aca="false">IFERROR(IF($AJ23&lt;&gt;"",$AJ23,IF($AE23&lt;&gt;"",$AE23,IF($Z23&lt;&gt;"",$Z23,IF($U23&lt;&gt;"",$U23,IF($P23&lt;&gt;"",$P23,""))))),"")</f>
        <v/>
      </c>
      <c r="AP26" s="199" t="s">
        <v>1750</v>
      </c>
    </row>
    <row r="27" customFormat="false" ht="60" hidden="false" customHeight="true" outlineLevel="0" collapsed="false">
      <c r="A27" s="194" t="str">
        <f aca="false">IF(C27="","",$C$2&amp;"."&amp;COUNTA($C$8:C27)&amp;"")</f>
        <v>TC_06.18</v>
      </c>
      <c r="B27" s="194" t="s">
        <v>517</v>
      </c>
      <c r="C27" s="194" t="s">
        <v>1737</v>
      </c>
      <c r="D27" s="194" t="s">
        <v>42</v>
      </c>
      <c r="E27" s="194" t="s">
        <v>157</v>
      </c>
      <c r="F27" s="195" t="s">
        <v>1751</v>
      </c>
      <c r="G27" s="195" t="s">
        <v>1752</v>
      </c>
      <c r="H27" s="195" t="s">
        <v>1753</v>
      </c>
      <c r="I27" s="195" t="s">
        <v>1754</v>
      </c>
      <c r="J27" s="194" t="s">
        <v>637</v>
      </c>
      <c r="K27" s="194" t="s">
        <v>241</v>
      </c>
      <c r="L27" s="194" t="s">
        <v>638</v>
      </c>
      <c r="M27" s="194"/>
      <c r="N27" s="196"/>
      <c r="O27" s="196"/>
      <c r="P27" s="196"/>
      <c r="Q27" s="196"/>
      <c r="R27" s="196"/>
      <c r="S27" s="196"/>
      <c r="T27" s="196"/>
      <c r="U27" s="196"/>
      <c r="V27" s="196"/>
      <c r="W27" s="196"/>
      <c r="X27" s="196"/>
      <c r="Y27" s="196"/>
      <c r="Z27" s="196"/>
      <c r="AA27" s="196"/>
      <c r="AB27" s="197"/>
      <c r="AC27" s="197"/>
      <c r="AD27" s="197"/>
      <c r="AE27" s="197"/>
      <c r="AF27" s="197"/>
      <c r="AG27" s="197"/>
      <c r="AH27" s="197"/>
      <c r="AI27" s="197"/>
      <c r="AJ27" s="197"/>
      <c r="AK27" s="197"/>
      <c r="AL27" s="197"/>
      <c r="AM27" s="198" t="str">
        <f aca="false">IF($A24="","",IF(OR($N24="Yes",$S24="Yes",$X24="Yes",$AC24="Yes",$AH24="Yes"),"Yes","No"))</f>
        <v>No</v>
      </c>
      <c r="AN27" s="198" t="str">
        <f aca="false">IF($A24="","",IFERROR(IF($AI24&lt;&gt;"",$AI24,IF($AD24&lt;&gt;"",$AD24,IF($Y24&lt;&gt;"",$Y24,IF($T24&lt;&gt;"",$T24,IF($O24&lt;&gt;"",$O24,""))))),""))</f>
        <v/>
      </c>
      <c r="AO27" s="198" t="str">
        <f aca="false">IFERROR(IF($AJ24&lt;&gt;"",$AJ24,IF($AE24&lt;&gt;"",$AE24,IF($Z24&lt;&gt;"",$Z24,IF($U24&lt;&gt;"",$U24,IF($P24&lt;&gt;"",$P24,""))))),"")</f>
        <v/>
      </c>
      <c r="AP27" s="199"/>
    </row>
    <row r="28" customFormat="false" ht="19.5" hidden="false" customHeight="true" outlineLevel="0" collapsed="false">
      <c r="A28" s="194"/>
      <c r="B28" s="200" t="s">
        <v>1755</v>
      </c>
      <c r="C28" s="200"/>
      <c r="D28" s="200"/>
      <c r="E28" s="200"/>
      <c r="F28" s="200"/>
      <c r="G28" s="200"/>
      <c r="H28" s="200"/>
      <c r="I28" s="200"/>
      <c r="J28" s="194"/>
      <c r="K28" s="194"/>
      <c r="L28" s="194"/>
      <c r="M28" s="194"/>
      <c r="N28" s="196"/>
      <c r="O28" s="196"/>
      <c r="P28" s="196"/>
      <c r="Q28" s="196"/>
      <c r="R28" s="196"/>
      <c r="S28" s="196"/>
      <c r="T28" s="196"/>
      <c r="U28" s="196"/>
      <c r="V28" s="196"/>
      <c r="W28" s="196"/>
      <c r="X28" s="196"/>
      <c r="Y28" s="196"/>
      <c r="Z28" s="196"/>
      <c r="AA28" s="196"/>
      <c r="AB28" s="197"/>
      <c r="AC28" s="197"/>
      <c r="AD28" s="197"/>
      <c r="AE28" s="197"/>
      <c r="AF28" s="197"/>
      <c r="AG28" s="197"/>
      <c r="AH28" s="197"/>
      <c r="AI28" s="197"/>
      <c r="AJ28" s="197"/>
      <c r="AK28" s="197"/>
      <c r="AL28" s="197"/>
      <c r="AM28" s="198"/>
      <c r="AN28" s="198"/>
      <c r="AO28" s="198"/>
      <c r="AP28" s="199"/>
    </row>
    <row r="29" customFormat="false" ht="60" hidden="false" customHeight="true" outlineLevel="0" collapsed="false">
      <c r="A29" s="194" t="str">
        <f aca="false">IF(C29="","",$C$2&amp;"."&amp;COUNTA($C$8:C29)&amp;"")</f>
        <v>TC_06.19</v>
      </c>
      <c r="B29" s="194" t="s">
        <v>1756</v>
      </c>
      <c r="C29" s="194" t="s">
        <v>1737</v>
      </c>
      <c r="D29" s="194" t="s">
        <v>42</v>
      </c>
      <c r="E29" s="194" t="s">
        <v>157</v>
      </c>
      <c r="F29" s="195" t="s">
        <v>1757</v>
      </c>
      <c r="G29" s="195" t="s">
        <v>1758</v>
      </c>
      <c r="H29" s="195" t="s">
        <v>1759</v>
      </c>
      <c r="I29" s="195" t="s">
        <v>1760</v>
      </c>
      <c r="J29" s="194" t="s">
        <v>637</v>
      </c>
      <c r="K29" s="194" t="s">
        <v>241</v>
      </c>
      <c r="L29" s="194" t="s">
        <v>638</v>
      </c>
      <c r="M29" s="194"/>
      <c r="N29" s="196"/>
      <c r="O29" s="196"/>
      <c r="P29" s="196"/>
      <c r="Q29" s="196"/>
      <c r="R29" s="196"/>
      <c r="S29" s="196"/>
      <c r="T29" s="196"/>
      <c r="U29" s="196"/>
      <c r="V29" s="196"/>
      <c r="W29" s="196"/>
      <c r="X29" s="196"/>
      <c r="Y29" s="196"/>
      <c r="Z29" s="196"/>
      <c r="AA29" s="196"/>
      <c r="AB29" s="197"/>
      <c r="AC29" s="197"/>
      <c r="AD29" s="197"/>
      <c r="AE29" s="197"/>
      <c r="AF29" s="197"/>
      <c r="AG29" s="197"/>
      <c r="AH29" s="197"/>
      <c r="AI29" s="197"/>
      <c r="AJ29" s="197"/>
      <c r="AK29" s="197"/>
      <c r="AL29" s="197"/>
      <c r="AM29" s="198" t="str">
        <f aca="false">IF($A26="","",IF(OR($N26="Yes",$S26="Yes",$X26="Yes",$AC26="Yes",$AH26="Yes"),"Yes","No"))</f>
        <v>No</v>
      </c>
      <c r="AN29" s="198" t="str">
        <f aca="false">IF($A26="","",IFERROR(IF($AI26&lt;&gt;"",$AI26,IF($AD26&lt;&gt;"",$AD26,IF($Y26&lt;&gt;"",$Y26,IF($T26&lt;&gt;"",$T26,IF($O26&lt;&gt;"",$O26,""))))),""))</f>
        <v/>
      </c>
      <c r="AO29" s="198" t="str">
        <f aca="false">IFERROR(IF($AJ26&lt;&gt;"",$AJ26,IF($AE26&lt;&gt;"",$AE26,IF($Z26&lt;&gt;"",$Z26,IF($U26&lt;&gt;"",$U26,IF($P26&lt;&gt;"",$P26,""))))),"")</f>
        <v/>
      </c>
      <c r="AP29" s="199" t="s">
        <v>1761</v>
      </c>
    </row>
    <row r="30" customFormat="false" ht="60" hidden="false" customHeight="true" outlineLevel="0" collapsed="false">
      <c r="A30" s="194" t="str">
        <f aca="false">IF(C30="","",$C$2&amp;"."&amp;COUNTA($C$8:C30)&amp;"")</f>
        <v>TC_06.20</v>
      </c>
      <c r="B30" s="194" t="s">
        <v>517</v>
      </c>
      <c r="C30" s="194" t="s">
        <v>1737</v>
      </c>
      <c r="D30" s="194" t="s">
        <v>42</v>
      </c>
      <c r="E30" s="194" t="s">
        <v>158</v>
      </c>
      <c r="F30" s="195" t="s">
        <v>1762</v>
      </c>
      <c r="G30" s="195" t="s">
        <v>1763</v>
      </c>
      <c r="H30" s="195" t="s">
        <v>1764</v>
      </c>
      <c r="I30" s="195" t="s">
        <v>1765</v>
      </c>
      <c r="J30" s="194" t="s">
        <v>637</v>
      </c>
      <c r="K30" s="194" t="s">
        <v>241</v>
      </c>
      <c r="L30" s="194" t="s">
        <v>638</v>
      </c>
      <c r="M30" s="194"/>
      <c r="N30" s="196"/>
      <c r="O30" s="196"/>
      <c r="P30" s="196"/>
      <c r="Q30" s="196"/>
      <c r="R30" s="196"/>
      <c r="S30" s="196"/>
      <c r="T30" s="196"/>
      <c r="U30" s="196"/>
      <c r="V30" s="196"/>
      <c r="W30" s="196"/>
      <c r="X30" s="196"/>
      <c r="Y30" s="196"/>
      <c r="Z30" s="196"/>
      <c r="AA30" s="196"/>
      <c r="AB30" s="197"/>
      <c r="AC30" s="197"/>
      <c r="AD30" s="197"/>
      <c r="AE30" s="197"/>
      <c r="AF30" s="197"/>
      <c r="AG30" s="197"/>
      <c r="AH30" s="197"/>
      <c r="AI30" s="197"/>
      <c r="AJ30" s="197"/>
      <c r="AK30" s="197"/>
      <c r="AL30" s="197"/>
      <c r="AM30" s="198" t="str">
        <f aca="false">IF($A27="","",IF(OR($N27="Yes",$S27="Yes",$X27="Yes",$AC27="Yes",$AH27="Yes"),"Yes","No"))</f>
        <v>No</v>
      </c>
      <c r="AN30" s="198" t="str">
        <f aca="false">IF($A27="","",IFERROR(IF($AI27&lt;&gt;"",$AI27,IF($AD27&lt;&gt;"",$AD27,IF($Y27&lt;&gt;"",$Y27,IF($T27&lt;&gt;"",$T27,IF($O27&lt;&gt;"",$O27,""))))),""))</f>
        <v/>
      </c>
      <c r="AO30" s="198" t="str">
        <f aca="false">IFERROR(IF($AJ27&lt;&gt;"",$AJ27,IF($AE27&lt;&gt;"",$AE27,IF($Z27&lt;&gt;"",$Z27,IF($U27&lt;&gt;"",$U27,IF($P27&lt;&gt;"",$P27,""))))),"")</f>
        <v/>
      </c>
      <c r="AP30" s="199"/>
    </row>
    <row r="31" customFormat="false" ht="60" hidden="false" customHeight="true" outlineLevel="0" collapsed="false">
      <c r="A31" s="194" t="str">
        <f aca="false">IF(C31="","",$C$2&amp;"."&amp;COUNTA($C$8:C31)&amp;"")</f>
        <v>TC_06.21</v>
      </c>
      <c r="B31" s="194" t="s">
        <v>564</v>
      </c>
      <c r="C31" s="194" t="s">
        <v>1766</v>
      </c>
      <c r="D31" s="194" t="s">
        <v>42</v>
      </c>
      <c r="E31" s="194" t="s">
        <v>156</v>
      </c>
      <c r="F31" s="195" t="s">
        <v>1767</v>
      </c>
      <c r="G31" s="195" t="s">
        <v>1768</v>
      </c>
      <c r="H31" s="195" t="s">
        <v>1769</v>
      </c>
      <c r="I31" s="195" t="s">
        <v>1770</v>
      </c>
      <c r="J31" s="194" t="s">
        <v>637</v>
      </c>
      <c r="K31" s="194" t="s">
        <v>241</v>
      </c>
      <c r="L31" s="194" t="s">
        <v>638</v>
      </c>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t="str">
        <f aca="false">IF($A28="","",IF(OR($N28="Yes",$S28="Yes",$X28="Yes",$AC28="Yes",$AH28="Yes"),"Yes","No"))</f>
        <v/>
      </c>
      <c r="AN31" s="198" t="str">
        <f aca="false">IF($A28="","",IFERROR(IF($AI28&lt;&gt;"",$AI28,IF($AD28&lt;&gt;"",$AD28,IF($Y28&lt;&gt;"",$Y28,IF($T28&lt;&gt;"",$T28,IF($O28&lt;&gt;"",$O28,""))))),""))</f>
        <v/>
      </c>
      <c r="AO31" s="198" t="str">
        <f aca="false">IFERROR(IF($AJ28&lt;&gt;"",$AJ28,IF($AE28&lt;&gt;"",$AE28,IF($Z28&lt;&gt;"",$Z28,IF($U28&lt;&gt;"",$U28,IF($P28&lt;&gt;"",$P28,""))))),"")</f>
        <v/>
      </c>
      <c r="AP31" s="199" t="s">
        <v>1771</v>
      </c>
    </row>
    <row r="32" customFormat="false" ht="19.5" hidden="false" customHeight="true" outlineLevel="0" collapsed="false">
      <c r="A32" s="194"/>
      <c r="B32" s="200" t="s">
        <v>1772</v>
      </c>
      <c r="C32" s="200"/>
      <c r="D32" s="200"/>
      <c r="E32" s="200"/>
      <c r="F32" s="200"/>
      <c r="G32" s="200"/>
      <c r="H32" s="200"/>
      <c r="I32" s="200"/>
      <c r="J32" s="194"/>
      <c r="K32" s="194"/>
      <c r="L32" s="194"/>
      <c r="M32" s="194"/>
      <c r="N32" s="196"/>
      <c r="O32" s="196"/>
      <c r="P32" s="196"/>
      <c r="Q32" s="196"/>
      <c r="R32" s="196"/>
      <c r="S32" s="196"/>
      <c r="T32" s="196"/>
      <c r="U32" s="196"/>
      <c r="V32" s="196"/>
      <c r="W32" s="196"/>
      <c r="X32" s="196"/>
      <c r="Y32" s="196"/>
      <c r="Z32" s="196"/>
      <c r="AA32" s="196"/>
      <c r="AB32" s="197"/>
      <c r="AC32" s="197"/>
      <c r="AD32" s="197"/>
      <c r="AE32" s="197"/>
      <c r="AF32" s="197"/>
      <c r="AG32" s="197"/>
      <c r="AH32" s="197"/>
      <c r="AI32" s="197"/>
      <c r="AJ32" s="197"/>
      <c r="AK32" s="197"/>
      <c r="AL32" s="197"/>
      <c r="AM32" s="198"/>
      <c r="AN32" s="198"/>
      <c r="AO32" s="198"/>
      <c r="AP32" s="199"/>
    </row>
    <row r="33" customFormat="false" ht="60" hidden="false" customHeight="true" outlineLevel="0" collapsed="false">
      <c r="A33" s="194" t="str">
        <f aca="false">IF(C33="","",$C$2&amp;"."&amp;COUNTA($C$8:C33)&amp;"")</f>
        <v>TC_06.22</v>
      </c>
      <c r="B33" s="194" t="s">
        <v>558</v>
      </c>
      <c r="C33" s="194" t="s">
        <v>1773</v>
      </c>
      <c r="D33" s="194" t="s">
        <v>40</v>
      </c>
      <c r="E33" s="194" t="s">
        <v>156</v>
      </c>
      <c r="F33" s="195" t="s">
        <v>1774</v>
      </c>
      <c r="G33" s="195" t="s">
        <v>1775</v>
      </c>
      <c r="H33" s="195" t="s">
        <v>1776</v>
      </c>
      <c r="I33" s="195" t="s">
        <v>1777</v>
      </c>
      <c r="J33" s="194" t="s">
        <v>637</v>
      </c>
      <c r="K33" s="194" t="s">
        <v>241</v>
      </c>
      <c r="L33" s="194" t="s">
        <v>638</v>
      </c>
      <c r="M33" s="194"/>
      <c r="N33" s="196"/>
      <c r="O33" s="196"/>
      <c r="P33" s="196"/>
      <c r="Q33" s="196"/>
      <c r="R33" s="196"/>
      <c r="S33" s="196"/>
      <c r="T33" s="196"/>
      <c r="U33" s="196"/>
      <c r="V33" s="196"/>
      <c r="W33" s="196"/>
      <c r="X33" s="196"/>
      <c r="Y33" s="196"/>
      <c r="Z33" s="196"/>
      <c r="AA33" s="196"/>
      <c r="AB33" s="197"/>
      <c r="AC33" s="197"/>
      <c r="AD33" s="197"/>
      <c r="AE33" s="197"/>
      <c r="AF33" s="197"/>
      <c r="AG33" s="197"/>
      <c r="AH33" s="197"/>
      <c r="AI33" s="197"/>
      <c r="AJ33" s="197"/>
      <c r="AK33" s="197"/>
      <c r="AL33" s="197"/>
      <c r="AM33" s="198" t="str">
        <f aca="false">IF($A30="","",IF(OR($N30="Yes",$S30="Yes",$X30="Yes",$AC30="Yes",$AH30="Yes"),"Yes","No"))</f>
        <v>No</v>
      </c>
      <c r="AN33" s="198" t="str">
        <f aca="false">IF($A30="","",IFERROR(IF($AI30&lt;&gt;"",$AI30,IF($AD30&lt;&gt;"",$AD30,IF($Y30&lt;&gt;"",$Y30,IF($T30&lt;&gt;"",$T30,IF($O30&lt;&gt;"",$O30,""))))),""))</f>
        <v/>
      </c>
      <c r="AO33" s="198" t="str">
        <f aca="false">IFERROR(IF($AJ30&lt;&gt;"",$AJ30,IF($AE30&lt;&gt;"",$AE30,IF($Z30&lt;&gt;"",$Z30,IF($U30&lt;&gt;"",$U30,IF($P30&lt;&gt;"",$P30,""))))),"")</f>
        <v/>
      </c>
      <c r="AP33" s="199"/>
    </row>
    <row r="34" customFormat="false" ht="60" hidden="false" customHeight="true" outlineLevel="0" collapsed="false">
      <c r="A34" s="194" t="str">
        <f aca="false">IF(C34="","",$C$2&amp;"."&amp;COUNTA($C$8:C34)&amp;"")</f>
        <v>TC_06.23</v>
      </c>
      <c r="B34" s="194" t="s">
        <v>558</v>
      </c>
      <c r="C34" s="194" t="s">
        <v>1773</v>
      </c>
      <c r="D34" s="194" t="s">
        <v>40</v>
      </c>
      <c r="E34" s="194" t="s">
        <v>157</v>
      </c>
      <c r="F34" s="195" t="s">
        <v>1778</v>
      </c>
      <c r="G34" s="195" t="s">
        <v>1779</v>
      </c>
      <c r="H34" s="195" t="s">
        <v>1780</v>
      </c>
      <c r="I34" s="195" t="s">
        <v>1781</v>
      </c>
      <c r="J34" s="194" t="s">
        <v>637</v>
      </c>
      <c r="K34" s="194" t="s">
        <v>241</v>
      </c>
      <c r="L34" s="194" t="s">
        <v>638</v>
      </c>
      <c r="M34" s="194"/>
      <c r="N34" s="196"/>
      <c r="O34" s="196"/>
      <c r="P34" s="196"/>
      <c r="Q34" s="196"/>
      <c r="R34" s="196"/>
      <c r="S34" s="196"/>
      <c r="T34" s="196"/>
      <c r="U34" s="196"/>
      <c r="V34" s="196"/>
      <c r="W34" s="196"/>
      <c r="X34" s="196"/>
      <c r="Y34" s="196"/>
      <c r="Z34" s="196"/>
      <c r="AA34" s="196"/>
      <c r="AB34" s="197"/>
      <c r="AC34" s="197"/>
      <c r="AD34" s="197"/>
      <c r="AE34" s="197"/>
      <c r="AF34" s="197"/>
      <c r="AG34" s="197"/>
      <c r="AH34" s="197"/>
      <c r="AI34" s="197"/>
      <c r="AJ34" s="197"/>
      <c r="AK34" s="197"/>
      <c r="AL34" s="197"/>
      <c r="AM34" s="198" t="str">
        <f aca="false">IF($A31="","",IF(OR($N31="Yes",$S31="Yes",$X31="Yes",$AC31="Yes",$AH31="Yes"),"Yes","No"))</f>
        <v>No</v>
      </c>
      <c r="AN34" s="198" t="str">
        <f aca="false">IF($A31="","",IFERROR(IF($AI31&lt;&gt;"",$AI31,IF($AD31&lt;&gt;"",$AD31,IF($Y31&lt;&gt;"",$Y31,IF($T31&lt;&gt;"",$T31,IF($O31&lt;&gt;"",$O31,""))))),""))</f>
        <v/>
      </c>
      <c r="AO34" s="198" t="str">
        <f aca="false">IFERROR(IF($AJ31&lt;&gt;"",$AJ31,IF($AE31&lt;&gt;"",$AE31,IF($Z31&lt;&gt;"",$Z31,IF($U31&lt;&gt;"",$U31,IF($P31&lt;&gt;"",$P31,""))))),"")</f>
        <v/>
      </c>
      <c r="AP34" s="199"/>
    </row>
    <row r="35" customFormat="false" ht="60" hidden="false" customHeight="true" outlineLevel="0" collapsed="false">
      <c r="A35" s="194" t="str">
        <f aca="false">IF(C35="","",$C$2&amp;"."&amp;COUNTA($C$8:C35)&amp;"")</f>
        <v>TC_06.24</v>
      </c>
      <c r="B35" s="194" t="s">
        <v>573</v>
      </c>
      <c r="C35" s="194" t="s">
        <v>1782</v>
      </c>
      <c r="D35" s="194" t="s">
        <v>42</v>
      </c>
      <c r="E35" s="194" t="s">
        <v>156</v>
      </c>
      <c r="F35" s="195" t="s">
        <v>1783</v>
      </c>
      <c r="G35" s="195" t="s">
        <v>1784</v>
      </c>
      <c r="H35" s="195" t="s">
        <v>1785</v>
      </c>
      <c r="I35" s="195" t="s">
        <v>1786</v>
      </c>
      <c r="J35" s="194" t="s">
        <v>637</v>
      </c>
      <c r="K35" s="194" t="s">
        <v>241</v>
      </c>
      <c r="L35" s="194" t="s">
        <v>638</v>
      </c>
      <c r="M35" s="194"/>
      <c r="N35" s="196"/>
      <c r="O35" s="196"/>
      <c r="P35" s="196"/>
      <c r="Q35" s="196"/>
      <c r="R35" s="196"/>
      <c r="S35" s="196"/>
      <c r="T35" s="196"/>
      <c r="U35" s="196"/>
      <c r="V35" s="196"/>
      <c r="W35" s="196"/>
      <c r="X35" s="196"/>
      <c r="Y35" s="196"/>
      <c r="Z35" s="196"/>
      <c r="AA35" s="196"/>
      <c r="AB35" s="197"/>
      <c r="AC35" s="197"/>
      <c r="AD35" s="197"/>
      <c r="AE35" s="197"/>
      <c r="AF35" s="197"/>
      <c r="AG35" s="197"/>
      <c r="AH35" s="197"/>
      <c r="AI35" s="197"/>
      <c r="AJ35" s="197"/>
      <c r="AK35" s="197"/>
      <c r="AL35" s="197"/>
      <c r="AM35" s="198" t="str">
        <f aca="false">IF($A32="","",IF(OR($N32="Yes",$S32="Yes",$X32="Yes",$AC32="Yes",$AH32="Yes"),"Yes","No"))</f>
        <v/>
      </c>
      <c r="AN35" s="198" t="str">
        <f aca="false">IF($A32="","",IFERROR(IF($AI32&lt;&gt;"",$AI32,IF($AD32&lt;&gt;"",$AD32,IF($Y32&lt;&gt;"",$Y32,IF($T32&lt;&gt;"",$T32,IF($O32&lt;&gt;"",$O32,""))))),""))</f>
        <v/>
      </c>
      <c r="AO35" s="198" t="str">
        <f aca="false">IFERROR(IF($AJ32&lt;&gt;"",$AJ32,IF($AE32&lt;&gt;"",$AE32,IF($Z32&lt;&gt;"",$Z32,IF($U32&lt;&gt;"",$U32,IF($P32&lt;&gt;"",$P32,""))))),"")</f>
        <v/>
      </c>
      <c r="AP35" s="199" t="s">
        <v>1787</v>
      </c>
    </row>
    <row r="36" customFormat="false" ht="60" hidden="false" customHeight="true" outlineLevel="0" collapsed="false">
      <c r="A36" s="194" t="str">
        <f aca="false">IF(C36="","",$C$2&amp;"."&amp;COUNTA($C$8:C36)&amp;"")</f>
        <v>TC_06.25</v>
      </c>
      <c r="B36" s="194" t="s">
        <v>573</v>
      </c>
      <c r="C36" s="194" t="s">
        <v>1782</v>
      </c>
      <c r="D36" s="194" t="s">
        <v>42</v>
      </c>
      <c r="E36" s="194" t="s">
        <v>156</v>
      </c>
      <c r="F36" s="195" t="s">
        <v>1788</v>
      </c>
      <c r="G36" s="195" t="s">
        <v>1789</v>
      </c>
      <c r="H36" s="195" t="s">
        <v>1790</v>
      </c>
      <c r="I36" s="195" t="s">
        <v>1791</v>
      </c>
      <c r="J36" s="194" t="s">
        <v>637</v>
      </c>
      <c r="K36" s="194" t="s">
        <v>241</v>
      </c>
      <c r="L36" s="194" t="s">
        <v>638</v>
      </c>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t="str">
        <f aca="false">IF($A33="","",IF(OR($N33="Yes",$S33="Yes",$X33="Yes",$AC33="Yes",$AH33="Yes"),"Yes","No"))</f>
        <v>No</v>
      </c>
      <c r="AN36" s="198" t="str">
        <f aca="false">IF($A33="","",IFERROR(IF($AI33&lt;&gt;"",$AI33,IF($AD33&lt;&gt;"",$AD33,IF($Y33&lt;&gt;"",$Y33,IF($T33&lt;&gt;"",$T33,IF($O33&lt;&gt;"",$O33,""))))),""))</f>
        <v/>
      </c>
      <c r="AO36" s="198" t="str">
        <f aca="false">IFERROR(IF($AJ33&lt;&gt;"",$AJ33,IF($AE33&lt;&gt;"",$AE33,IF($Z33&lt;&gt;"",$Z33,IF($U33&lt;&gt;"",$U33,IF($P33&lt;&gt;"",$P33,""))))),"")</f>
        <v/>
      </c>
      <c r="AP36" s="199" t="s">
        <v>1792</v>
      </c>
    </row>
    <row r="37" customFormat="false" ht="60" hidden="false" customHeight="true" outlineLevel="0" collapsed="false">
      <c r="A37" s="194" t="str">
        <f aca="false">IF(C37="","",$C$2&amp;"."&amp;COUNTA($C$8:C37)&amp;"")</f>
        <v>TC_06.26</v>
      </c>
      <c r="B37" s="194" t="s">
        <v>573</v>
      </c>
      <c r="C37" s="194" t="s">
        <v>1782</v>
      </c>
      <c r="D37" s="194" t="s">
        <v>42</v>
      </c>
      <c r="E37" s="194" t="s">
        <v>157</v>
      </c>
      <c r="F37" s="195" t="s">
        <v>1793</v>
      </c>
      <c r="G37" s="195" t="s">
        <v>1794</v>
      </c>
      <c r="H37" s="195" t="s">
        <v>1795</v>
      </c>
      <c r="I37" s="195" t="s">
        <v>1796</v>
      </c>
      <c r="J37" s="194" t="s">
        <v>637</v>
      </c>
      <c r="K37" s="194" t="s">
        <v>241</v>
      </c>
      <c r="L37" s="194" t="s">
        <v>638</v>
      </c>
      <c r="M37" s="194"/>
      <c r="N37" s="196"/>
      <c r="O37" s="196"/>
      <c r="P37" s="196"/>
      <c r="Q37" s="196"/>
      <c r="R37" s="196"/>
      <c r="S37" s="196"/>
      <c r="T37" s="196"/>
      <c r="U37" s="196"/>
      <c r="V37" s="196"/>
      <c r="W37" s="196"/>
      <c r="X37" s="196"/>
      <c r="Y37" s="196"/>
      <c r="Z37" s="196"/>
      <c r="AA37" s="196"/>
      <c r="AB37" s="197"/>
      <c r="AC37" s="197"/>
      <c r="AD37" s="197"/>
      <c r="AE37" s="197"/>
      <c r="AF37" s="197"/>
      <c r="AG37" s="197"/>
      <c r="AH37" s="197"/>
      <c r="AI37" s="197"/>
      <c r="AJ37" s="197"/>
      <c r="AK37" s="197"/>
      <c r="AL37" s="197"/>
      <c r="AM37" s="198" t="str">
        <f aca="false">IF($A34="","",IF(OR($N34="Yes",$S34="Yes",$X34="Yes",$AC34="Yes",$AH34="Yes"),"Yes","No"))</f>
        <v>No</v>
      </c>
      <c r="AN37" s="198" t="str">
        <f aca="false">IF($A34="","",IFERROR(IF($AI34&lt;&gt;"",$AI34,IF($AD34&lt;&gt;"",$AD34,IF($Y34&lt;&gt;"",$Y34,IF($T34&lt;&gt;"",$T34,IF($O34&lt;&gt;"",$O34,""))))),""))</f>
        <v/>
      </c>
      <c r="AO37" s="198" t="str">
        <f aca="false">IFERROR(IF($AJ34&lt;&gt;"",$AJ34,IF($AE34&lt;&gt;"",$AE34,IF($Z34&lt;&gt;"",$Z34,IF($U34&lt;&gt;"",$U34,IF($P34&lt;&gt;"",$P34,""))))),"")</f>
        <v/>
      </c>
      <c r="AP37" s="199" t="s">
        <v>1797</v>
      </c>
    </row>
    <row r="38" customFormat="false" ht="60" hidden="false" customHeight="true" outlineLevel="0" collapsed="false">
      <c r="A38" s="194" t="str">
        <f aca="false">IF(C38="","",$C$2&amp;"."&amp;COUNTA($C$8:C38)&amp;"")</f>
        <v>TC_06.27</v>
      </c>
      <c r="B38" s="194" t="s">
        <v>573</v>
      </c>
      <c r="C38" s="194" t="s">
        <v>1782</v>
      </c>
      <c r="D38" s="194" t="s">
        <v>42</v>
      </c>
      <c r="E38" s="194" t="s">
        <v>157</v>
      </c>
      <c r="F38" s="195" t="s">
        <v>1798</v>
      </c>
      <c r="G38" s="195" t="s">
        <v>1799</v>
      </c>
      <c r="H38" s="195" t="s">
        <v>1800</v>
      </c>
      <c r="I38" s="195" t="s">
        <v>1801</v>
      </c>
      <c r="J38" s="194" t="s">
        <v>637</v>
      </c>
      <c r="K38" s="194" t="s">
        <v>241</v>
      </c>
      <c r="L38" s="194" t="s">
        <v>638</v>
      </c>
      <c r="M38" s="194"/>
      <c r="N38" s="196"/>
      <c r="O38" s="196"/>
      <c r="P38" s="196"/>
      <c r="Q38" s="196"/>
      <c r="R38" s="196"/>
      <c r="S38" s="196"/>
      <c r="T38" s="196"/>
      <c r="U38" s="196"/>
      <c r="V38" s="196"/>
      <c r="W38" s="196"/>
      <c r="X38" s="196"/>
      <c r="Y38" s="196"/>
      <c r="Z38" s="196"/>
      <c r="AA38" s="196"/>
      <c r="AB38" s="197"/>
      <c r="AC38" s="197"/>
      <c r="AD38" s="197"/>
      <c r="AE38" s="197"/>
      <c r="AF38" s="197"/>
      <c r="AG38" s="197"/>
      <c r="AH38" s="197"/>
      <c r="AI38" s="197"/>
      <c r="AJ38" s="197"/>
      <c r="AK38" s="197"/>
      <c r="AL38" s="197"/>
      <c r="AM38" s="198" t="str">
        <f aca="false">IF($A35="","",IF(OR($N35="Yes",$S35="Yes",$X35="Yes",$AC35="Yes",$AH35="Yes"),"Yes","No"))</f>
        <v>No</v>
      </c>
      <c r="AN38" s="198" t="str">
        <f aca="false">IF($A35="","",IFERROR(IF($AI35&lt;&gt;"",$AI35,IF($AD35&lt;&gt;"",$AD35,IF($Y35&lt;&gt;"",$Y35,IF($T35&lt;&gt;"",$T35,IF($O35&lt;&gt;"",$O35,""))))),""))</f>
        <v/>
      </c>
      <c r="AO38" s="198" t="str">
        <f aca="false">IFERROR(IF($AJ35&lt;&gt;"",$AJ35,IF($AE35&lt;&gt;"",$AE35,IF($Z35&lt;&gt;"",$Z35,IF($U35&lt;&gt;"",$U35,IF($P35&lt;&gt;"",$P35,""))))),"")</f>
        <v/>
      </c>
      <c r="AP38" s="199" t="s">
        <v>1802</v>
      </c>
    </row>
    <row r="39" customFormat="false" ht="60" hidden="false" customHeight="true" outlineLevel="0" collapsed="false">
      <c r="A39" s="194" t="str">
        <f aca="false">IF(C39="","",$C$2&amp;"."&amp;COUNTA($C$8:C39)&amp;"")</f>
        <v>TC_06.28</v>
      </c>
      <c r="B39" s="194" t="s">
        <v>567</v>
      </c>
      <c r="C39" s="194" t="s">
        <v>1803</v>
      </c>
      <c r="D39" s="194" t="s">
        <v>40</v>
      </c>
      <c r="E39" s="194" t="s">
        <v>157</v>
      </c>
      <c r="F39" s="195" t="s">
        <v>1804</v>
      </c>
      <c r="G39" s="195" t="s">
        <v>1805</v>
      </c>
      <c r="H39" s="195" t="s">
        <v>1806</v>
      </c>
      <c r="I39" s="195" t="s">
        <v>1807</v>
      </c>
      <c r="J39" s="194" t="s">
        <v>637</v>
      </c>
      <c r="K39" s="194" t="s">
        <v>241</v>
      </c>
      <c r="L39" s="194" t="s">
        <v>638</v>
      </c>
      <c r="M39" s="194"/>
      <c r="N39" s="196"/>
      <c r="O39" s="196"/>
      <c r="P39" s="196"/>
      <c r="Q39" s="196"/>
      <c r="R39" s="196"/>
      <c r="S39" s="196"/>
      <c r="T39" s="196"/>
      <c r="U39" s="196"/>
      <c r="V39" s="196"/>
      <c r="W39" s="196"/>
      <c r="X39" s="196"/>
      <c r="Y39" s="196"/>
      <c r="Z39" s="196"/>
      <c r="AA39" s="196"/>
      <c r="AB39" s="197"/>
      <c r="AC39" s="197"/>
      <c r="AD39" s="197"/>
      <c r="AE39" s="197"/>
      <c r="AF39" s="197"/>
      <c r="AG39" s="197"/>
      <c r="AH39" s="197"/>
      <c r="AI39" s="197"/>
      <c r="AJ39" s="197"/>
      <c r="AK39" s="197"/>
      <c r="AL39" s="197"/>
      <c r="AM39" s="198" t="str">
        <f aca="false">IF($A36="","",IF(OR($N36="Yes",$S36="Yes",$X36="Yes",$AC36="Yes",$AH36="Yes"),"Yes","No"))</f>
        <v>No</v>
      </c>
      <c r="AN39" s="198" t="str">
        <f aca="false">IF($A36="","",IFERROR(IF($AI36&lt;&gt;"",$AI36,IF($AD36&lt;&gt;"",$AD36,IF($Y36&lt;&gt;"",$Y36,IF($T36&lt;&gt;"",$T36,IF($O36&lt;&gt;"",$O36,""))))),""))</f>
        <v/>
      </c>
      <c r="AO39" s="198" t="str">
        <f aca="false">IFERROR(IF($AJ36&lt;&gt;"",$AJ36,IF($AE36&lt;&gt;"",$AE36,IF($Z36&lt;&gt;"",$Z36,IF($U36&lt;&gt;"",$U36,IF($P36&lt;&gt;"",$P36,""))))),"")</f>
        <v/>
      </c>
      <c r="AP39" s="199" t="s">
        <v>1808</v>
      </c>
    </row>
    <row r="40" customFormat="false" ht="19.5" hidden="false" customHeight="true" outlineLevel="0" collapsed="false">
      <c r="A40" s="194"/>
      <c r="B40" s="200" t="s">
        <v>1809</v>
      </c>
      <c r="C40" s="200"/>
      <c r="D40" s="200"/>
      <c r="E40" s="200"/>
      <c r="F40" s="200"/>
      <c r="G40" s="200"/>
      <c r="H40" s="200"/>
      <c r="I40" s="200"/>
      <c r="J40" s="194"/>
      <c r="K40" s="194"/>
      <c r="L40" s="194"/>
      <c r="M40" s="194"/>
      <c r="N40" s="196"/>
      <c r="O40" s="196"/>
      <c r="P40" s="196"/>
      <c r="Q40" s="196"/>
      <c r="R40" s="196"/>
      <c r="S40" s="196"/>
      <c r="T40" s="196"/>
      <c r="U40" s="196"/>
      <c r="V40" s="196"/>
      <c r="W40" s="196"/>
      <c r="X40" s="196"/>
      <c r="Y40" s="196"/>
      <c r="Z40" s="196"/>
      <c r="AA40" s="196"/>
      <c r="AB40" s="197"/>
      <c r="AC40" s="197"/>
      <c r="AD40" s="197"/>
      <c r="AE40" s="197"/>
      <c r="AF40" s="197"/>
      <c r="AG40" s="197"/>
      <c r="AH40" s="197"/>
      <c r="AI40" s="197"/>
      <c r="AJ40" s="197"/>
      <c r="AK40" s="197"/>
      <c r="AL40" s="197"/>
      <c r="AM40" s="198"/>
      <c r="AN40" s="198"/>
      <c r="AO40" s="198"/>
      <c r="AP40" s="199"/>
    </row>
    <row r="41" customFormat="false" ht="60" hidden="false" customHeight="true" outlineLevel="0" collapsed="false">
      <c r="A41" s="194" t="str">
        <f aca="false">IF(C41="","",$C$2&amp;"."&amp;COUNTA($C$8:C41)&amp;"")</f>
        <v>TC_06.29</v>
      </c>
      <c r="B41" s="194" t="s">
        <v>561</v>
      </c>
      <c r="C41" s="194" t="s">
        <v>1810</v>
      </c>
      <c r="D41" s="194" t="s">
        <v>42</v>
      </c>
      <c r="E41" s="194" t="s">
        <v>157</v>
      </c>
      <c r="F41" s="195" t="s">
        <v>1811</v>
      </c>
      <c r="G41" s="195" t="s">
        <v>1812</v>
      </c>
      <c r="H41" s="195" t="s">
        <v>1813</v>
      </c>
      <c r="I41" s="195" t="s">
        <v>1814</v>
      </c>
      <c r="J41" s="194" t="s">
        <v>637</v>
      </c>
      <c r="K41" s="194" t="s">
        <v>241</v>
      </c>
      <c r="L41" s="194" t="s">
        <v>638</v>
      </c>
      <c r="M41" s="194"/>
      <c r="N41" s="196"/>
      <c r="O41" s="196"/>
      <c r="P41" s="196"/>
      <c r="Q41" s="196"/>
      <c r="R41" s="196"/>
      <c r="S41" s="196"/>
      <c r="T41" s="196"/>
      <c r="U41" s="196"/>
      <c r="V41" s="196"/>
      <c r="W41" s="196"/>
      <c r="X41" s="196"/>
      <c r="Y41" s="196"/>
      <c r="Z41" s="196"/>
      <c r="AA41" s="196"/>
      <c r="AB41" s="197"/>
      <c r="AC41" s="197"/>
      <c r="AD41" s="197"/>
      <c r="AE41" s="197"/>
      <c r="AF41" s="197"/>
      <c r="AG41" s="197"/>
      <c r="AH41" s="197"/>
      <c r="AI41" s="197"/>
      <c r="AJ41" s="197"/>
      <c r="AK41" s="197"/>
      <c r="AL41" s="197"/>
      <c r="AM41" s="198" t="str">
        <f aca="false">IF($A38="","",IF(OR($N38="Yes",$S38="Yes",$X38="Yes",$AC38="Yes",$AH38="Yes"),"Yes","No"))</f>
        <v>No</v>
      </c>
      <c r="AN41" s="198" t="str">
        <f aca="false">IF($A38="","",IFERROR(IF($AI38&lt;&gt;"",$AI38,IF($AD38&lt;&gt;"",$AD38,IF($Y38&lt;&gt;"",$Y38,IF($T38&lt;&gt;"",$T38,IF($O38&lt;&gt;"",$O38,""))))),""))</f>
        <v/>
      </c>
      <c r="AO41" s="198" t="str">
        <f aca="false">IFERROR(IF($AJ38&lt;&gt;"",$AJ38,IF($AE38&lt;&gt;"",$AE38,IF($Z38&lt;&gt;"",$Z38,IF($U38&lt;&gt;"",$U38,IF($P38&lt;&gt;"",$P38,""))))),"")</f>
        <v/>
      </c>
      <c r="AP41" s="199" t="s">
        <v>675</v>
      </c>
    </row>
    <row r="42" customFormat="false" ht="60" hidden="false" customHeight="true" outlineLevel="0" collapsed="false">
      <c r="A42" s="194" t="str">
        <f aca="false">IF(C42="","",$C$2&amp;"."&amp;COUNTA($C$8:C42)&amp;"")</f>
        <v>TC_06.30</v>
      </c>
      <c r="B42" s="194" t="s">
        <v>561</v>
      </c>
      <c r="C42" s="194" t="s">
        <v>1810</v>
      </c>
      <c r="D42" s="194" t="s">
        <v>40</v>
      </c>
      <c r="E42" s="194" t="s">
        <v>157</v>
      </c>
      <c r="F42" s="195" t="s">
        <v>1815</v>
      </c>
      <c r="G42" s="195" t="s">
        <v>1816</v>
      </c>
      <c r="H42" s="195" t="s">
        <v>1817</v>
      </c>
      <c r="I42" s="195" t="s">
        <v>1818</v>
      </c>
      <c r="J42" s="194" t="s">
        <v>637</v>
      </c>
      <c r="K42" s="194" t="s">
        <v>241</v>
      </c>
      <c r="L42" s="194" t="s">
        <v>638</v>
      </c>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t="str">
        <f aca="false">IF($A39="","",IF(OR($N39="Yes",$S39="Yes",$X39="Yes",$AC39="Yes",$AH39="Yes"),"Yes","No"))</f>
        <v>No</v>
      </c>
      <c r="AN42" s="198" t="str">
        <f aca="false">IF($A39="","",IFERROR(IF($AI39&lt;&gt;"",$AI39,IF($AD39&lt;&gt;"",$AD39,IF($Y39&lt;&gt;"",$Y39,IF($T39&lt;&gt;"",$T39,IF($O39&lt;&gt;"",$O39,""))))),""))</f>
        <v/>
      </c>
      <c r="AO42" s="198" t="str">
        <f aca="false">IFERROR(IF($AJ39&lt;&gt;"",$AJ39,IF($AE39&lt;&gt;"",$AE39,IF($Z39&lt;&gt;"",$Z39,IF($U39&lt;&gt;"",$U39,IF($P39&lt;&gt;"",$P39,""))))),"")</f>
        <v/>
      </c>
      <c r="AP42" s="199" t="s">
        <v>1819</v>
      </c>
    </row>
    <row r="43" customFormat="false" ht="60" hidden="false" customHeight="true" outlineLevel="0" collapsed="false">
      <c r="A43" s="194" t="str">
        <f aca="false">IF(C43="","",$C$2&amp;"."&amp;COUNTA($C$8:C43)&amp;"")</f>
        <v>TC_06.31</v>
      </c>
      <c r="B43" s="194" t="s">
        <v>561</v>
      </c>
      <c r="C43" s="194" t="s">
        <v>1810</v>
      </c>
      <c r="D43" s="194" t="s">
        <v>40</v>
      </c>
      <c r="E43" s="194" t="s">
        <v>156</v>
      </c>
      <c r="F43" s="195" t="s">
        <v>1820</v>
      </c>
      <c r="G43" s="195" t="s">
        <v>1816</v>
      </c>
      <c r="H43" s="195" t="s">
        <v>1821</v>
      </c>
      <c r="I43" s="195" t="s">
        <v>1822</v>
      </c>
      <c r="J43" s="194" t="s">
        <v>637</v>
      </c>
      <c r="K43" s="194" t="s">
        <v>241</v>
      </c>
      <c r="L43" s="194" t="s">
        <v>638</v>
      </c>
      <c r="M43" s="194"/>
      <c r="N43" s="196"/>
      <c r="O43" s="196"/>
      <c r="P43" s="196"/>
      <c r="Q43" s="196"/>
      <c r="R43" s="196"/>
      <c r="S43" s="196"/>
      <c r="T43" s="196"/>
      <c r="U43" s="196"/>
      <c r="V43" s="196"/>
      <c r="W43" s="196"/>
      <c r="X43" s="196"/>
      <c r="Y43" s="196"/>
      <c r="Z43" s="196"/>
      <c r="AA43" s="196"/>
      <c r="AB43" s="197"/>
      <c r="AC43" s="197"/>
      <c r="AD43" s="197"/>
      <c r="AE43" s="197"/>
      <c r="AF43" s="197"/>
      <c r="AG43" s="197"/>
      <c r="AH43" s="197"/>
      <c r="AI43" s="197"/>
      <c r="AJ43" s="197"/>
      <c r="AK43" s="197"/>
      <c r="AL43" s="197"/>
      <c r="AM43" s="198" t="str">
        <f aca="false">IF($A40="","",IF(OR($N40="Yes",$S40="Yes",$X40="Yes",$AC40="Yes",$AH40="Yes"),"Yes","No"))</f>
        <v/>
      </c>
      <c r="AN43" s="198" t="str">
        <f aca="false">IF($A40="","",IFERROR(IF($AI40&lt;&gt;"",$AI40,IF($AD40&lt;&gt;"",$AD40,IF($Y40&lt;&gt;"",$Y40,IF($T40&lt;&gt;"",$T40,IF($O40&lt;&gt;"",$O40,""))))),""))</f>
        <v/>
      </c>
      <c r="AO43" s="198" t="str">
        <f aca="false">IFERROR(IF($AJ40&lt;&gt;"",$AJ40,IF($AE40&lt;&gt;"",$AE40,IF($Z40&lt;&gt;"",$Z40,IF($U40&lt;&gt;"",$U40,IF($P40&lt;&gt;"",$P40,""))))),"")</f>
        <v/>
      </c>
      <c r="AP43" s="199" t="s">
        <v>1823</v>
      </c>
    </row>
    <row r="44" customFormat="false" ht="60" hidden="false" customHeight="true" outlineLevel="0" collapsed="false">
      <c r="A44" s="194" t="str">
        <f aca="false">IF(C44="","",$C$2&amp;"."&amp;COUNTA($C$8:C44)&amp;"")</f>
        <v>TC_06.32</v>
      </c>
      <c r="B44" s="194" t="s">
        <v>561</v>
      </c>
      <c r="C44" s="194" t="s">
        <v>1810</v>
      </c>
      <c r="D44" s="194" t="s">
        <v>40</v>
      </c>
      <c r="E44" s="194" t="s">
        <v>156</v>
      </c>
      <c r="F44" s="195" t="s">
        <v>1824</v>
      </c>
      <c r="G44" s="195" t="s">
        <v>1825</v>
      </c>
      <c r="H44" s="195" t="s">
        <v>1826</v>
      </c>
      <c r="I44" s="195" t="s">
        <v>1827</v>
      </c>
      <c r="J44" s="194" t="s">
        <v>637</v>
      </c>
      <c r="K44" s="194" t="s">
        <v>241</v>
      </c>
      <c r="L44" s="194" t="s">
        <v>638</v>
      </c>
      <c r="M44" s="194"/>
      <c r="N44" s="196"/>
      <c r="O44" s="196"/>
      <c r="P44" s="196"/>
      <c r="Q44" s="196"/>
      <c r="R44" s="196"/>
      <c r="S44" s="196"/>
      <c r="T44" s="196"/>
      <c r="U44" s="196"/>
      <c r="V44" s="196"/>
      <c r="W44" s="196"/>
      <c r="X44" s="196"/>
      <c r="Y44" s="196"/>
      <c r="Z44" s="196"/>
      <c r="AA44" s="196"/>
      <c r="AB44" s="197"/>
      <c r="AC44" s="197"/>
      <c r="AD44" s="197"/>
      <c r="AE44" s="197"/>
      <c r="AF44" s="197"/>
      <c r="AG44" s="197"/>
      <c r="AH44" s="197"/>
      <c r="AI44" s="197"/>
      <c r="AJ44" s="197"/>
      <c r="AK44" s="197"/>
      <c r="AL44" s="197"/>
      <c r="AM44" s="198" t="str">
        <f aca="false">IF($A41="","",IF(OR($N41="Yes",$S41="Yes",$X41="Yes",$AC41="Yes",$AH41="Yes"),"Yes","No"))</f>
        <v>No</v>
      </c>
      <c r="AN44" s="198" t="str">
        <f aca="false">IF($A41="","",IFERROR(IF($AI41&lt;&gt;"",$AI41,IF($AD41&lt;&gt;"",$AD41,IF($Y41&lt;&gt;"",$Y41,IF($T41&lt;&gt;"",$T41,IF($O41&lt;&gt;"",$O41,""))))),""))</f>
        <v/>
      </c>
      <c r="AO44" s="198" t="str">
        <f aca="false">IFERROR(IF($AJ41&lt;&gt;"",$AJ41,IF($AE41&lt;&gt;"",$AE41,IF($Z41&lt;&gt;"",$Z41,IF($U41&lt;&gt;"",$U41,IF($P41&lt;&gt;"",$P41,""))))),"")</f>
        <v/>
      </c>
      <c r="AP44" s="199"/>
    </row>
    <row r="45" customFormat="false" ht="60" hidden="false" customHeight="true" outlineLevel="0" collapsed="false">
      <c r="A45" s="194" t="str">
        <f aca="false">IF(C45="","",$C$2&amp;"."&amp;COUNTA($C$8:C45)&amp;"")</f>
        <v>TC_06.33</v>
      </c>
      <c r="B45" s="194" t="s">
        <v>561</v>
      </c>
      <c r="C45" s="194" t="s">
        <v>1810</v>
      </c>
      <c r="D45" s="194" t="s">
        <v>40</v>
      </c>
      <c r="E45" s="194" t="s">
        <v>156</v>
      </c>
      <c r="F45" s="195" t="s">
        <v>1828</v>
      </c>
      <c r="G45" s="195" t="s">
        <v>1829</v>
      </c>
      <c r="H45" s="195" t="s">
        <v>1830</v>
      </c>
      <c r="I45" s="195" t="s">
        <v>1831</v>
      </c>
      <c r="J45" s="194" t="s">
        <v>637</v>
      </c>
      <c r="K45" s="194" t="s">
        <v>241</v>
      </c>
      <c r="L45" s="194" t="s">
        <v>638</v>
      </c>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t="str">
        <f aca="false">IF($A42="","",IF(OR($N42="Yes",$S42="Yes",$X42="Yes",$AC42="Yes",$AH42="Yes"),"Yes","No"))</f>
        <v>No</v>
      </c>
      <c r="AN45" s="198" t="str">
        <f aca="false">IF($A42="","",IFERROR(IF($AI42&lt;&gt;"",$AI42,IF($AD42&lt;&gt;"",$AD42,IF($Y42&lt;&gt;"",$Y42,IF($T42&lt;&gt;"",$T42,IF($O42&lt;&gt;"",$O42,""))))),""))</f>
        <v/>
      </c>
      <c r="AO45" s="198" t="str">
        <f aca="false">IFERROR(IF($AJ42&lt;&gt;"",$AJ42,IF($AE42&lt;&gt;"",$AE42,IF($Z42&lt;&gt;"",$Z42,IF($U42&lt;&gt;"",$U42,IF($P42&lt;&gt;"",$P42,""))))),"")</f>
        <v/>
      </c>
      <c r="AP45" s="199"/>
    </row>
    <row r="46" customFormat="false" ht="60" hidden="false" customHeight="true" outlineLevel="0" collapsed="false">
      <c r="A46" s="194" t="str">
        <f aca="false">IF(C46="","",$C$2&amp;"."&amp;COUNTA($C$8:C46)&amp;"")</f>
        <v>TC_06.34</v>
      </c>
      <c r="B46" s="194" t="s">
        <v>564</v>
      </c>
      <c r="C46" s="194" t="s">
        <v>1832</v>
      </c>
      <c r="D46" s="194" t="s">
        <v>40</v>
      </c>
      <c r="E46" s="194" t="s">
        <v>156</v>
      </c>
      <c r="F46" s="195" t="s">
        <v>1833</v>
      </c>
      <c r="G46" s="195" t="s">
        <v>1834</v>
      </c>
      <c r="H46" s="195" t="s">
        <v>1835</v>
      </c>
      <c r="I46" s="195" t="s">
        <v>1836</v>
      </c>
      <c r="J46" s="194" t="s">
        <v>637</v>
      </c>
      <c r="K46" s="194" t="s">
        <v>241</v>
      </c>
      <c r="L46" s="194" t="s">
        <v>638</v>
      </c>
      <c r="M46" s="194"/>
      <c r="N46" s="196"/>
      <c r="O46" s="196"/>
      <c r="P46" s="196"/>
      <c r="Q46" s="196"/>
      <c r="R46" s="196"/>
      <c r="S46" s="196"/>
      <c r="T46" s="196"/>
      <c r="U46" s="196"/>
      <c r="V46" s="196"/>
      <c r="W46" s="196"/>
      <c r="X46" s="196"/>
      <c r="Y46" s="196"/>
      <c r="Z46" s="196"/>
      <c r="AA46" s="196"/>
      <c r="AB46" s="197"/>
      <c r="AC46" s="197"/>
      <c r="AD46" s="197"/>
      <c r="AE46" s="197"/>
      <c r="AF46" s="197"/>
      <c r="AG46" s="197"/>
      <c r="AH46" s="197"/>
      <c r="AI46" s="197"/>
      <c r="AJ46" s="197"/>
      <c r="AK46" s="197"/>
      <c r="AL46" s="197"/>
      <c r="AM46" s="198" t="str">
        <f aca="false">IF($A43="","",IF(OR($N43="Yes",$S43="Yes",$X43="Yes",$AC43="Yes",$AH43="Yes"),"Yes","No"))</f>
        <v>No</v>
      </c>
      <c r="AN46" s="198" t="str">
        <f aca="false">IF($A43="","",IFERROR(IF($AI43&lt;&gt;"",$AI43,IF($AD43&lt;&gt;"",$AD43,IF($Y43&lt;&gt;"",$Y43,IF($T43&lt;&gt;"",$T43,IF($O43&lt;&gt;"",$O43,""))))),""))</f>
        <v/>
      </c>
      <c r="AO46" s="198" t="str">
        <f aca="false">IFERROR(IF($AJ43&lt;&gt;"",$AJ43,IF($AE43&lt;&gt;"",$AE43,IF($Z43&lt;&gt;"",$Z43,IF($U43&lt;&gt;"",$U43,IF($P43&lt;&gt;"",$P43,""))))),"")</f>
        <v/>
      </c>
      <c r="AP46" s="199" t="s">
        <v>1837</v>
      </c>
    </row>
    <row r="47" customFormat="false" ht="15" hidden="false" customHeight="true" outlineLevel="0" collapsed="false">
      <c r="A47" s="194"/>
      <c r="B47" s="194"/>
      <c r="C47" s="194"/>
      <c r="D47" s="194"/>
      <c r="E47" s="194"/>
      <c r="F47" s="195"/>
      <c r="G47" s="195"/>
      <c r="H47" s="195"/>
      <c r="I47" s="195"/>
      <c r="J47" s="194"/>
      <c r="K47" s="194"/>
      <c r="L47" s="194"/>
      <c r="M47" s="194"/>
      <c r="N47" s="196"/>
      <c r="O47" s="196"/>
      <c r="P47" s="196"/>
      <c r="Q47" s="196"/>
      <c r="R47" s="196"/>
      <c r="S47" s="196"/>
      <c r="T47" s="196"/>
      <c r="U47" s="196"/>
      <c r="V47" s="196"/>
      <c r="W47" s="196"/>
      <c r="X47" s="196"/>
      <c r="Y47" s="196"/>
      <c r="Z47" s="196"/>
      <c r="AA47" s="196"/>
      <c r="AB47" s="197"/>
      <c r="AC47" s="197"/>
      <c r="AD47" s="197"/>
      <c r="AE47" s="197"/>
      <c r="AF47" s="197"/>
      <c r="AG47" s="197"/>
      <c r="AH47" s="197"/>
      <c r="AI47" s="197"/>
      <c r="AJ47" s="197"/>
      <c r="AK47" s="197"/>
      <c r="AL47" s="197"/>
      <c r="AM47" s="198"/>
      <c r="AN47" s="198"/>
      <c r="AO47" s="198"/>
      <c r="AP47" s="199"/>
    </row>
    <row r="48" customFormat="false" ht="15" hidden="false" customHeight="true" outlineLevel="0" collapsed="false">
      <c r="A48" s="194"/>
      <c r="B48" s="194"/>
      <c r="C48" s="194"/>
      <c r="D48" s="194"/>
      <c r="E48" s="194"/>
      <c r="F48" s="195"/>
      <c r="G48" s="195"/>
      <c r="H48" s="195"/>
      <c r="I48" s="195"/>
      <c r="J48" s="194"/>
      <c r="K48" s="194"/>
      <c r="L48" s="194"/>
      <c r="M48" s="194"/>
      <c r="N48" s="196"/>
      <c r="O48" s="196"/>
      <c r="P48" s="196"/>
      <c r="Q48" s="196"/>
      <c r="R48" s="196"/>
      <c r="S48" s="196"/>
      <c r="T48" s="196"/>
      <c r="U48" s="196"/>
      <c r="V48" s="196"/>
      <c r="W48" s="196"/>
      <c r="X48" s="196"/>
      <c r="Y48" s="196"/>
      <c r="Z48" s="196"/>
      <c r="AA48" s="196"/>
      <c r="AB48" s="197"/>
      <c r="AC48" s="197"/>
      <c r="AD48" s="197"/>
      <c r="AE48" s="197"/>
      <c r="AF48" s="197"/>
      <c r="AG48" s="197"/>
      <c r="AH48" s="197"/>
      <c r="AI48" s="197"/>
      <c r="AJ48" s="197"/>
      <c r="AK48" s="197"/>
      <c r="AL48" s="197"/>
      <c r="AM48" s="198"/>
      <c r="AN48" s="198"/>
      <c r="AO48" s="198"/>
      <c r="AP48" s="199"/>
    </row>
    <row r="49" customFormat="false" ht="15" hidden="false" customHeight="true" outlineLevel="0" collapsed="false">
      <c r="A49" s="194"/>
      <c r="B49" s="194"/>
      <c r="C49" s="194"/>
      <c r="D49" s="194"/>
      <c r="E49" s="194"/>
      <c r="F49" s="195"/>
      <c r="G49" s="195"/>
      <c r="H49" s="195"/>
      <c r="I49" s="195"/>
      <c r="J49" s="194"/>
      <c r="K49" s="194"/>
      <c r="L49" s="194"/>
      <c r="M49" s="194"/>
      <c r="N49" s="196"/>
      <c r="O49" s="196"/>
      <c r="P49" s="196"/>
      <c r="Q49" s="196"/>
      <c r="R49" s="196"/>
      <c r="S49" s="196"/>
      <c r="T49" s="196"/>
      <c r="U49" s="196"/>
      <c r="V49" s="196"/>
      <c r="W49" s="196"/>
      <c r="X49" s="196"/>
      <c r="Y49" s="196"/>
      <c r="Z49" s="196"/>
      <c r="AA49" s="196"/>
      <c r="AB49" s="197"/>
      <c r="AC49" s="197"/>
      <c r="AD49" s="197"/>
      <c r="AE49" s="197"/>
      <c r="AF49" s="197"/>
      <c r="AG49" s="197"/>
      <c r="AH49" s="197"/>
      <c r="AI49" s="197"/>
      <c r="AJ49" s="197"/>
      <c r="AK49" s="197"/>
      <c r="AL49" s="197"/>
      <c r="AM49" s="198"/>
      <c r="AN49" s="198"/>
      <c r="AO49" s="198"/>
      <c r="AP49" s="199"/>
    </row>
    <row r="50" customFormat="false" ht="15" hidden="false" customHeight="true" outlineLevel="0" collapsed="false">
      <c r="A50" s="194"/>
      <c r="B50" s="194"/>
      <c r="C50" s="194"/>
      <c r="D50" s="194"/>
      <c r="E50" s="194"/>
      <c r="F50" s="195"/>
      <c r="G50" s="195"/>
      <c r="H50" s="195"/>
      <c r="I50" s="195"/>
      <c r="J50" s="194"/>
      <c r="K50" s="194"/>
      <c r="L50" s="194"/>
      <c r="M50" s="194"/>
      <c r="N50" s="196"/>
      <c r="O50" s="196"/>
      <c r="P50" s="196"/>
      <c r="Q50" s="196"/>
      <c r="R50" s="196"/>
      <c r="S50" s="196"/>
      <c r="T50" s="196"/>
      <c r="U50" s="196"/>
      <c r="V50" s="196"/>
      <c r="W50" s="196"/>
      <c r="X50" s="196"/>
      <c r="Y50" s="196"/>
      <c r="Z50" s="196"/>
      <c r="AA50" s="196"/>
      <c r="AB50" s="197"/>
      <c r="AC50" s="197"/>
      <c r="AD50" s="197"/>
      <c r="AE50" s="197"/>
      <c r="AF50" s="197"/>
      <c r="AG50" s="197"/>
      <c r="AH50" s="197"/>
      <c r="AI50" s="197"/>
      <c r="AJ50" s="197"/>
      <c r="AK50" s="197"/>
      <c r="AL50" s="197"/>
      <c r="AM50" s="198"/>
      <c r="AN50" s="198"/>
      <c r="AO50" s="198"/>
      <c r="AP50" s="199"/>
    </row>
    <row r="51" customFormat="false" ht="15" hidden="false" customHeight="true" outlineLevel="0" collapsed="false">
      <c r="A51" s="194"/>
      <c r="B51" s="194"/>
      <c r="C51" s="194"/>
      <c r="D51" s="194"/>
      <c r="E51" s="194"/>
      <c r="F51" s="195"/>
      <c r="G51" s="195"/>
      <c r="H51" s="195"/>
      <c r="I51" s="195"/>
      <c r="J51" s="194"/>
      <c r="K51" s="194"/>
      <c r="L51" s="194"/>
      <c r="M51" s="194"/>
      <c r="N51" s="196"/>
      <c r="O51" s="196"/>
      <c r="P51" s="196"/>
      <c r="Q51" s="196"/>
      <c r="R51" s="196"/>
      <c r="S51" s="196"/>
      <c r="T51" s="196"/>
      <c r="U51" s="196"/>
      <c r="V51" s="196"/>
      <c r="W51" s="196"/>
      <c r="X51" s="196"/>
      <c r="Y51" s="196"/>
      <c r="Z51" s="196"/>
      <c r="AA51" s="196"/>
      <c r="AB51" s="197"/>
      <c r="AC51" s="197"/>
      <c r="AD51" s="197"/>
      <c r="AE51" s="197"/>
      <c r="AF51" s="197"/>
      <c r="AG51" s="197"/>
      <c r="AH51" s="197"/>
      <c r="AI51" s="197"/>
      <c r="AJ51" s="197"/>
      <c r="AK51" s="197"/>
      <c r="AL51" s="197"/>
      <c r="AM51" s="198"/>
      <c r="AN51" s="198"/>
      <c r="AO51" s="198"/>
      <c r="AP51" s="199"/>
    </row>
    <row r="52" customFormat="false" ht="15" hidden="false" customHeight="true" outlineLevel="0" collapsed="false">
      <c r="A52" s="194"/>
      <c r="B52" s="194"/>
      <c r="C52" s="194"/>
      <c r="D52" s="194"/>
      <c r="E52" s="194"/>
      <c r="F52" s="195"/>
      <c r="G52" s="195"/>
      <c r="H52" s="195"/>
      <c r="I52" s="195"/>
      <c r="J52" s="194"/>
      <c r="K52" s="194"/>
      <c r="L52" s="194"/>
      <c r="M52" s="194"/>
      <c r="N52" s="196"/>
      <c r="O52" s="196"/>
      <c r="P52" s="196"/>
      <c r="Q52" s="196"/>
      <c r="R52" s="196"/>
      <c r="S52" s="196"/>
      <c r="T52" s="196"/>
      <c r="U52" s="196"/>
      <c r="V52" s="196"/>
      <c r="W52" s="196"/>
      <c r="X52" s="196"/>
      <c r="Y52" s="196"/>
      <c r="Z52" s="196"/>
      <c r="AA52" s="196"/>
      <c r="AB52" s="197"/>
      <c r="AC52" s="197"/>
      <c r="AD52" s="197"/>
      <c r="AE52" s="197"/>
      <c r="AF52" s="197"/>
      <c r="AG52" s="197"/>
      <c r="AH52" s="197"/>
      <c r="AI52" s="197"/>
      <c r="AJ52" s="197"/>
      <c r="AK52" s="197"/>
      <c r="AL52" s="197"/>
      <c r="AM52" s="198"/>
      <c r="AN52" s="198"/>
      <c r="AO52" s="198"/>
      <c r="AP52" s="199"/>
    </row>
    <row r="53" customFormat="false" ht="15" hidden="false" customHeight="true" outlineLevel="0" collapsed="false">
      <c r="A53" s="194"/>
      <c r="B53" s="194"/>
      <c r="C53" s="194"/>
      <c r="D53" s="194"/>
      <c r="E53" s="194"/>
      <c r="F53" s="195"/>
      <c r="G53" s="195"/>
      <c r="H53" s="195"/>
      <c r="I53" s="195"/>
      <c r="J53" s="194"/>
      <c r="K53" s="194"/>
      <c r="L53" s="194"/>
      <c r="M53" s="194"/>
      <c r="N53" s="196"/>
      <c r="O53" s="196"/>
      <c r="P53" s="196"/>
      <c r="Q53" s="196"/>
      <c r="R53" s="196"/>
      <c r="S53" s="196"/>
      <c r="T53" s="196"/>
      <c r="U53" s="196"/>
      <c r="V53" s="196"/>
      <c r="W53" s="196"/>
      <c r="X53" s="196"/>
      <c r="Y53" s="196"/>
      <c r="Z53" s="196"/>
      <c r="AA53" s="196"/>
      <c r="AB53" s="197"/>
      <c r="AC53" s="197"/>
      <c r="AD53" s="197"/>
      <c r="AE53" s="197"/>
      <c r="AF53" s="197"/>
      <c r="AG53" s="197"/>
      <c r="AH53" s="197"/>
      <c r="AI53" s="197"/>
      <c r="AJ53" s="197"/>
      <c r="AK53" s="197"/>
      <c r="AL53" s="197"/>
      <c r="AM53" s="198"/>
      <c r="AN53" s="198"/>
      <c r="AO53" s="198"/>
      <c r="AP53" s="199"/>
    </row>
    <row r="54" customFormat="false" ht="15" hidden="false" customHeight="true" outlineLevel="0" collapsed="false">
      <c r="A54" s="194"/>
      <c r="B54" s="194"/>
      <c r="C54" s="194"/>
      <c r="D54" s="194"/>
      <c r="E54" s="194"/>
      <c r="F54" s="195"/>
      <c r="G54" s="195"/>
      <c r="H54" s="195"/>
      <c r="I54" s="195"/>
      <c r="J54" s="194"/>
      <c r="K54" s="194"/>
      <c r="L54" s="194"/>
      <c r="M54" s="194"/>
      <c r="N54" s="196"/>
      <c r="O54" s="196"/>
      <c r="P54" s="196"/>
      <c r="Q54" s="196"/>
      <c r="R54" s="196"/>
      <c r="S54" s="196"/>
      <c r="T54" s="196"/>
      <c r="U54" s="196"/>
      <c r="V54" s="196"/>
      <c r="W54" s="196"/>
      <c r="X54" s="196"/>
      <c r="Y54" s="196"/>
      <c r="Z54" s="196"/>
      <c r="AA54" s="196"/>
      <c r="AB54" s="197"/>
      <c r="AC54" s="197"/>
      <c r="AD54" s="197"/>
      <c r="AE54" s="197"/>
      <c r="AF54" s="197"/>
      <c r="AG54" s="197"/>
      <c r="AH54" s="197"/>
      <c r="AI54" s="197"/>
      <c r="AJ54" s="197"/>
      <c r="AK54" s="197"/>
      <c r="AL54" s="197"/>
      <c r="AM54" s="198"/>
      <c r="AN54" s="198"/>
      <c r="AO54" s="198"/>
      <c r="AP54" s="199"/>
    </row>
    <row r="55" customFormat="false" ht="15" hidden="false" customHeight="true" outlineLevel="0" collapsed="false">
      <c r="A55" s="194"/>
      <c r="B55" s="194"/>
      <c r="C55" s="194"/>
      <c r="D55" s="194"/>
      <c r="E55" s="194"/>
      <c r="F55" s="195"/>
      <c r="G55" s="195"/>
      <c r="H55" s="195"/>
      <c r="I55" s="195"/>
      <c r="J55" s="194"/>
      <c r="K55" s="194"/>
      <c r="L55" s="194"/>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c r="AN55" s="198"/>
      <c r="AO55" s="198"/>
      <c r="AP55" s="199"/>
    </row>
    <row r="56" customFormat="false" ht="15" hidden="false" customHeight="true" outlineLevel="0" collapsed="false">
      <c r="A56" s="194"/>
      <c r="B56" s="194"/>
      <c r="C56" s="194"/>
      <c r="D56" s="194"/>
      <c r="E56" s="194"/>
      <c r="F56" s="195"/>
      <c r="G56" s="195"/>
      <c r="H56" s="195"/>
      <c r="I56" s="195"/>
      <c r="J56" s="194"/>
      <c r="K56" s="194"/>
      <c r="L56" s="194"/>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c r="AN56" s="198"/>
      <c r="AO56" s="198"/>
      <c r="AP56" s="199"/>
    </row>
    <row r="57" customFormat="false" ht="15" hidden="false" customHeight="true" outlineLevel="0" collapsed="false">
      <c r="A57" s="194"/>
      <c r="B57" s="194"/>
      <c r="C57" s="194"/>
      <c r="D57" s="194"/>
      <c r="E57" s="194"/>
      <c r="F57" s="195"/>
      <c r="G57" s="195"/>
      <c r="H57" s="195"/>
      <c r="I57" s="195"/>
      <c r="J57" s="194"/>
      <c r="K57" s="194"/>
      <c r="L57" s="194"/>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c r="AN57" s="198"/>
      <c r="AO57" s="198"/>
      <c r="AP57" s="199"/>
    </row>
    <row r="58" customFormat="false" ht="15" hidden="false" customHeight="true" outlineLevel="0" collapsed="false">
      <c r="A58" s="194"/>
      <c r="B58" s="194"/>
      <c r="C58" s="194"/>
      <c r="D58" s="194"/>
      <c r="E58" s="194"/>
      <c r="F58" s="194"/>
      <c r="G58" s="194"/>
      <c r="H58" s="194"/>
      <c r="I58" s="194"/>
      <c r="J58" s="194"/>
      <c r="K58" s="194"/>
      <c r="L58" s="194"/>
      <c r="M58" s="194"/>
      <c r="N58" s="194"/>
      <c r="O58" s="194"/>
      <c r="P58" s="194"/>
      <c r="Q58" s="194"/>
      <c r="R58" s="201"/>
      <c r="S58" s="201"/>
      <c r="T58" s="201"/>
      <c r="U58" s="201"/>
      <c r="V58" s="201"/>
      <c r="W58" s="201"/>
      <c r="X58" s="201"/>
      <c r="Y58" s="201"/>
      <c r="Z58" s="201"/>
      <c r="AA58" s="201"/>
      <c r="AM58" s="202"/>
      <c r="AN58" s="202"/>
    </row>
    <row r="59" customFormat="false" ht="15" hidden="false" customHeight="true" outlineLevel="0" collapsed="false">
      <c r="A59" s="194"/>
      <c r="B59" s="194"/>
      <c r="C59" s="194"/>
      <c r="D59" s="194"/>
      <c r="E59" s="194"/>
      <c r="F59" s="194"/>
      <c r="G59" s="194"/>
      <c r="H59" s="194"/>
      <c r="I59" s="194"/>
      <c r="J59" s="194"/>
      <c r="K59" s="194"/>
      <c r="L59" s="194"/>
      <c r="M59" s="194"/>
      <c r="N59" s="194"/>
      <c r="O59" s="194"/>
      <c r="P59" s="194"/>
      <c r="Q59" s="194"/>
      <c r="R59" s="201"/>
      <c r="S59" s="201"/>
      <c r="T59" s="201"/>
      <c r="U59" s="201"/>
      <c r="V59" s="201"/>
      <c r="W59" s="201"/>
      <c r="X59" s="201"/>
      <c r="Y59" s="201"/>
      <c r="Z59" s="201"/>
      <c r="AA59" s="201"/>
      <c r="AM59" s="202"/>
      <c r="AN59" s="202"/>
    </row>
    <row r="60" customFormat="false" ht="15" hidden="false" customHeight="true" outlineLevel="0" collapsed="false">
      <c r="A60" s="194"/>
      <c r="B60" s="194"/>
      <c r="C60" s="194"/>
      <c r="D60" s="194"/>
      <c r="E60" s="194"/>
      <c r="F60" s="194"/>
      <c r="G60" s="194"/>
      <c r="H60" s="194"/>
      <c r="I60" s="194"/>
      <c r="J60" s="194"/>
      <c r="K60" s="194"/>
      <c r="L60" s="194"/>
      <c r="M60" s="194"/>
      <c r="N60" s="194"/>
      <c r="O60" s="194"/>
      <c r="P60" s="194"/>
      <c r="Q60" s="194"/>
      <c r="R60" s="201"/>
      <c r="S60" s="201"/>
      <c r="T60" s="201"/>
      <c r="U60" s="201"/>
      <c r="V60" s="201"/>
      <c r="W60" s="201"/>
      <c r="X60" s="201"/>
      <c r="Y60" s="201"/>
      <c r="Z60" s="201"/>
      <c r="AA60" s="201"/>
      <c r="AM60" s="202"/>
      <c r="AN60" s="202"/>
    </row>
    <row r="61" customFormat="false" ht="15" hidden="false" customHeight="true" outlineLevel="0" collapsed="false">
      <c r="A61" s="194"/>
      <c r="B61" s="194"/>
      <c r="C61" s="194"/>
      <c r="D61" s="194"/>
      <c r="E61" s="194"/>
      <c r="F61" s="194"/>
      <c r="G61" s="194"/>
      <c r="H61" s="194"/>
      <c r="I61" s="194"/>
      <c r="J61" s="194"/>
      <c r="K61" s="194"/>
      <c r="L61" s="194"/>
      <c r="M61" s="194"/>
      <c r="N61" s="194"/>
      <c r="O61" s="194"/>
      <c r="P61" s="194"/>
      <c r="Q61" s="194"/>
      <c r="R61" s="201"/>
      <c r="S61" s="201"/>
      <c r="T61" s="201"/>
      <c r="U61" s="201"/>
      <c r="V61" s="201"/>
      <c r="W61" s="201"/>
      <c r="X61" s="201"/>
      <c r="Y61" s="201"/>
      <c r="Z61" s="201"/>
      <c r="AA61" s="201"/>
      <c r="AM61" s="202"/>
      <c r="AN61" s="202"/>
    </row>
    <row r="62" customFormat="false" ht="15" hidden="false" customHeight="true" outlineLevel="0" collapsed="false">
      <c r="A62" s="194"/>
      <c r="B62" s="194"/>
      <c r="C62" s="194"/>
      <c r="D62" s="194"/>
      <c r="E62" s="194"/>
      <c r="F62" s="194"/>
      <c r="G62" s="194"/>
      <c r="H62" s="194"/>
      <c r="I62" s="194"/>
      <c r="J62" s="194"/>
      <c r="K62" s="194"/>
      <c r="L62" s="194"/>
      <c r="M62" s="194"/>
      <c r="N62" s="194"/>
      <c r="O62" s="194"/>
      <c r="P62" s="194"/>
      <c r="Q62" s="194"/>
      <c r="R62" s="201"/>
      <c r="S62" s="201"/>
      <c r="T62" s="201"/>
      <c r="U62" s="201"/>
      <c r="V62" s="201"/>
      <c r="W62" s="201"/>
      <c r="X62" s="201"/>
      <c r="Y62" s="201"/>
      <c r="Z62" s="201"/>
      <c r="AA62" s="201"/>
      <c r="AM62" s="202"/>
      <c r="AN62" s="202"/>
    </row>
    <row r="63" customFormat="false" ht="15" hidden="false" customHeight="true" outlineLevel="0" collapsed="false">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Q63" s="1"/>
    </row>
    <row r="64" customFormat="false" ht="15" hidden="false" customHeight="true" outlineLevel="0" collapsed="false">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Q64" s="1"/>
    </row>
    <row r="65" customFormat="false" ht="15" hidden="false" customHeight="true" outlineLevel="0" collapsed="false">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Q65" s="1"/>
    </row>
    <row r="66" customFormat="false" ht="15" hidden="false" customHeight="true" outlineLevel="0" collapsed="false">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Q66" s="1"/>
    </row>
    <row r="67" customFormat="false" ht="15" hidden="false" customHeight="true" outlineLevel="0" collapsed="false">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Q67" s="1"/>
    </row>
    <row r="68" customFormat="false" ht="15" hidden="false" customHeight="true" outlineLevel="0" collapsed="false">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Q68" s="1"/>
    </row>
    <row r="69" customFormat="false" ht="15" hidden="false" customHeight="true" outlineLevel="0" collapsed="false">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Q69" s="1"/>
    </row>
    <row r="70" customFormat="false" ht="15" hidden="false" customHeight="true" outlineLevel="0" collapsed="false">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Q70" s="1"/>
    </row>
    <row r="71" customFormat="false" ht="15" hidden="false" customHeight="true" outlineLevel="0" collapsed="false">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Q71" s="1"/>
    </row>
    <row r="72" customFormat="false" ht="15" hidden="false" customHeight="true" outlineLevel="0" collapsed="false">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Q72" s="1"/>
    </row>
    <row r="73" customFormat="false" ht="15" hidden="false" customHeight="true" outlineLevel="0" collapsed="false">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Q73" s="1"/>
    </row>
    <row r="74" customFormat="false" ht="15" hidden="false" customHeight="true" outlineLevel="0" collapsed="false">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Q74" s="1"/>
    </row>
    <row r="75" customFormat="false" ht="15" hidden="false" customHeight="true" outlineLevel="0" collapsed="false">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Q75" s="1"/>
    </row>
    <row r="76" customFormat="false" ht="15" hidden="false" customHeight="true" outlineLevel="0" collapsed="false">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Q76" s="1"/>
    </row>
    <row r="77" customFormat="false" ht="15" hidden="false" customHeight="true" outlineLevel="0" collapsed="false">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Q77" s="1"/>
    </row>
    <row r="78" customFormat="false" ht="15" hidden="false" customHeight="true" outlineLevel="0" collapsed="false">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Q78" s="1"/>
    </row>
    <row r="79" customFormat="false" ht="15" hidden="false" customHeight="true" outlineLevel="0" collapsed="false">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Q79" s="1"/>
    </row>
    <row r="80" customFormat="false" ht="15" hidden="false" customHeight="true" outlineLevel="0" collapsed="false">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Q80" s="1"/>
    </row>
    <row r="81" customFormat="false" ht="15" hidden="false" customHeight="true" outlineLevel="0" collapsed="false">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Q81" s="1"/>
    </row>
    <row r="82" customFormat="false" ht="15" hidden="false" customHeight="true" outlineLevel="0" collapsed="false">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Q82" s="1"/>
    </row>
    <row r="83" customFormat="false" ht="15" hidden="false" customHeight="true" outlineLevel="0" collapsed="false">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Q83" s="1"/>
    </row>
    <row r="84" customFormat="false" ht="15" hidden="false" customHeight="true" outlineLevel="0" collapsed="false">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Q84" s="1"/>
    </row>
    <row r="85" customFormat="false" ht="15" hidden="false" customHeight="true" outlineLevel="0" collapsed="false">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Q85" s="1"/>
    </row>
    <row r="86" customFormat="false" ht="15" hidden="false" customHeight="true" outlineLevel="0" collapsed="false">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Q86" s="1"/>
    </row>
    <row r="87" customFormat="false" ht="15" hidden="false" customHeight="true" outlineLevel="0" collapsed="false">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Q87" s="1"/>
    </row>
    <row r="88" customFormat="false" ht="15" hidden="false" customHeight="true" outlineLevel="0" collapsed="false">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Q88" s="1"/>
    </row>
    <row r="89" customFormat="false" ht="15" hidden="false" customHeight="true" outlineLevel="0" collapsed="false">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Q89" s="1"/>
    </row>
    <row r="90" customFormat="false" ht="15" hidden="false" customHeight="true" outlineLevel="0" collapsed="false">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Q90" s="1"/>
    </row>
    <row r="91" customFormat="false" ht="15" hidden="false" customHeight="true" outlineLevel="0" collapsed="false">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Q91" s="1"/>
    </row>
    <row r="92" customFormat="false" ht="15" hidden="false" customHeight="true" outlineLevel="0" collapsed="false">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Q92" s="1"/>
    </row>
    <row r="93" customFormat="false" ht="15" hidden="false" customHeight="true" outlineLevel="0" collapsed="false">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Q93" s="1"/>
    </row>
    <row r="94" customFormat="false" ht="15" hidden="false" customHeight="true" outlineLevel="0" collapsed="false">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Q94" s="1"/>
    </row>
    <row r="95" customFormat="false" ht="15" hidden="false" customHeight="true" outlineLevel="0" collapsed="false">
      <c r="AQ95" s="1"/>
    </row>
    <row r="96" customFormat="false" ht="15" hidden="false" customHeight="true" outlineLevel="0" collapsed="false">
      <c r="AQ96" s="1"/>
    </row>
    <row r="97" customFormat="false" ht="15" hidden="false" customHeight="true" outlineLevel="0" collapsed="false">
      <c r="AQ97" s="1"/>
    </row>
    <row r="98" customFormat="false" ht="15" hidden="false" customHeight="true" outlineLevel="0" collapsed="false">
      <c r="AQ98" s="1"/>
    </row>
    <row r="99" customFormat="false" ht="15" hidden="false" customHeight="true" outlineLevel="0" collapsed="false">
      <c r="AQ99" s="1"/>
    </row>
    <row r="100" customFormat="false" ht="15" hidden="false" customHeight="true" outlineLevel="0" collapsed="false">
      <c r="AQ100" s="1"/>
    </row>
    <row r="101" customFormat="false" ht="15" hidden="false" customHeight="true" outlineLevel="0" collapsed="false">
      <c r="AQ101" s="1"/>
    </row>
    <row r="102" customFormat="false" ht="15" hidden="false" customHeight="true" outlineLevel="0" collapsed="false">
      <c r="AQ102" s="1"/>
    </row>
    <row r="103" customFormat="false" ht="15" hidden="false" customHeight="true" outlineLevel="0" collapsed="false">
      <c r="AQ103" s="1"/>
    </row>
    <row r="104" customFormat="false" ht="15" hidden="false" customHeight="true" outlineLevel="0" collapsed="false">
      <c r="AQ104" s="1"/>
    </row>
    <row r="105" customFormat="false" ht="15" hidden="false" customHeight="true" outlineLevel="0" collapsed="false">
      <c r="AQ105" s="1"/>
    </row>
    <row r="106" customFormat="false" ht="15" hidden="false" customHeight="true" outlineLevel="0" collapsed="false">
      <c r="AQ106" s="1"/>
    </row>
    <row r="107" customFormat="false" ht="15" hidden="false" customHeight="true" outlineLevel="0" collapsed="false">
      <c r="AQ107" s="1"/>
    </row>
    <row r="108" customFormat="false" ht="15" hidden="false" customHeight="true" outlineLevel="0" collapsed="false">
      <c r="AQ108" s="1"/>
    </row>
    <row r="109" customFormat="false" ht="15" hidden="false" customHeight="true" outlineLevel="0" collapsed="false">
      <c r="AQ109" s="1"/>
    </row>
    <row r="110" customFormat="false" ht="15" hidden="false" customHeight="true" outlineLevel="0" collapsed="false">
      <c r="AQ110" s="1"/>
    </row>
    <row r="111" customFormat="false" ht="15" hidden="false" customHeight="true" outlineLevel="0" collapsed="false">
      <c r="AQ111" s="1"/>
    </row>
    <row r="112" customFormat="false" ht="15" hidden="false" customHeight="true" outlineLevel="0" collapsed="false">
      <c r="AQ112" s="1"/>
    </row>
    <row r="113" customFormat="false" ht="15" hidden="false" customHeight="true" outlineLevel="0" collapsed="false">
      <c r="AQ113" s="1"/>
    </row>
    <row r="114" customFormat="false" ht="15" hidden="false" customHeight="true" outlineLevel="0" collapsed="false">
      <c r="AQ114" s="1"/>
    </row>
    <row r="115" customFormat="false" ht="15" hidden="false" customHeight="true" outlineLevel="0" collapsed="false">
      <c r="AQ115" s="1"/>
    </row>
    <row r="116" customFormat="false" ht="15" hidden="false" customHeight="true" outlineLevel="0" collapsed="false">
      <c r="AQ116" s="1"/>
    </row>
    <row r="117" customFormat="false" ht="15" hidden="false" customHeight="true" outlineLevel="0" collapsed="false">
      <c r="AQ117" s="1"/>
    </row>
    <row r="118" customFormat="false" ht="15" hidden="false" customHeight="true" outlineLevel="0" collapsed="false">
      <c r="AQ118" s="1"/>
    </row>
    <row r="119" customFormat="false" ht="15" hidden="false" customHeight="true" outlineLevel="0" collapsed="false">
      <c r="AQ119" s="1"/>
    </row>
    <row r="120" customFormat="false" ht="15" hidden="false" customHeight="true" outlineLevel="0" collapsed="false">
      <c r="AQ120" s="1"/>
    </row>
    <row r="121" customFormat="false" ht="15" hidden="false" customHeight="true" outlineLevel="0" collapsed="false">
      <c r="AQ121" s="1"/>
    </row>
    <row r="122" customFormat="false" ht="15" hidden="false" customHeight="true" outlineLevel="0" collapsed="false">
      <c r="AQ122" s="1"/>
    </row>
    <row r="123" customFormat="false" ht="15" hidden="false" customHeight="true" outlineLevel="0" collapsed="false">
      <c r="AQ123" s="1"/>
    </row>
    <row r="124" customFormat="false" ht="15" hidden="false" customHeight="true" outlineLevel="0" collapsed="false">
      <c r="AQ124" s="1"/>
    </row>
    <row r="125" customFormat="false" ht="15" hidden="false" customHeight="true" outlineLevel="0" collapsed="false">
      <c r="AQ125" s="1"/>
    </row>
    <row r="126" customFormat="false" ht="15" hidden="false" customHeight="true" outlineLevel="0" collapsed="false">
      <c r="AQ126" s="1"/>
    </row>
    <row r="127" customFormat="false" ht="15" hidden="false" customHeight="true" outlineLevel="0" collapsed="false">
      <c r="AQ127" s="1"/>
    </row>
    <row r="128" customFormat="false" ht="15" hidden="false" customHeight="true" outlineLevel="0" collapsed="false">
      <c r="AQ128" s="1"/>
    </row>
    <row r="129" customFormat="false" ht="15" hidden="false" customHeight="true" outlineLevel="0" collapsed="false">
      <c r="AQ129" s="1"/>
    </row>
    <row r="130" customFormat="false" ht="15" hidden="false" customHeight="true" outlineLevel="0" collapsed="false">
      <c r="AQ130" s="1"/>
    </row>
    <row r="131" customFormat="false" ht="15" hidden="false" customHeight="true" outlineLevel="0" collapsed="false">
      <c r="AQ131" s="1"/>
    </row>
    <row r="132" customFormat="false" ht="15" hidden="false" customHeight="true" outlineLevel="0" collapsed="false">
      <c r="AQ132" s="1"/>
    </row>
    <row r="133" customFormat="false" ht="15" hidden="false" customHeight="true" outlineLevel="0" collapsed="false">
      <c r="AQ133" s="1"/>
    </row>
    <row r="134" customFormat="false" ht="15" hidden="false" customHeight="true" outlineLevel="0" collapsed="false">
      <c r="AQ134" s="1"/>
    </row>
    <row r="135" customFormat="false" ht="15" hidden="false" customHeight="true" outlineLevel="0" collapsed="false">
      <c r="AQ135" s="1"/>
    </row>
    <row r="136" customFormat="false" ht="15" hidden="false" customHeight="true" outlineLevel="0" collapsed="false">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217" customFormat="false" ht="15" hidden="false" customHeight="true" outlineLevel="0" collapsed="false">
      <c r="AQ217" s="1"/>
    </row>
    <row r="218" customFormat="false" ht="15" hidden="false" customHeight="true" outlineLevel="0" collapsed="false">
      <c r="AQ218" s="1"/>
    </row>
    <row r="219" customFormat="false" ht="15" hidden="false" customHeight="true" outlineLevel="0" collapsed="false">
      <c r="AQ219" s="1"/>
    </row>
    <row r="220" customFormat="false" ht="15" hidden="false" customHeight="true" outlineLevel="0" collapsed="false">
      <c r="AQ220" s="1"/>
    </row>
    <row r="221" customFormat="false" ht="15" hidden="false" customHeight="true" outlineLevel="0" collapsed="false">
      <c r="AQ221" s="1"/>
    </row>
    <row r="222" customFormat="false" ht="15" hidden="false" customHeight="true" outlineLevel="0" collapsed="false">
      <c r="AQ222"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25">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8:I8"/>
    <mergeCell ref="B22:I22"/>
    <mergeCell ref="B28:I28"/>
    <mergeCell ref="B32:I32"/>
    <mergeCell ref="B40:I40"/>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207</v>
      </c>
      <c r="D2" s="183"/>
      <c r="E2" s="183"/>
    </row>
    <row r="3" customFormat="false" ht="15" hidden="false" customHeight="true" outlineLevel="0" collapsed="false">
      <c r="A3" s="182" t="s">
        <v>610</v>
      </c>
      <c r="B3" s="182"/>
      <c r="C3" s="183" t="s">
        <v>209</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30" hidden="false" customHeight="true" outlineLevel="0" collapsed="false">
      <c r="A7" s="191" t="s">
        <v>209</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19.5" hidden="false" customHeight="true" outlineLevel="0" collapsed="false">
      <c r="A8" s="194"/>
      <c r="B8" s="200" t="s">
        <v>1838</v>
      </c>
      <c r="C8" s="200"/>
      <c r="D8" s="200"/>
      <c r="E8" s="200"/>
      <c r="F8" s="200"/>
      <c r="G8" s="200"/>
      <c r="H8" s="200"/>
      <c r="I8" s="200"/>
      <c r="J8" s="194"/>
      <c r="K8" s="194"/>
      <c r="L8" s="194"/>
      <c r="M8" s="194"/>
      <c r="N8" s="196"/>
      <c r="O8" s="196"/>
      <c r="P8" s="196"/>
      <c r="Q8" s="196"/>
      <c r="R8" s="196"/>
      <c r="S8" s="196"/>
      <c r="T8" s="196"/>
      <c r="U8" s="196"/>
      <c r="V8" s="196"/>
      <c r="W8" s="196"/>
      <c r="X8" s="196"/>
      <c r="Y8" s="196"/>
      <c r="Z8" s="196"/>
      <c r="AA8" s="196"/>
      <c r="AB8" s="197"/>
      <c r="AC8" s="197"/>
      <c r="AD8" s="197"/>
      <c r="AE8" s="197"/>
      <c r="AF8" s="197"/>
      <c r="AG8" s="197"/>
      <c r="AH8" s="197"/>
      <c r="AI8" s="197"/>
      <c r="AJ8" s="197"/>
      <c r="AK8" s="197"/>
      <c r="AL8" s="197"/>
      <c r="AM8" s="198"/>
      <c r="AN8" s="198"/>
      <c r="AO8" s="198"/>
      <c r="AP8" s="199"/>
    </row>
    <row r="9" customFormat="false" ht="60" hidden="false" customHeight="true" outlineLevel="0" collapsed="false">
      <c r="A9" s="194" t="str">
        <f aca="false">IF(C9="","",$C$2&amp;"."&amp;COUNTA($C$8:C9)&amp;"")</f>
        <v>TC_07.1</v>
      </c>
      <c r="B9" s="194" t="s">
        <v>587</v>
      </c>
      <c r="C9" s="194" t="s">
        <v>1839</v>
      </c>
      <c r="D9" s="194" t="s">
        <v>42</v>
      </c>
      <c r="E9" s="194" t="s">
        <v>157</v>
      </c>
      <c r="F9" s="195" t="s">
        <v>1840</v>
      </c>
      <c r="G9" s="195" t="s">
        <v>1841</v>
      </c>
      <c r="H9" s="195" t="s">
        <v>1842</v>
      </c>
      <c r="I9" s="195" t="s">
        <v>1843</v>
      </c>
      <c r="J9" s="194" t="s">
        <v>637</v>
      </c>
      <c r="K9" s="194" t="s">
        <v>241</v>
      </c>
      <c r="L9" s="194" t="s">
        <v>638</v>
      </c>
      <c r="M9" s="194"/>
      <c r="N9" s="196"/>
      <c r="O9" s="196"/>
      <c r="P9" s="196"/>
      <c r="Q9" s="196"/>
      <c r="R9" s="196"/>
      <c r="S9" s="196"/>
      <c r="T9" s="196"/>
      <c r="U9" s="196"/>
      <c r="V9" s="196"/>
      <c r="W9" s="196"/>
      <c r="X9" s="196"/>
      <c r="Y9" s="196"/>
      <c r="Z9" s="196"/>
      <c r="AA9" s="196"/>
      <c r="AB9" s="197"/>
      <c r="AC9" s="197"/>
      <c r="AD9" s="197"/>
      <c r="AE9" s="197"/>
      <c r="AF9" s="197"/>
      <c r="AG9" s="197"/>
      <c r="AH9" s="197"/>
      <c r="AI9" s="197"/>
      <c r="AJ9" s="197"/>
      <c r="AK9" s="197"/>
      <c r="AL9" s="197"/>
      <c r="AM9" s="198" t="str">
        <f aca="false">IF($A9="","",IF(OR($N9="Yes",$S9="Yes",$X9="Yes",$AC9="Yes",$AH9="Yes"),"Yes","No"))</f>
        <v>No</v>
      </c>
      <c r="AN9" s="198" t="str">
        <f aca="false">IF($A9="","",IFERROR(IF($AI9&lt;&gt;"",$AI9,IF($AD9&lt;&gt;"",$AD9,IF($Y9&lt;&gt;"",$Y9,IF($T9&lt;&gt;"",$T9,IF($O9&lt;&gt;"",$O9,""))))),""))</f>
        <v/>
      </c>
      <c r="AO9" s="198" t="str">
        <f aca="false">IFERROR(IF($AJ9&lt;&gt;"",$AJ9,IF($AE9&lt;&gt;"",$AE9,IF($Z9&lt;&gt;"",$Z9,IF($U9&lt;&gt;"",$U9,IF($P9&lt;&gt;"",$P9,""))))),"")</f>
        <v/>
      </c>
      <c r="AP9" s="199" t="s">
        <v>675</v>
      </c>
    </row>
    <row r="10" customFormat="false" ht="60" hidden="false" customHeight="true" outlineLevel="0" collapsed="false">
      <c r="A10" s="194" t="str">
        <f aca="false">IF(C10="","",$C$2&amp;"."&amp;COUNTA($C$8:C10)&amp;"")</f>
        <v>TC_07.2</v>
      </c>
      <c r="B10" s="194" t="s">
        <v>587</v>
      </c>
      <c r="C10" s="194" t="s">
        <v>1839</v>
      </c>
      <c r="D10" s="194" t="s">
        <v>42</v>
      </c>
      <c r="E10" s="194" t="s">
        <v>157</v>
      </c>
      <c r="F10" s="195" t="s">
        <v>1844</v>
      </c>
      <c r="G10" s="195" t="s">
        <v>1845</v>
      </c>
      <c r="H10" s="195" t="s">
        <v>1846</v>
      </c>
      <c r="I10" s="195" t="s">
        <v>1847</v>
      </c>
      <c r="J10" s="194" t="s">
        <v>637</v>
      </c>
      <c r="K10" s="194" t="s">
        <v>241</v>
      </c>
      <c r="L10" s="194" t="s">
        <v>638</v>
      </c>
      <c r="M10" s="194"/>
      <c r="N10" s="196"/>
      <c r="O10" s="196"/>
      <c r="P10" s="196"/>
      <c r="Q10" s="196"/>
      <c r="R10" s="196"/>
      <c r="S10" s="196"/>
      <c r="T10" s="196"/>
      <c r="U10" s="196"/>
      <c r="V10" s="196"/>
      <c r="W10" s="196"/>
      <c r="X10" s="196"/>
      <c r="Y10" s="196"/>
      <c r="Z10" s="196"/>
      <c r="AA10" s="196"/>
      <c r="AB10" s="197"/>
      <c r="AC10" s="197"/>
      <c r="AD10" s="197"/>
      <c r="AE10" s="197"/>
      <c r="AF10" s="197"/>
      <c r="AG10" s="197"/>
      <c r="AH10" s="197"/>
      <c r="AI10" s="197"/>
      <c r="AJ10" s="197"/>
      <c r="AK10" s="197"/>
      <c r="AL10" s="197"/>
      <c r="AM10" s="198" t="str">
        <f aca="false">IF($A10="","",IF(OR($N10="Yes",$S10="Yes",$X10="Yes",$AC10="Yes",$AH10="Yes"),"Yes","No"))</f>
        <v>No</v>
      </c>
      <c r="AN10" s="198" t="str">
        <f aca="false">IF($A10="","",IFERROR(IF($AI10&lt;&gt;"",$AI10,IF($AD10&lt;&gt;"",$AD10,IF($Y10&lt;&gt;"",$Y10,IF($T10&lt;&gt;"",$T10,IF($O10&lt;&gt;"",$O10,""))))),""))</f>
        <v/>
      </c>
      <c r="AO10" s="198" t="str">
        <f aca="false">IFERROR(IF($AJ10&lt;&gt;"",$AJ10,IF($AE10&lt;&gt;"",$AE10,IF($Z10&lt;&gt;"",$Z10,IF($U10&lt;&gt;"",$U10,IF($P10&lt;&gt;"",$P10,""))))),"")</f>
        <v/>
      </c>
      <c r="AP10" s="199" t="s">
        <v>1848</v>
      </c>
    </row>
    <row r="11" customFormat="false" ht="60" hidden="false" customHeight="true" outlineLevel="0" collapsed="false">
      <c r="A11" s="194" t="str">
        <f aca="false">IF(C11="","",$C$2&amp;"."&amp;COUNTA($C$8:C11)&amp;"")</f>
        <v>TC_07.3</v>
      </c>
      <c r="B11" s="194" t="s">
        <v>587</v>
      </c>
      <c r="C11" s="194" t="s">
        <v>1839</v>
      </c>
      <c r="D11" s="194" t="s">
        <v>42</v>
      </c>
      <c r="E11" s="194" t="s">
        <v>157</v>
      </c>
      <c r="F11" s="195" t="s">
        <v>1849</v>
      </c>
      <c r="G11" s="195" t="s">
        <v>1850</v>
      </c>
      <c r="H11" s="195" t="s">
        <v>1851</v>
      </c>
      <c r="I11" s="195" t="s">
        <v>1852</v>
      </c>
      <c r="J11" s="194" t="s">
        <v>637</v>
      </c>
      <c r="K11" s="194" t="s">
        <v>241</v>
      </c>
      <c r="L11" s="194" t="s">
        <v>638</v>
      </c>
      <c r="M11" s="194"/>
      <c r="N11" s="196"/>
      <c r="O11" s="196"/>
      <c r="P11" s="196"/>
      <c r="Q11" s="196"/>
      <c r="R11" s="196"/>
      <c r="S11" s="196"/>
      <c r="T11" s="196"/>
      <c r="U11" s="196"/>
      <c r="V11" s="196"/>
      <c r="W11" s="196"/>
      <c r="X11" s="196"/>
      <c r="Y11" s="196"/>
      <c r="Z11" s="196"/>
      <c r="AA11" s="196"/>
      <c r="AB11" s="197"/>
      <c r="AC11" s="197"/>
      <c r="AD11" s="197"/>
      <c r="AE11" s="197"/>
      <c r="AF11" s="197"/>
      <c r="AG11" s="197"/>
      <c r="AH11" s="197"/>
      <c r="AI11" s="197"/>
      <c r="AJ11" s="197"/>
      <c r="AK11" s="197"/>
      <c r="AL11" s="197"/>
      <c r="AM11" s="198" t="str">
        <f aca="false">IF($A11="","",IF(OR($N11="Yes",$S11="Yes",$X11="Yes",$AC11="Yes",$AH11="Yes"),"Yes","No"))</f>
        <v>No</v>
      </c>
      <c r="AN11" s="198" t="str">
        <f aca="false">IF($A11="","",IFERROR(IF($AI11&lt;&gt;"",$AI11,IF($AD11&lt;&gt;"",$AD11,IF($Y11&lt;&gt;"",$Y11,IF($T11&lt;&gt;"",$T11,IF($O11&lt;&gt;"",$O11,""))))),""))</f>
        <v/>
      </c>
      <c r="AO11" s="198" t="str">
        <f aca="false">IFERROR(IF($AJ11&lt;&gt;"",$AJ11,IF($AE11&lt;&gt;"",$AE11,IF($Z11&lt;&gt;"",$Z11,IF($U11&lt;&gt;"",$U11,IF($P11&lt;&gt;"",$P11,""))))),"")</f>
        <v/>
      </c>
      <c r="AP11" s="199" t="s">
        <v>664</v>
      </c>
    </row>
    <row r="12" customFormat="false" ht="19.5" hidden="false" customHeight="true" outlineLevel="0" collapsed="false">
      <c r="A12" s="194" t="str">
        <f aca="false">IF(C12="","",$C$2&amp;"."&amp;COUNTA($C$8:C12)&amp;"")</f>
        <v>TC_07.4</v>
      </c>
      <c r="B12" s="194" t="s">
        <v>587</v>
      </c>
      <c r="C12" s="194" t="s">
        <v>713</v>
      </c>
      <c r="D12" s="194" t="s">
        <v>42</v>
      </c>
      <c r="E12" s="194" t="s">
        <v>158</v>
      </c>
      <c r="F12" s="195" t="s">
        <v>1853</v>
      </c>
      <c r="G12" s="195" t="s">
        <v>1854</v>
      </c>
      <c r="H12" s="195" t="s">
        <v>1855</v>
      </c>
      <c r="I12" s="195" t="s">
        <v>1856</v>
      </c>
      <c r="J12" s="194" t="s">
        <v>637</v>
      </c>
      <c r="K12" s="194" t="s">
        <v>241</v>
      </c>
      <c r="L12" s="194" t="s">
        <v>638</v>
      </c>
      <c r="M12" s="194"/>
      <c r="N12" s="196"/>
      <c r="O12" s="196"/>
      <c r="P12" s="196"/>
      <c r="Q12" s="196"/>
      <c r="R12" s="196"/>
      <c r="S12" s="196"/>
      <c r="T12" s="196"/>
      <c r="U12" s="196"/>
      <c r="V12" s="196"/>
      <c r="W12" s="196"/>
      <c r="X12" s="196"/>
      <c r="Y12" s="196"/>
      <c r="Z12" s="196"/>
      <c r="AA12" s="196"/>
      <c r="AB12" s="197"/>
      <c r="AC12" s="197"/>
      <c r="AD12" s="197"/>
      <c r="AE12" s="197"/>
      <c r="AF12" s="197"/>
      <c r="AG12" s="197"/>
      <c r="AH12" s="197"/>
      <c r="AI12" s="197"/>
      <c r="AJ12" s="197"/>
      <c r="AK12" s="197"/>
      <c r="AL12" s="197"/>
      <c r="AM12" s="198" t="str">
        <f aca="false">IF($A9="","",IF(OR($N9="Yes",$S9="Yes",$X9="Yes",$AC9="Yes",$AH9="Yes"),"Yes","No"))</f>
        <v>No</v>
      </c>
      <c r="AN12" s="198" t="str">
        <f aca="false">IF($A9="","",IFERROR(IF($AI9&lt;&gt;"",$AI9,IF($AD9&lt;&gt;"",$AD9,IF($Y9&lt;&gt;"",$Y9,IF($T9&lt;&gt;"",$T9,IF($O9&lt;&gt;"",$O9,""))))),""))</f>
        <v/>
      </c>
      <c r="AO12" s="198" t="str">
        <f aca="false">IFERROR(IF($AJ9&lt;&gt;"",$AJ9,IF($AE9&lt;&gt;"",$AE9,IF($Z9&lt;&gt;"",$Z9,IF($U9&lt;&gt;"",$U9,IF($P9&lt;&gt;"",$P9,""))))),"")</f>
        <v/>
      </c>
      <c r="AP12" s="199" t="s">
        <v>926</v>
      </c>
    </row>
    <row r="13" customFormat="false" ht="19.5" hidden="false" customHeight="true" outlineLevel="0" collapsed="false">
      <c r="A13" s="194"/>
      <c r="B13" s="200" t="s">
        <v>1857</v>
      </c>
      <c r="C13" s="200"/>
      <c r="D13" s="200"/>
      <c r="E13" s="200"/>
      <c r="F13" s="200"/>
      <c r="G13" s="200"/>
      <c r="H13" s="200"/>
      <c r="I13" s="200"/>
      <c r="J13" s="194"/>
      <c r="K13" s="194"/>
      <c r="L13" s="194"/>
      <c r="M13" s="194"/>
      <c r="N13" s="196"/>
      <c r="O13" s="196"/>
      <c r="P13" s="196"/>
      <c r="Q13" s="196"/>
      <c r="R13" s="196"/>
      <c r="S13" s="196"/>
      <c r="T13" s="196"/>
      <c r="U13" s="196"/>
      <c r="V13" s="196"/>
      <c r="W13" s="196"/>
      <c r="X13" s="196"/>
      <c r="Y13" s="196"/>
      <c r="Z13" s="196"/>
      <c r="AA13" s="196"/>
      <c r="AB13" s="197"/>
      <c r="AC13" s="197"/>
      <c r="AD13" s="197"/>
      <c r="AE13" s="197"/>
      <c r="AF13" s="197"/>
      <c r="AG13" s="197"/>
      <c r="AH13" s="197"/>
      <c r="AI13" s="197"/>
      <c r="AJ13" s="197"/>
      <c r="AK13" s="197"/>
      <c r="AL13" s="197"/>
      <c r="AM13" s="198"/>
      <c r="AN13" s="198"/>
      <c r="AO13" s="198"/>
      <c r="AP13" s="199"/>
    </row>
    <row r="14" customFormat="false" ht="60" hidden="false" customHeight="true" outlineLevel="0" collapsed="false">
      <c r="A14" s="194" t="str">
        <f aca="false">IF(C14="","",$C$2&amp;"."&amp;COUNTA($C$8:C14)&amp;"")</f>
        <v>TC_07.5</v>
      </c>
      <c r="B14" s="194" t="s">
        <v>587</v>
      </c>
      <c r="C14" s="194" t="s">
        <v>1858</v>
      </c>
      <c r="D14" s="194" t="s">
        <v>42</v>
      </c>
      <c r="E14" s="194" t="s">
        <v>157</v>
      </c>
      <c r="F14" s="195" t="s">
        <v>1859</v>
      </c>
      <c r="G14" s="195" t="s">
        <v>1860</v>
      </c>
      <c r="H14" s="195" t="s">
        <v>1861</v>
      </c>
      <c r="I14" s="195" t="s">
        <v>1862</v>
      </c>
      <c r="J14" s="194" t="s">
        <v>637</v>
      </c>
      <c r="K14" s="194" t="s">
        <v>241</v>
      </c>
      <c r="L14" s="194" t="s">
        <v>638</v>
      </c>
      <c r="M14" s="194"/>
      <c r="N14" s="196"/>
      <c r="O14" s="196"/>
      <c r="P14" s="196"/>
      <c r="Q14" s="196"/>
      <c r="R14" s="196"/>
      <c r="S14" s="196"/>
      <c r="T14" s="196"/>
      <c r="U14" s="196"/>
      <c r="V14" s="196"/>
      <c r="W14" s="196"/>
      <c r="X14" s="196"/>
      <c r="Y14" s="196"/>
      <c r="Z14" s="196"/>
      <c r="AA14" s="196"/>
      <c r="AB14" s="197"/>
      <c r="AC14" s="197"/>
      <c r="AD14" s="197"/>
      <c r="AE14" s="197"/>
      <c r="AF14" s="197"/>
      <c r="AG14" s="197"/>
      <c r="AH14" s="197"/>
      <c r="AI14" s="197"/>
      <c r="AJ14" s="197"/>
      <c r="AK14" s="197"/>
      <c r="AL14" s="197"/>
      <c r="AM14" s="198" t="str">
        <f aca="false">IF($A13="","",IF(OR($N13="Yes",$S13="Yes",$X13="Yes",$AC13="Yes",$AH13="Yes"),"Yes","No"))</f>
        <v/>
      </c>
      <c r="AN14" s="198" t="str">
        <f aca="false">IF($A13="","",IFERROR(IF($AI13&lt;&gt;"",$AI13,IF($AD13&lt;&gt;"",$AD13,IF($Y13&lt;&gt;"",$Y13,IF($T13&lt;&gt;"",$T13,IF($O13&lt;&gt;"",$O13,""))))),""))</f>
        <v/>
      </c>
      <c r="AO14" s="198" t="str">
        <f aca="false">IFERROR(IF($AJ13&lt;&gt;"",$AJ13,IF($AE13&lt;&gt;"",$AE13,IF($Z13&lt;&gt;"",$Z13,IF($U13&lt;&gt;"",$U13,IF($P13&lt;&gt;"",$P13,""))))),"")</f>
        <v/>
      </c>
      <c r="AP14" s="199" t="s">
        <v>675</v>
      </c>
    </row>
    <row r="15" customFormat="false" ht="60" hidden="false" customHeight="true" outlineLevel="0" collapsed="false">
      <c r="A15" s="194" t="str">
        <f aca="false">IF(C15="","",$C$2&amp;"."&amp;COUNTA($C$8:C15)&amp;"")</f>
        <v>TC_07.6</v>
      </c>
      <c r="B15" s="194" t="s">
        <v>587</v>
      </c>
      <c r="C15" s="194" t="s">
        <v>1858</v>
      </c>
      <c r="D15" s="194" t="s">
        <v>42</v>
      </c>
      <c r="E15" s="194" t="s">
        <v>157</v>
      </c>
      <c r="F15" s="195" t="s">
        <v>1863</v>
      </c>
      <c r="G15" s="195" t="s">
        <v>1864</v>
      </c>
      <c r="H15" s="195" t="s">
        <v>1865</v>
      </c>
      <c r="I15" s="195" t="s">
        <v>1866</v>
      </c>
      <c r="J15" s="194" t="s">
        <v>637</v>
      </c>
      <c r="K15" s="194" t="s">
        <v>241</v>
      </c>
      <c r="L15" s="194" t="s">
        <v>638</v>
      </c>
      <c r="M15" s="194"/>
      <c r="N15" s="196"/>
      <c r="O15" s="196"/>
      <c r="P15" s="196"/>
      <c r="Q15" s="196"/>
      <c r="R15" s="196"/>
      <c r="S15" s="196"/>
      <c r="T15" s="196"/>
      <c r="U15" s="196"/>
      <c r="V15" s="196"/>
      <c r="W15" s="196"/>
      <c r="X15" s="196"/>
      <c r="Y15" s="196"/>
      <c r="Z15" s="196"/>
      <c r="AA15" s="196"/>
      <c r="AB15" s="197"/>
      <c r="AC15" s="197"/>
      <c r="AD15" s="197"/>
      <c r="AE15" s="197"/>
      <c r="AF15" s="197"/>
      <c r="AG15" s="197"/>
      <c r="AH15" s="197"/>
      <c r="AI15" s="197"/>
      <c r="AJ15" s="197"/>
      <c r="AK15" s="197"/>
      <c r="AL15" s="197"/>
      <c r="AM15" s="198" t="str">
        <f aca="false">IF($A14="","",IF(OR($N14="Yes",$S14="Yes",$X14="Yes",$AC14="Yes",$AH14="Yes"),"Yes","No"))</f>
        <v>No</v>
      </c>
      <c r="AN15" s="198" t="str">
        <f aca="false">IF($A14="","",IFERROR(IF($AI14&lt;&gt;"",$AI14,IF($AD14&lt;&gt;"",$AD14,IF($Y14&lt;&gt;"",$Y14,IF($T14&lt;&gt;"",$T14,IF($O14&lt;&gt;"",$O14,""))))),""))</f>
        <v/>
      </c>
      <c r="AO15" s="198" t="str">
        <f aca="false">IFERROR(IF($AJ14&lt;&gt;"",$AJ14,IF($AE14&lt;&gt;"",$AE14,IF($Z14&lt;&gt;"",$Z14,IF($U14&lt;&gt;"",$U14,IF($P14&lt;&gt;"",$P14,""))))),"")</f>
        <v/>
      </c>
      <c r="AP15" s="199" t="s">
        <v>675</v>
      </c>
    </row>
    <row r="16" customFormat="false" ht="60" hidden="false" customHeight="true" outlineLevel="0" collapsed="false">
      <c r="A16" s="194" t="str">
        <f aca="false">IF(C16="","",$C$2&amp;"."&amp;COUNTA($C$8:C16)&amp;"")</f>
        <v>TC_07.7</v>
      </c>
      <c r="B16" s="194" t="s">
        <v>587</v>
      </c>
      <c r="C16" s="194" t="s">
        <v>1858</v>
      </c>
      <c r="D16" s="194" t="s">
        <v>42</v>
      </c>
      <c r="E16" s="194" t="s">
        <v>156</v>
      </c>
      <c r="F16" s="195" t="s">
        <v>1867</v>
      </c>
      <c r="G16" s="195" t="s">
        <v>1868</v>
      </c>
      <c r="H16" s="195" t="s">
        <v>1869</v>
      </c>
      <c r="I16" s="195" t="s">
        <v>1870</v>
      </c>
      <c r="J16" s="194" t="s">
        <v>637</v>
      </c>
      <c r="K16" s="194" t="s">
        <v>241</v>
      </c>
      <c r="L16" s="194" t="s">
        <v>638</v>
      </c>
      <c r="M16" s="194"/>
      <c r="N16" s="196"/>
      <c r="O16" s="196"/>
      <c r="P16" s="196"/>
      <c r="Q16" s="196"/>
      <c r="R16" s="196"/>
      <c r="S16" s="196"/>
      <c r="T16" s="196"/>
      <c r="U16" s="196"/>
      <c r="V16" s="196"/>
      <c r="W16" s="196"/>
      <c r="X16" s="196"/>
      <c r="Y16" s="196"/>
      <c r="Z16" s="196"/>
      <c r="AA16" s="196"/>
      <c r="AB16" s="197"/>
      <c r="AC16" s="197"/>
      <c r="AD16" s="197"/>
      <c r="AE16" s="197"/>
      <c r="AF16" s="197"/>
      <c r="AG16" s="197"/>
      <c r="AH16" s="197"/>
      <c r="AI16" s="197"/>
      <c r="AJ16" s="197"/>
      <c r="AK16" s="197"/>
      <c r="AL16" s="197"/>
      <c r="AM16" s="198" t="str">
        <f aca="false">IF($A15="","",IF(OR($N15="Yes",$S15="Yes",$X15="Yes",$AC15="Yes",$AH15="Yes"),"Yes","No"))</f>
        <v>No</v>
      </c>
      <c r="AN16" s="198" t="str">
        <f aca="false">IF($A15="","",IFERROR(IF($AI15&lt;&gt;"",$AI15,IF($AD15&lt;&gt;"",$AD15,IF($Y15&lt;&gt;"",$Y15,IF($T15&lt;&gt;"",$T15,IF($O15&lt;&gt;"",$O15,""))))),""))</f>
        <v/>
      </c>
      <c r="AO16" s="198" t="str">
        <f aca="false">IFERROR(IF($AJ15&lt;&gt;"",$AJ15,IF($AE15&lt;&gt;"",$AE15,IF($Z15&lt;&gt;"",$Z15,IF($U15&lt;&gt;"",$U15,IF($P15&lt;&gt;"",$P15,""))))),"")</f>
        <v/>
      </c>
      <c r="AP16" s="199"/>
    </row>
    <row r="17" customFormat="false" ht="19.5" hidden="false" customHeight="true" outlineLevel="0" collapsed="false">
      <c r="A17" s="194"/>
      <c r="B17" s="200" t="s">
        <v>1871</v>
      </c>
      <c r="C17" s="200"/>
      <c r="D17" s="200"/>
      <c r="E17" s="200"/>
      <c r="F17" s="200"/>
      <c r="G17" s="200"/>
      <c r="H17" s="200"/>
      <c r="I17" s="200"/>
      <c r="J17" s="194"/>
      <c r="K17" s="194"/>
      <c r="L17" s="194"/>
      <c r="M17" s="194"/>
      <c r="N17" s="196"/>
      <c r="O17" s="196"/>
      <c r="P17" s="196"/>
      <c r="Q17" s="196"/>
      <c r="R17" s="196"/>
      <c r="S17" s="196"/>
      <c r="T17" s="196"/>
      <c r="U17" s="196"/>
      <c r="V17" s="196"/>
      <c r="W17" s="196"/>
      <c r="X17" s="196"/>
      <c r="Y17" s="196"/>
      <c r="Z17" s="196"/>
      <c r="AA17" s="196"/>
      <c r="AB17" s="197"/>
      <c r="AC17" s="197"/>
      <c r="AD17" s="197"/>
      <c r="AE17" s="197"/>
      <c r="AF17" s="197"/>
      <c r="AG17" s="197"/>
      <c r="AH17" s="197"/>
      <c r="AI17" s="197"/>
      <c r="AJ17" s="197"/>
      <c r="AK17" s="197"/>
      <c r="AL17" s="197"/>
      <c r="AM17" s="198"/>
      <c r="AN17" s="198"/>
      <c r="AO17" s="198"/>
      <c r="AP17" s="199"/>
    </row>
    <row r="18" customFormat="false" ht="60" hidden="false" customHeight="true" outlineLevel="0" collapsed="false">
      <c r="A18" s="194" t="str">
        <f aca="false">IF(C18="","",$C$2&amp;"."&amp;COUNTA($C$8:C18)&amp;"")</f>
        <v>TC_07.8</v>
      </c>
      <c r="B18" s="194" t="s">
        <v>587</v>
      </c>
      <c r="C18" s="194" t="s">
        <v>1872</v>
      </c>
      <c r="D18" s="194" t="s">
        <v>42</v>
      </c>
      <c r="E18" s="194" t="s">
        <v>157</v>
      </c>
      <c r="F18" s="195" t="s">
        <v>1873</v>
      </c>
      <c r="G18" s="195" t="s">
        <v>1874</v>
      </c>
      <c r="H18" s="195" t="s">
        <v>1875</v>
      </c>
      <c r="I18" s="195" t="s">
        <v>1876</v>
      </c>
      <c r="J18" s="194" t="s">
        <v>637</v>
      </c>
      <c r="K18" s="194" t="s">
        <v>241</v>
      </c>
      <c r="L18" s="194" t="s">
        <v>638</v>
      </c>
      <c r="M18" s="194"/>
      <c r="N18" s="196"/>
      <c r="O18" s="196"/>
      <c r="P18" s="196"/>
      <c r="Q18" s="196"/>
      <c r="R18" s="196"/>
      <c r="S18" s="196"/>
      <c r="T18" s="196"/>
      <c r="U18" s="196"/>
      <c r="V18" s="196"/>
      <c r="W18" s="196"/>
      <c r="X18" s="196"/>
      <c r="Y18" s="196"/>
      <c r="Z18" s="196"/>
      <c r="AA18" s="196"/>
      <c r="AB18" s="197"/>
      <c r="AC18" s="197"/>
      <c r="AD18" s="197"/>
      <c r="AE18" s="197"/>
      <c r="AF18" s="197"/>
      <c r="AG18" s="197"/>
      <c r="AH18" s="197"/>
      <c r="AI18" s="197"/>
      <c r="AJ18" s="197"/>
      <c r="AK18" s="197"/>
      <c r="AL18" s="197"/>
      <c r="AM18" s="198" t="str">
        <f aca="false">IF($A17="","",IF(OR($N17="Yes",$S17="Yes",$X17="Yes",$AC17="Yes",$AH17="Yes"),"Yes","No"))</f>
        <v/>
      </c>
      <c r="AN18" s="198" t="str">
        <f aca="false">IF($A17="","",IFERROR(IF($AI17&lt;&gt;"",$AI17,IF($AD17&lt;&gt;"",$AD17,IF($Y17&lt;&gt;"",$Y17,IF($T17&lt;&gt;"",$T17,IF($O17&lt;&gt;"",$O17,""))))),""))</f>
        <v/>
      </c>
      <c r="AO18" s="198" t="str">
        <f aca="false">IFERROR(IF($AJ17&lt;&gt;"",$AJ17,IF($AE17&lt;&gt;"",$AE17,IF($Z17&lt;&gt;"",$Z17,IF($U17&lt;&gt;"",$U17,IF($P17&lt;&gt;"",$P17,""))))),"")</f>
        <v/>
      </c>
      <c r="AP18" s="199" t="s">
        <v>675</v>
      </c>
    </row>
    <row r="19" customFormat="false" ht="60" hidden="false" customHeight="true" outlineLevel="0" collapsed="false">
      <c r="A19" s="194" t="str">
        <f aca="false">IF(C19="","",$C$2&amp;"."&amp;COUNTA($C$8:C19)&amp;"")</f>
        <v>TC_07.9</v>
      </c>
      <c r="B19" s="194" t="s">
        <v>587</v>
      </c>
      <c r="C19" s="194" t="s">
        <v>1872</v>
      </c>
      <c r="D19" s="194" t="s">
        <v>42</v>
      </c>
      <c r="E19" s="194" t="s">
        <v>156</v>
      </c>
      <c r="F19" s="195" t="s">
        <v>1877</v>
      </c>
      <c r="G19" s="195" t="s">
        <v>1878</v>
      </c>
      <c r="H19" s="195" t="s">
        <v>1879</v>
      </c>
      <c r="I19" s="195" t="s">
        <v>1880</v>
      </c>
      <c r="J19" s="194" t="s">
        <v>637</v>
      </c>
      <c r="K19" s="194" t="s">
        <v>241</v>
      </c>
      <c r="L19" s="194" t="s">
        <v>638</v>
      </c>
      <c r="M19" s="194"/>
      <c r="N19" s="196"/>
      <c r="O19" s="196"/>
      <c r="P19" s="196"/>
      <c r="Q19" s="196"/>
      <c r="R19" s="196"/>
      <c r="S19" s="196"/>
      <c r="T19" s="196"/>
      <c r="U19" s="196"/>
      <c r="V19" s="196"/>
      <c r="W19" s="196"/>
      <c r="X19" s="196"/>
      <c r="Y19" s="196"/>
      <c r="Z19" s="196"/>
      <c r="AA19" s="196"/>
      <c r="AB19" s="197"/>
      <c r="AC19" s="197"/>
      <c r="AD19" s="197"/>
      <c r="AE19" s="197"/>
      <c r="AF19" s="197"/>
      <c r="AG19" s="197"/>
      <c r="AH19" s="197"/>
      <c r="AI19" s="197"/>
      <c r="AJ19" s="197"/>
      <c r="AK19" s="197"/>
      <c r="AL19" s="197"/>
      <c r="AM19" s="198" t="str">
        <f aca="false">IF($A18="","",IF(OR($N18="Yes",$S18="Yes",$X18="Yes",$AC18="Yes",$AH18="Yes"),"Yes","No"))</f>
        <v>No</v>
      </c>
      <c r="AN19" s="198" t="str">
        <f aca="false">IF($A18="","",IFERROR(IF($AI18&lt;&gt;"",$AI18,IF($AD18&lt;&gt;"",$AD18,IF($Y18&lt;&gt;"",$Y18,IF($T18&lt;&gt;"",$T18,IF($O18&lt;&gt;"",$O18,""))))),""))</f>
        <v/>
      </c>
      <c r="AO19" s="198" t="str">
        <f aca="false">IFERROR(IF($AJ18&lt;&gt;"",$AJ18,IF($AE18&lt;&gt;"",$AE18,IF($Z18&lt;&gt;"",$Z18,IF($U18&lt;&gt;"",$U18,IF($P18&lt;&gt;"",$P18,""))))),"")</f>
        <v/>
      </c>
      <c r="AP19" s="199" t="s">
        <v>1587</v>
      </c>
    </row>
    <row r="20" customFormat="false" ht="60" hidden="false" customHeight="true" outlineLevel="0" collapsed="false">
      <c r="A20" s="194" t="str">
        <f aca="false">IF(C20="","",$C$2&amp;"."&amp;COUNTA($C$8:C20)&amp;"")</f>
        <v>TC_07.10</v>
      </c>
      <c r="B20" s="194" t="s">
        <v>587</v>
      </c>
      <c r="C20" s="194" t="s">
        <v>1872</v>
      </c>
      <c r="D20" s="194" t="s">
        <v>42</v>
      </c>
      <c r="E20" s="194" t="s">
        <v>156</v>
      </c>
      <c r="F20" s="195" t="s">
        <v>1881</v>
      </c>
      <c r="G20" s="195" t="s">
        <v>1882</v>
      </c>
      <c r="H20" s="195" t="s">
        <v>1879</v>
      </c>
      <c r="I20" s="195" t="s">
        <v>1880</v>
      </c>
      <c r="J20" s="194" t="s">
        <v>637</v>
      </c>
      <c r="K20" s="194" t="s">
        <v>241</v>
      </c>
      <c r="L20" s="194" t="s">
        <v>638</v>
      </c>
      <c r="M20" s="194"/>
      <c r="N20" s="196"/>
      <c r="O20" s="196"/>
      <c r="P20" s="196"/>
      <c r="Q20" s="196"/>
      <c r="R20" s="196"/>
      <c r="S20" s="196"/>
      <c r="T20" s="196"/>
      <c r="U20" s="196"/>
      <c r="V20" s="196"/>
      <c r="W20" s="196"/>
      <c r="X20" s="196"/>
      <c r="Y20" s="196"/>
      <c r="Z20" s="196"/>
      <c r="AA20" s="196"/>
      <c r="AB20" s="197"/>
      <c r="AC20" s="197"/>
      <c r="AD20" s="197"/>
      <c r="AE20" s="197"/>
      <c r="AF20" s="197"/>
      <c r="AG20" s="197"/>
      <c r="AH20" s="197"/>
      <c r="AI20" s="197"/>
      <c r="AJ20" s="197"/>
      <c r="AK20" s="197"/>
      <c r="AL20" s="197"/>
      <c r="AM20" s="198" t="str">
        <f aca="false">IF($A19="","",IF(OR($N19="Yes",$S19="Yes",$X19="Yes",$AC19="Yes",$AH19="Yes"),"Yes","No"))</f>
        <v>No</v>
      </c>
      <c r="AN20" s="198" t="str">
        <f aca="false">IF($A19="","",IFERROR(IF($AI19&lt;&gt;"",$AI19,IF($AD19&lt;&gt;"",$AD19,IF($Y19&lt;&gt;"",$Y19,IF($T19&lt;&gt;"",$T19,IF($O19&lt;&gt;"",$O19,""))))),""))</f>
        <v/>
      </c>
      <c r="AO20" s="198" t="str">
        <f aca="false">IFERROR(IF($AJ19&lt;&gt;"",$AJ19,IF($AE19&lt;&gt;"",$AE19,IF($Z19&lt;&gt;"",$Z19,IF($U19&lt;&gt;"",$U19,IF($P19&lt;&gt;"",$P19,""))))),"")</f>
        <v/>
      </c>
      <c r="AP20" s="199" t="s">
        <v>664</v>
      </c>
    </row>
    <row r="21" customFormat="false" ht="60" hidden="false" customHeight="true" outlineLevel="0" collapsed="false">
      <c r="A21" s="194" t="str">
        <f aca="false">IF(C21="","",$C$2&amp;"."&amp;COUNTA($C$8:C21)&amp;"")</f>
        <v>TC_07.11</v>
      </c>
      <c r="B21" s="194" t="s">
        <v>587</v>
      </c>
      <c r="C21" s="194" t="s">
        <v>1872</v>
      </c>
      <c r="D21" s="194" t="s">
        <v>42</v>
      </c>
      <c r="E21" s="194" t="s">
        <v>156</v>
      </c>
      <c r="F21" s="195" t="s">
        <v>1883</v>
      </c>
      <c r="G21" s="195" t="s">
        <v>1884</v>
      </c>
      <c r="H21" s="195" t="s">
        <v>1879</v>
      </c>
      <c r="I21" s="195" t="s">
        <v>1880</v>
      </c>
      <c r="J21" s="194" t="s">
        <v>637</v>
      </c>
      <c r="K21" s="194" t="s">
        <v>241</v>
      </c>
      <c r="L21" s="194" t="s">
        <v>638</v>
      </c>
      <c r="M21" s="194"/>
      <c r="N21" s="196"/>
      <c r="O21" s="196"/>
      <c r="P21" s="196"/>
      <c r="Q21" s="196"/>
      <c r="R21" s="196"/>
      <c r="S21" s="196"/>
      <c r="T21" s="196"/>
      <c r="U21" s="196"/>
      <c r="V21" s="196"/>
      <c r="W21" s="196"/>
      <c r="X21" s="196"/>
      <c r="Y21" s="196"/>
      <c r="Z21" s="196"/>
      <c r="AA21" s="196"/>
      <c r="AB21" s="197"/>
      <c r="AC21" s="197"/>
      <c r="AD21" s="197"/>
      <c r="AE21" s="197"/>
      <c r="AF21" s="197"/>
      <c r="AG21" s="197"/>
      <c r="AH21" s="197"/>
      <c r="AI21" s="197"/>
      <c r="AJ21" s="197"/>
      <c r="AK21" s="197"/>
      <c r="AL21" s="197"/>
      <c r="AM21" s="198" t="str">
        <f aca="false">IF($A20="","",IF(OR($N20="Yes",$S20="Yes",$X20="Yes",$AC20="Yes",$AH20="Yes"),"Yes","No"))</f>
        <v>No</v>
      </c>
      <c r="AN21" s="198" t="str">
        <f aca="false">IF($A20="","",IFERROR(IF($AI20&lt;&gt;"",$AI20,IF($AD20&lt;&gt;"",$AD20,IF($Y20&lt;&gt;"",$Y20,IF($T20&lt;&gt;"",$T20,IF($O20&lt;&gt;"",$O20,""))))),""))</f>
        <v/>
      </c>
      <c r="AO21" s="198" t="str">
        <f aca="false">IFERROR(IF($AJ20&lt;&gt;"",$AJ20,IF($AE20&lt;&gt;"",$AE20,IF($Z20&lt;&gt;"",$Z20,IF($U20&lt;&gt;"",$U20,IF($P20&lt;&gt;"",$P20,""))))),"")</f>
        <v/>
      </c>
      <c r="AP21" s="199" t="s">
        <v>669</v>
      </c>
    </row>
    <row r="22" customFormat="false" ht="60" hidden="false" customHeight="true" outlineLevel="0" collapsed="false">
      <c r="A22" s="194" t="str">
        <f aca="false">IF(C22="","",$C$2&amp;"."&amp;COUNTA($C$8:C22)&amp;"")</f>
        <v>TC_07.12</v>
      </c>
      <c r="B22" s="194" t="s">
        <v>587</v>
      </c>
      <c r="C22" s="194" t="s">
        <v>1872</v>
      </c>
      <c r="D22" s="194" t="s">
        <v>42</v>
      </c>
      <c r="E22" s="194" t="s">
        <v>156</v>
      </c>
      <c r="F22" s="195" t="s">
        <v>1885</v>
      </c>
      <c r="G22" s="195" t="s">
        <v>1886</v>
      </c>
      <c r="H22" s="195" t="s">
        <v>1887</v>
      </c>
      <c r="I22" s="195" t="s">
        <v>1888</v>
      </c>
      <c r="J22" s="194" t="s">
        <v>637</v>
      </c>
      <c r="K22" s="194" t="s">
        <v>241</v>
      </c>
      <c r="L22" s="194" t="s">
        <v>638</v>
      </c>
      <c r="M22" s="194"/>
      <c r="N22" s="196"/>
      <c r="O22" s="196"/>
      <c r="P22" s="196"/>
      <c r="Q22" s="196"/>
      <c r="R22" s="196"/>
      <c r="S22" s="196"/>
      <c r="T22" s="196"/>
      <c r="U22" s="196"/>
      <c r="V22" s="196"/>
      <c r="W22" s="196"/>
      <c r="X22" s="196"/>
      <c r="Y22" s="196"/>
      <c r="Z22" s="196"/>
      <c r="AA22" s="196"/>
      <c r="AB22" s="197"/>
      <c r="AC22" s="197"/>
      <c r="AD22" s="197"/>
      <c r="AE22" s="197"/>
      <c r="AF22" s="197"/>
      <c r="AG22" s="197"/>
      <c r="AH22" s="197"/>
      <c r="AI22" s="197"/>
      <c r="AJ22" s="197"/>
      <c r="AK22" s="197"/>
      <c r="AL22" s="197"/>
      <c r="AM22" s="198" t="str">
        <f aca="false">IF($A21="","",IF(OR($N21="Yes",$S21="Yes",$X21="Yes",$AC21="Yes",$AH21="Yes"),"Yes","No"))</f>
        <v>No</v>
      </c>
      <c r="AN22" s="198" t="str">
        <f aca="false">IF($A21="","",IFERROR(IF($AI21&lt;&gt;"",$AI21,IF($AD21&lt;&gt;"",$AD21,IF($Y21&lt;&gt;"",$Y21,IF($T21&lt;&gt;"",$T21,IF($O21&lt;&gt;"",$O21,""))))),""))</f>
        <v/>
      </c>
      <c r="AO22" s="198" t="str">
        <f aca="false">IFERROR(IF($AJ21&lt;&gt;"",$AJ21,IF($AE21&lt;&gt;"",$AE21,IF($Z21&lt;&gt;"",$Z21,IF($U21&lt;&gt;"",$U21,IF($P21&lt;&gt;"",$P21,""))))),"")</f>
        <v/>
      </c>
      <c r="AP22" s="199" t="s">
        <v>1889</v>
      </c>
    </row>
    <row r="23" customFormat="false" ht="19.5" hidden="false" customHeight="true" outlineLevel="0" collapsed="false">
      <c r="A23" s="194"/>
      <c r="B23" s="200" t="s">
        <v>1890</v>
      </c>
      <c r="C23" s="200"/>
      <c r="D23" s="200"/>
      <c r="E23" s="200"/>
      <c r="F23" s="200"/>
      <c r="G23" s="200"/>
      <c r="H23" s="200"/>
      <c r="I23" s="200"/>
      <c r="J23" s="194"/>
      <c r="K23" s="194"/>
      <c r="L23" s="194"/>
      <c r="M23" s="194"/>
      <c r="N23" s="196"/>
      <c r="O23" s="196"/>
      <c r="P23" s="196"/>
      <c r="Q23" s="196"/>
      <c r="R23" s="196"/>
      <c r="S23" s="196"/>
      <c r="T23" s="196"/>
      <c r="U23" s="196"/>
      <c r="V23" s="196"/>
      <c r="W23" s="196"/>
      <c r="X23" s="196"/>
      <c r="Y23" s="196"/>
      <c r="Z23" s="196"/>
      <c r="AA23" s="196"/>
      <c r="AB23" s="197"/>
      <c r="AC23" s="197"/>
      <c r="AD23" s="197"/>
      <c r="AE23" s="197"/>
      <c r="AF23" s="197"/>
      <c r="AG23" s="197"/>
      <c r="AH23" s="197"/>
      <c r="AI23" s="197"/>
      <c r="AJ23" s="197"/>
      <c r="AK23" s="197"/>
      <c r="AL23" s="197"/>
      <c r="AM23" s="198"/>
      <c r="AN23" s="198"/>
      <c r="AO23" s="198"/>
      <c r="AP23" s="199"/>
    </row>
    <row r="24" customFormat="false" ht="60" hidden="false" customHeight="true" outlineLevel="0" collapsed="false">
      <c r="A24" s="194" t="str">
        <f aca="false">IF(C24="","",$C$2&amp;"."&amp;COUNTA($C$8:C24)&amp;"")</f>
        <v>TC_07.13</v>
      </c>
      <c r="B24" s="194" t="s">
        <v>596</v>
      </c>
      <c r="C24" s="194" t="s">
        <v>1891</v>
      </c>
      <c r="D24" s="194" t="s">
        <v>40</v>
      </c>
      <c r="E24" s="194" t="s">
        <v>156</v>
      </c>
      <c r="F24" s="195" t="s">
        <v>1892</v>
      </c>
      <c r="G24" s="195" t="s">
        <v>1893</v>
      </c>
      <c r="H24" s="195" t="s">
        <v>1894</v>
      </c>
      <c r="I24" s="195" t="s">
        <v>1895</v>
      </c>
      <c r="J24" s="194" t="s">
        <v>637</v>
      </c>
      <c r="K24" s="194" t="s">
        <v>241</v>
      </c>
      <c r="L24" s="194" t="s">
        <v>638</v>
      </c>
      <c r="M24" s="194"/>
      <c r="N24" s="196"/>
      <c r="O24" s="196"/>
      <c r="P24" s="196"/>
      <c r="Q24" s="196"/>
      <c r="R24" s="196"/>
      <c r="S24" s="196"/>
      <c r="T24" s="196"/>
      <c r="U24" s="196"/>
      <c r="V24" s="196"/>
      <c r="W24" s="196"/>
      <c r="X24" s="196"/>
      <c r="Y24" s="196"/>
      <c r="Z24" s="196"/>
      <c r="AA24" s="196"/>
      <c r="AB24" s="197"/>
      <c r="AC24" s="197"/>
      <c r="AD24" s="197"/>
      <c r="AE24" s="197"/>
      <c r="AF24" s="197"/>
      <c r="AG24" s="197"/>
      <c r="AH24" s="197"/>
      <c r="AI24" s="197"/>
      <c r="AJ24" s="197"/>
      <c r="AK24" s="197"/>
      <c r="AL24" s="197"/>
      <c r="AM24" s="198" t="str">
        <f aca="false">IF($A23="","",IF(OR($N23="Yes",$S23="Yes",$X23="Yes",$AC23="Yes",$AH23="Yes"),"Yes","No"))</f>
        <v/>
      </c>
      <c r="AN24" s="198" t="str">
        <f aca="false">IF($A23="","",IFERROR(IF($AI23&lt;&gt;"",$AI23,IF($AD23&lt;&gt;"",$AD23,IF($Y23&lt;&gt;"",$Y23,IF($T23&lt;&gt;"",$T23,IF($O23&lt;&gt;"",$O23,""))))),""))</f>
        <v/>
      </c>
      <c r="AO24" s="198" t="str">
        <f aca="false">IFERROR(IF($AJ23&lt;&gt;"",$AJ23,IF($AE23&lt;&gt;"",$AE23,IF($Z23&lt;&gt;"",$Z23,IF($U23&lt;&gt;"",$U23,IF($P23&lt;&gt;"",$P23,""))))),"")</f>
        <v/>
      </c>
      <c r="AP24" s="199" t="s">
        <v>1896</v>
      </c>
    </row>
    <row r="25" customFormat="false" ht="60" hidden="false" customHeight="true" outlineLevel="0" collapsed="false">
      <c r="A25" s="194" t="str">
        <f aca="false">IF(C25="","",$C$2&amp;"."&amp;COUNTA($C$8:C25)&amp;"")</f>
        <v>TC_07.14</v>
      </c>
      <c r="B25" s="194" t="s">
        <v>596</v>
      </c>
      <c r="C25" s="194" t="s">
        <v>1891</v>
      </c>
      <c r="D25" s="194" t="s">
        <v>40</v>
      </c>
      <c r="E25" s="194" t="s">
        <v>157</v>
      </c>
      <c r="F25" s="195" t="s">
        <v>1897</v>
      </c>
      <c r="G25" s="195" t="s">
        <v>1898</v>
      </c>
      <c r="H25" s="195" t="s">
        <v>1899</v>
      </c>
      <c r="I25" s="195" t="s">
        <v>1900</v>
      </c>
      <c r="J25" s="194" t="s">
        <v>637</v>
      </c>
      <c r="K25" s="194" t="s">
        <v>241</v>
      </c>
      <c r="L25" s="194" t="s">
        <v>638</v>
      </c>
      <c r="M25" s="194"/>
      <c r="N25" s="196"/>
      <c r="O25" s="196"/>
      <c r="P25" s="196"/>
      <c r="Q25" s="196"/>
      <c r="R25" s="196"/>
      <c r="S25" s="196"/>
      <c r="T25" s="196"/>
      <c r="U25" s="196"/>
      <c r="V25" s="196"/>
      <c r="W25" s="196"/>
      <c r="X25" s="196"/>
      <c r="Y25" s="196"/>
      <c r="Z25" s="196"/>
      <c r="AA25" s="196"/>
      <c r="AB25" s="197"/>
      <c r="AC25" s="197"/>
      <c r="AD25" s="197"/>
      <c r="AE25" s="197"/>
      <c r="AF25" s="197"/>
      <c r="AG25" s="197"/>
      <c r="AH25" s="197"/>
      <c r="AI25" s="197"/>
      <c r="AJ25" s="197"/>
      <c r="AK25" s="197"/>
      <c r="AL25" s="197"/>
      <c r="AM25" s="198" t="str">
        <f aca="false">IF($A24="","",IF(OR($N24="Yes",$S24="Yes",$X24="Yes",$AC24="Yes",$AH24="Yes"),"Yes","No"))</f>
        <v>No</v>
      </c>
      <c r="AN25" s="198" t="str">
        <f aca="false">IF($A24="","",IFERROR(IF($AI24&lt;&gt;"",$AI24,IF($AD24&lt;&gt;"",$AD24,IF($Y24&lt;&gt;"",$Y24,IF($T24&lt;&gt;"",$T24,IF($O24&lt;&gt;"",$O24,""))))),""))</f>
        <v/>
      </c>
      <c r="AO25" s="198" t="str">
        <f aca="false">IFERROR(IF($AJ24&lt;&gt;"",$AJ24,IF($AE24&lt;&gt;"",$AE24,IF($Z24&lt;&gt;"",$Z24,IF($U24&lt;&gt;"",$U24,IF($P24&lt;&gt;"",$P24,""))))),"")</f>
        <v/>
      </c>
      <c r="AP25" s="199" t="s">
        <v>1901</v>
      </c>
    </row>
    <row r="26" customFormat="false" ht="60" hidden="false" customHeight="true" outlineLevel="0" collapsed="false">
      <c r="A26" s="194" t="str">
        <f aca="false">IF(C26="","",$C$2&amp;"."&amp;COUNTA($C$8:C26)&amp;"")</f>
        <v>TC_07.15</v>
      </c>
      <c r="B26" s="194" t="s">
        <v>596</v>
      </c>
      <c r="C26" s="194" t="s">
        <v>1891</v>
      </c>
      <c r="D26" s="194" t="s">
        <v>40</v>
      </c>
      <c r="E26" s="194" t="s">
        <v>156</v>
      </c>
      <c r="F26" s="195" t="s">
        <v>1902</v>
      </c>
      <c r="G26" s="195" t="s">
        <v>1903</v>
      </c>
      <c r="H26" s="195" t="s">
        <v>1904</v>
      </c>
      <c r="I26" s="195" t="s">
        <v>1905</v>
      </c>
      <c r="J26" s="194" t="s">
        <v>637</v>
      </c>
      <c r="K26" s="194" t="s">
        <v>241</v>
      </c>
      <c r="L26" s="194" t="s">
        <v>638</v>
      </c>
      <c r="M26" s="194"/>
      <c r="N26" s="196"/>
      <c r="O26" s="196"/>
      <c r="P26" s="196"/>
      <c r="Q26" s="196"/>
      <c r="R26" s="196"/>
      <c r="S26" s="196"/>
      <c r="T26" s="196"/>
      <c r="U26" s="196"/>
      <c r="V26" s="196"/>
      <c r="W26" s="196"/>
      <c r="X26" s="196"/>
      <c r="Y26" s="196"/>
      <c r="Z26" s="196"/>
      <c r="AA26" s="196"/>
      <c r="AB26" s="197"/>
      <c r="AC26" s="197"/>
      <c r="AD26" s="197"/>
      <c r="AE26" s="197"/>
      <c r="AF26" s="197"/>
      <c r="AG26" s="197"/>
      <c r="AH26" s="197"/>
      <c r="AI26" s="197"/>
      <c r="AJ26" s="197"/>
      <c r="AK26" s="197"/>
      <c r="AL26" s="197"/>
      <c r="AM26" s="198" t="str">
        <f aca="false">IF($A25="","",IF(OR($N25="Yes",$S25="Yes",$X25="Yes",$AC25="Yes",$AH25="Yes"),"Yes","No"))</f>
        <v>No</v>
      </c>
      <c r="AN26" s="198" t="str">
        <f aca="false">IF($A25="","",IFERROR(IF($AI25&lt;&gt;"",$AI25,IF($AD25&lt;&gt;"",$AD25,IF($Y25&lt;&gt;"",$Y25,IF($T25&lt;&gt;"",$T25,IF($O25&lt;&gt;"",$O25,""))))),""))</f>
        <v/>
      </c>
      <c r="AO26" s="198" t="str">
        <f aca="false">IFERROR(IF($AJ25&lt;&gt;"",$AJ25,IF($AE25&lt;&gt;"",$AE25,IF($Z25&lt;&gt;"",$Z25,IF($U25&lt;&gt;"",$U25,IF($P25&lt;&gt;"",$P25,""))))),"")</f>
        <v/>
      </c>
      <c r="AP26" s="199" t="s">
        <v>1906</v>
      </c>
    </row>
    <row r="27" customFormat="false" ht="60" hidden="false" customHeight="true" outlineLevel="0" collapsed="false">
      <c r="A27" s="194" t="str">
        <f aca="false">IF(C27="","",$C$2&amp;"."&amp;COUNTA($C$8:C27)&amp;"")</f>
        <v>TC_07.16</v>
      </c>
      <c r="B27" s="194" t="s">
        <v>596</v>
      </c>
      <c r="C27" s="194" t="s">
        <v>1891</v>
      </c>
      <c r="D27" s="194" t="s">
        <v>40</v>
      </c>
      <c r="E27" s="194" t="s">
        <v>157</v>
      </c>
      <c r="F27" s="195" t="s">
        <v>1907</v>
      </c>
      <c r="G27" s="195" t="s">
        <v>1908</v>
      </c>
      <c r="H27" s="195" t="s">
        <v>1909</v>
      </c>
      <c r="I27" s="195" t="s">
        <v>1910</v>
      </c>
      <c r="J27" s="194" t="s">
        <v>637</v>
      </c>
      <c r="K27" s="194" t="s">
        <v>241</v>
      </c>
      <c r="L27" s="194" t="s">
        <v>638</v>
      </c>
      <c r="M27" s="194"/>
      <c r="N27" s="196"/>
      <c r="O27" s="196"/>
      <c r="P27" s="196"/>
      <c r="Q27" s="196"/>
      <c r="R27" s="196"/>
      <c r="S27" s="196"/>
      <c r="T27" s="196"/>
      <c r="U27" s="196"/>
      <c r="V27" s="196"/>
      <c r="W27" s="196"/>
      <c r="X27" s="196"/>
      <c r="Y27" s="196"/>
      <c r="Z27" s="196"/>
      <c r="AA27" s="196"/>
      <c r="AB27" s="197"/>
      <c r="AC27" s="197"/>
      <c r="AD27" s="197"/>
      <c r="AE27" s="197"/>
      <c r="AF27" s="197"/>
      <c r="AG27" s="197"/>
      <c r="AH27" s="197"/>
      <c r="AI27" s="197"/>
      <c r="AJ27" s="197"/>
      <c r="AK27" s="197"/>
      <c r="AL27" s="197"/>
      <c r="AM27" s="198" t="str">
        <f aca="false">IF($A26="","",IF(OR($N26="Yes",$S26="Yes",$X26="Yes",$AC26="Yes",$AH26="Yes"),"Yes","No"))</f>
        <v>No</v>
      </c>
      <c r="AN27" s="198" t="str">
        <f aca="false">IF($A26="","",IFERROR(IF($AI26&lt;&gt;"",$AI26,IF($AD26&lt;&gt;"",$AD26,IF($Y26&lt;&gt;"",$Y26,IF($T26&lt;&gt;"",$T26,IF($O26&lt;&gt;"",$O26,""))))),""))</f>
        <v/>
      </c>
      <c r="AO27" s="198" t="str">
        <f aca="false">IFERROR(IF($AJ26&lt;&gt;"",$AJ26,IF($AE26&lt;&gt;"",$AE26,IF($Z26&lt;&gt;"",$Z26,IF($U26&lt;&gt;"",$U26,IF($P26&lt;&gt;"",$P26,""))))),"")</f>
        <v/>
      </c>
      <c r="AP27" s="199" t="s">
        <v>1911</v>
      </c>
    </row>
    <row r="28" customFormat="false" ht="60" hidden="false" customHeight="true" outlineLevel="0" collapsed="false">
      <c r="A28" s="194" t="str">
        <f aca="false">IF(C28="","",$C$2&amp;"."&amp;COUNTA($C$8:C28)&amp;"")</f>
        <v>TC_07.17</v>
      </c>
      <c r="B28" s="194" t="s">
        <v>596</v>
      </c>
      <c r="C28" s="194" t="s">
        <v>1891</v>
      </c>
      <c r="D28" s="194" t="s">
        <v>40</v>
      </c>
      <c r="E28" s="194" t="s">
        <v>156</v>
      </c>
      <c r="F28" s="195" t="s">
        <v>1912</v>
      </c>
      <c r="G28" s="195" t="s">
        <v>1913</v>
      </c>
      <c r="H28" s="195" t="s">
        <v>1914</v>
      </c>
      <c r="I28" s="195" t="s">
        <v>1915</v>
      </c>
      <c r="J28" s="194" t="s">
        <v>637</v>
      </c>
      <c r="K28" s="194" t="s">
        <v>241</v>
      </c>
      <c r="L28" s="194" t="s">
        <v>638</v>
      </c>
      <c r="M28" s="194"/>
      <c r="N28" s="196"/>
      <c r="O28" s="196"/>
      <c r="P28" s="196"/>
      <c r="Q28" s="196"/>
      <c r="R28" s="196"/>
      <c r="S28" s="196"/>
      <c r="T28" s="196"/>
      <c r="U28" s="196"/>
      <c r="V28" s="196"/>
      <c r="W28" s="196"/>
      <c r="X28" s="196"/>
      <c r="Y28" s="196"/>
      <c r="Z28" s="196"/>
      <c r="AA28" s="196"/>
      <c r="AB28" s="197"/>
      <c r="AC28" s="197"/>
      <c r="AD28" s="197"/>
      <c r="AE28" s="197"/>
      <c r="AF28" s="197"/>
      <c r="AG28" s="197"/>
      <c r="AH28" s="197"/>
      <c r="AI28" s="197"/>
      <c r="AJ28" s="197"/>
      <c r="AK28" s="197"/>
      <c r="AL28" s="197"/>
      <c r="AM28" s="198" t="str">
        <f aca="false">IF($A27="","",IF(OR($N27="Yes",$S27="Yes",$X27="Yes",$AC27="Yes",$AH27="Yes"),"Yes","No"))</f>
        <v>No</v>
      </c>
      <c r="AN28" s="198" t="str">
        <f aca="false">IF($A27="","",IFERROR(IF($AI27&lt;&gt;"",$AI27,IF($AD27&lt;&gt;"",$AD27,IF($Y27&lt;&gt;"",$Y27,IF($T27&lt;&gt;"",$T27,IF($O27&lt;&gt;"",$O27,""))))),""))</f>
        <v/>
      </c>
      <c r="AO28" s="198" t="str">
        <f aca="false">IFERROR(IF($AJ27&lt;&gt;"",$AJ27,IF($AE27&lt;&gt;"",$AE27,IF($Z27&lt;&gt;"",$Z27,IF($U27&lt;&gt;"",$U27,IF($P27&lt;&gt;"",$P27,""))))),"")</f>
        <v/>
      </c>
      <c r="AP28" s="199" t="s">
        <v>1916</v>
      </c>
    </row>
    <row r="29" customFormat="false" ht="19.5" hidden="false" customHeight="true" outlineLevel="0" collapsed="false">
      <c r="A29" s="194"/>
      <c r="B29" s="200" t="s">
        <v>1917</v>
      </c>
      <c r="C29" s="200"/>
      <c r="D29" s="200"/>
      <c r="E29" s="200"/>
      <c r="F29" s="200"/>
      <c r="G29" s="200"/>
      <c r="H29" s="200"/>
      <c r="I29" s="200"/>
      <c r="J29" s="194"/>
      <c r="K29" s="194"/>
      <c r="L29" s="194"/>
      <c r="M29" s="194"/>
      <c r="N29" s="196"/>
      <c r="O29" s="196"/>
      <c r="P29" s="196"/>
      <c r="Q29" s="196"/>
      <c r="R29" s="196"/>
      <c r="S29" s="196"/>
      <c r="T29" s="196"/>
      <c r="U29" s="196"/>
      <c r="V29" s="196"/>
      <c r="W29" s="196"/>
      <c r="X29" s="196"/>
      <c r="Y29" s="196"/>
      <c r="Z29" s="196"/>
      <c r="AA29" s="196"/>
      <c r="AB29" s="197"/>
      <c r="AC29" s="197"/>
      <c r="AD29" s="197"/>
      <c r="AE29" s="197"/>
      <c r="AF29" s="197"/>
      <c r="AG29" s="197"/>
      <c r="AH29" s="197"/>
      <c r="AI29" s="197"/>
      <c r="AJ29" s="197"/>
      <c r="AK29" s="197"/>
      <c r="AL29" s="197"/>
      <c r="AM29" s="198"/>
      <c r="AN29" s="198"/>
      <c r="AO29" s="198"/>
      <c r="AP29" s="199"/>
    </row>
    <row r="30" customFormat="false" ht="60" hidden="false" customHeight="true" outlineLevel="0" collapsed="false">
      <c r="A30" s="194" t="str">
        <f aca="false">IF(C30="","",$C$2&amp;"."&amp;COUNTA($C$8:C30)&amp;"")</f>
        <v>TC_07.18</v>
      </c>
      <c r="B30" s="194" t="s">
        <v>1918</v>
      </c>
      <c r="C30" s="194" t="s">
        <v>1919</v>
      </c>
      <c r="D30" s="194" t="s">
        <v>42</v>
      </c>
      <c r="E30" s="194" t="s">
        <v>157</v>
      </c>
      <c r="F30" s="195" t="s">
        <v>1920</v>
      </c>
      <c r="G30" s="195" t="s">
        <v>1921</v>
      </c>
      <c r="H30" s="195" t="s">
        <v>1922</v>
      </c>
      <c r="I30" s="195" t="s">
        <v>1923</v>
      </c>
      <c r="J30" s="194" t="s">
        <v>637</v>
      </c>
      <c r="K30" s="194" t="s">
        <v>241</v>
      </c>
      <c r="L30" s="194" t="s">
        <v>638</v>
      </c>
      <c r="M30" s="194"/>
      <c r="N30" s="196"/>
      <c r="O30" s="196"/>
      <c r="P30" s="196"/>
      <c r="Q30" s="196"/>
      <c r="R30" s="196"/>
      <c r="S30" s="196"/>
      <c r="T30" s="196"/>
      <c r="U30" s="196"/>
      <c r="V30" s="196"/>
      <c r="W30" s="196"/>
      <c r="X30" s="196"/>
      <c r="Y30" s="196"/>
      <c r="Z30" s="196"/>
      <c r="AA30" s="196"/>
      <c r="AB30" s="197"/>
      <c r="AC30" s="197"/>
      <c r="AD30" s="197"/>
      <c r="AE30" s="197"/>
      <c r="AF30" s="197"/>
      <c r="AG30" s="197"/>
      <c r="AH30" s="197"/>
      <c r="AI30" s="197"/>
      <c r="AJ30" s="197"/>
      <c r="AK30" s="197"/>
      <c r="AL30" s="197"/>
      <c r="AM30" s="198" t="str">
        <f aca="false">IF($A29="","",IF(OR($N29="Yes",$S29="Yes",$X29="Yes",$AC29="Yes",$AH29="Yes"),"Yes","No"))</f>
        <v/>
      </c>
      <c r="AN30" s="198" t="str">
        <f aca="false">IF($A29="","",IFERROR(IF($AI29&lt;&gt;"",$AI29,IF($AD29&lt;&gt;"",$AD29,IF($Y29&lt;&gt;"",$Y29,IF($T29&lt;&gt;"",$T29,IF($O29&lt;&gt;"",$O29,""))))),""))</f>
        <v/>
      </c>
      <c r="AO30" s="198" t="str">
        <f aca="false">IFERROR(IF($AJ29&lt;&gt;"",$AJ29,IF($AE29&lt;&gt;"",$AE29,IF($Z29&lt;&gt;"",$Z29,IF($U29&lt;&gt;"",$U29,IF($P29&lt;&gt;"",$P29,""))))),"")</f>
        <v/>
      </c>
      <c r="AP30" s="199" t="s">
        <v>1924</v>
      </c>
    </row>
    <row r="31" customFormat="false" ht="60" hidden="false" customHeight="true" outlineLevel="0" collapsed="false">
      <c r="A31" s="194" t="str">
        <f aca="false">IF(C31="","",$C$2&amp;"."&amp;COUNTA($C$8:C31)&amp;"")</f>
        <v>TC_07.19</v>
      </c>
      <c r="B31" s="194" t="s">
        <v>1918</v>
      </c>
      <c r="C31" s="194" t="s">
        <v>1919</v>
      </c>
      <c r="D31" s="194" t="s">
        <v>40</v>
      </c>
      <c r="E31" s="194" t="s">
        <v>156</v>
      </c>
      <c r="F31" s="195" t="s">
        <v>1925</v>
      </c>
      <c r="G31" s="195" t="s">
        <v>1926</v>
      </c>
      <c r="H31" s="195" t="s">
        <v>1927</v>
      </c>
      <c r="I31" s="195" t="s">
        <v>1928</v>
      </c>
      <c r="J31" s="194" t="s">
        <v>637</v>
      </c>
      <c r="K31" s="194" t="s">
        <v>241</v>
      </c>
      <c r="L31" s="194" t="s">
        <v>638</v>
      </c>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t="str">
        <f aca="false">IF($A30="","",IF(OR($N30="Yes",$S30="Yes",$X30="Yes",$AC30="Yes",$AH30="Yes"),"Yes","No"))</f>
        <v>No</v>
      </c>
      <c r="AN31" s="198" t="str">
        <f aca="false">IF($A30="","",IFERROR(IF($AI30&lt;&gt;"",$AI30,IF($AD30&lt;&gt;"",$AD30,IF($Y30&lt;&gt;"",$Y30,IF($T30&lt;&gt;"",$T30,IF($O30&lt;&gt;"",$O30,""))))),""))</f>
        <v/>
      </c>
      <c r="AO31" s="198" t="str">
        <f aca="false">IFERROR(IF($AJ30&lt;&gt;"",$AJ30,IF($AE30&lt;&gt;"",$AE30,IF($Z30&lt;&gt;"",$Z30,IF($U30&lt;&gt;"",$U30,IF($P30&lt;&gt;"",$P30,""))))),"")</f>
        <v/>
      </c>
      <c r="AP31" s="199" t="s">
        <v>1929</v>
      </c>
    </row>
    <row r="32" customFormat="false" ht="60" hidden="false" customHeight="true" outlineLevel="0" collapsed="false">
      <c r="A32" s="194" t="str">
        <f aca="false">IF(C32="","",$C$2&amp;"."&amp;COUNTA($C$8:C32)&amp;"")</f>
        <v>TC_07.20</v>
      </c>
      <c r="B32" s="194" t="s">
        <v>587</v>
      </c>
      <c r="C32" s="194" t="s">
        <v>1919</v>
      </c>
      <c r="D32" s="194" t="s">
        <v>40</v>
      </c>
      <c r="E32" s="194" t="s">
        <v>157</v>
      </c>
      <c r="F32" s="195" t="s">
        <v>1930</v>
      </c>
      <c r="G32" s="195" t="s">
        <v>1931</v>
      </c>
      <c r="H32" s="195" t="s">
        <v>1932</v>
      </c>
      <c r="I32" s="195" t="s">
        <v>1933</v>
      </c>
      <c r="J32" s="194" t="s">
        <v>637</v>
      </c>
      <c r="K32" s="194" t="s">
        <v>241</v>
      </c>
      <c r="L32" s="194" t="s">
        <v>638</v>
      </c>
      <c r="M32" s="194"/>
      <c r="N32" s="196"/>
      <c r="O32" s="196"/>
      <c r="P32" s="196"/>
      <c r="Q32" s="196"/>
      <c r="R32" s="196"/>
      <c r="S32" s="196"/>
      <c r="T32" s="196"/>
      <c r="U32" s="196"/>
      <c r="V32" s="196"/>
      <c r="W32" s="196"/>
      <c r="X32" s="196"/>
      <c r="Y32" s="196"/>
      <c r="Z32" s="196"/>
      <c r="AA32" s="196"/>
      <c r="AB32" s="197"/>
      <c r="AC32" s="197"/>
      <c r="AD32" s="197"/>
      <c r="AE32" s="197"/>
      <c r="AF32" s="197"/>
      <c r="AG32" s="197"/>
      <c r="AH32" s="197"/>
      <c r="AI32" s="197"/>
      <c r="AJ32" s="197"/>
      <c r="AK32" s="197"/>
      <c r="AL32" s="197"/>
      <c r="AM32" s="198" t="str">
        <f aca="false">IF($A31="","",IF(OR($N31="Yes",$S31="Yes",$X31="Yes",$AC31="Yes",$AH31="Yes"),"Yes","No"))</f>
        <v>No</v>
      </c>
      <c r="AN32" s="198" t="str">
        <f aca="false">IF($A31="","",IFERROR(IF($AI31&lt;&gt;"",$AI31,IF($AD31&lt;&gt;"",$AD31,IF($Y31&lt;&gt;"",$Y31,IF($T31&lt;&gt;"",$T31,IF($O31&lt;&gt;"",$O31,""))))),""))</f>
        <v/>
      </c>
      <c r="AO32" s="198" t="str">
        <f aca="false">IFERROR(IF($AJ31&lt;&gt;"",$AJ31,IF($AE31&lt;&gt;"",$AE31,IF($Z31&lt;&gt;"",$Z31,IF($U31&lt;&gt;"",$U31,IF($P31&lt;&gt;"",$P31,""))))),"")</f>
        <v/>
      </c>
      <c r="AP32" s="199" t="s">
        <v>1934</v>
      </c>
    </row>
    <row r="33" customFormat="false" ht="60" hidden="false" customHeight="true" outlineLevel="0" collapsed="false">
      <c r="A33" s="194" t="str">
        <f aca="false">IF(C33="","",$C$2&amp;"."&amp;COUNTA($C$8:C33)&amp;"")</f>
        <v>TC_07.21</v>
      </c>
      <c r="B33" s="194" t="s">
        <v>587</v>
      </c>
      <c r="C33" s="194" t="s">
        <v>1872</v>
      </c>
      <c r="D33" s="194" t="s">
        <v>42</v>
      </c>
      <c r="E33" s="194" t="s">
        <v>157</v>
      </c>
      <c r="F33" s="195" t="s">
        <v>1935</v>
      </c>
      <c r="G33" s="195" t="s">
        <v>1936</v>
      </c>
      <c r="H33" s="195" t="s">
        <v>1937</v>
      </c>
      <c r="I33" s="195" t="s">
        <v>1938</v>
      </c>
      <c r="J33" s="194" t="s">
        <v>637</v>
      </c>
      <c r="K33" s="194" t="s">
        <v>241</v>
      </c>
      <c r="L33" s="194" t="s">
        <v>638</v>
      </c>
      <c r="M33" s="194"/>
      <c r="N33" s="196"/>
      <c r="O33" s="196"/>
      <c r="P33" s="196"/>
      <c r="Q33" s="196"/>
      <c r="R33" s="196"/>
      <c r="S33" s="196"/>
      <c r="T33" s="196"/>
      <c r="U33" s="196"/>
      <c r="V33" s="196"/>
      <c r="W33" s="196"/>
      <c r="X33" s="196"/>
      <c r="Y33" s="196"/>
      <c r="Z33" s="196"/>
      <c r="AA33" s="196"/>
      <c r="AB33" s="197"/>
      <c r="AC33" s="197"/>
      <c r="AD33" s="197"/>
      <c r="AE33" s="197"/>
      <c r="AF33" s="197"/>
      <c r="AG33" s="197"/>
      <c r="AH33" s="197"/>
      <c r="AI33" s="197"/>
      <c r="AJ33" s="197"/>
      <c r="AK33" s="197"/>
      <c r="AL33" s="197"/>
      <c r="AM33" s="198" t="str">
        <f aca="false">IF($A32="","",IF(OR($N32="Yes",$S32="Yes",$X32="Yes",$AC32="Yes",$AH32="Yes"),"Yes","No"))</f>
        <v>No</v>
      </c>
      <c r="AN33" s="198" t="str">
        <f aca="false">IF($A32="","",IFERROR(IF($AI32&lt;&gt;"",$AI32,IF($AD32&lt;&gt;"",$AD32,IF($Y32&lt;&gt;"",$Y32,IF($T32&lt;&gt;"",$T32,IF($O32&lt;&gt;"",$O32,""))))),""))</f>
        <v/>
      </c>
      <c r="AO33" s="198" t="str">
        <f aca="false">IFERROR(IF($AJ32&lt;&gt;"",$AJ32,IF($AE32&lt;&gt;"",$AE32,IF($Z32&lt;&gt;"",$Z32,IF($U32&lt;&gt;"",$U32,IF($P32&lt;&gt;"",$P32,""))))),"")</f>
        <v/>
      </c>
      <c r="AP33" s="199"/>
    </row>
    <row r="34" customFormat="false" ht="60" hidden="false" customHeight="true" outlineLevel="0" collapsed="false">
      <c r="A34" s="194" t="str">
        <f aca="false">IF(C34="","",$C$2&amp;"."&amp;COUNTA($C$8:C34)&amp;"")</f>
        <v>TC_07.22</v>
      </c>
      <c r="B34" s="194" t="s">
        <v>587</v>
      </c>
      <c r="C34" s="194" t="s">
        <v>1919</v>
      </c>
      <c r="D34" s="194" t="s">
        <v>40</v>
      </c>
      <c r="E34" s="194" t="s">
        <v>156</v>
      </c>
      <c r="F34" s="195" t="s">
        <v>1939</v>
      </c>
      <c r="G34" s="195" t="s">
        <v>1940</v>
      </c>
      <c r="H34" s="195" t="s">
        <v>1941</v>
      </c>
      <c r="I34" s="195" t="s">
        <v>1942</v>
      </c>
      <c r="J34" s="194" t="s">
        <v>637</v>
      </c>
      <c r="K34" s="194" t="s">
        <v>241</v>
      </c>
      <c r="L34" s="194" t="s">
        <v>638</v>
      </c>
      <c r="M34" s="194"/>
      <c r="N34" s="196"/>
      <c r="O34" s="196"/>
      <c r="P34" s="196"/>
      <c r="Q34" s="196"/>
      <c r="R34" s="196"/>
      <c r="S34" s="196"/>
      <c r="T34" s="196"/>
      <c r="U34" s="196"/>
      <c r="V34" s="196"/>
      <c r="W34" s="196"/>
      <c r="X34" s="196"/>
      <c r="Y34" s="196"/>
      <c r="Z34" s="196"/>
      <c r="AA34" s="196"/>
      <c r="AB34" s="197"/>
      <c r="AC34" s="197"/>
      <c r="AD34" s="197"/>
      <c r="AE34" s="197"/>
      <c r="AF34" s="197"/>
      <c r="AG34" s="197"/>
      <c r="AH34" s="197"/>
      <c r="AI34" s="197"/>
      <c r="AJ34" s="197"/>
      <c r="AK34" s="197"/>
      <c r="AL34" s="197"/>
      <c r="AM34" s="198" t="str">
        <f aca="false">IF($A33="","",IF(OR($N33="Yes",$S33="Yes",$X33="Yes",$AC33="Yes",$AH33="Yes"),"Yes","No"))</f>
        <v>No</v>
      </c>
      <c r="AN34" s="198" t="str">
        <f aca="false">IF($A33="","",IFERROR(IF($AI33&lt;&gt;"",$AI33,IF($AD33&lt;&gt;"",$AD33,IF($Y33&lt;&gt;"",$Y33,IF($T33&lt;&gt;"",$T33,IF($O33&lt;&gt;"",$O33,""))))),""))</f>
        <v/>
      </c>
      <c r="AO34" s="198" t="str">
        <f aca="false">IFERROR(IF($AJ33&lt;&gt;"",$AJ33,IF($AE33&lt;&gt;"",$AE33,IF($Z33&lt;&gt;"",$Z33,IF($U33&lt;&gt;"",$U33,IF($P33&lt;&gt;"",$P33,""))))),"")</f>
        <v/>
      </c>
      <c r="AP34" s="199"/>
    </row>
    <row r="35" customFormat="false" ht="19.5" hidden="false" customHeight="true" outlineLevel="0" collapsed="false">
      <c r="A35" s="194"/>
      <c r="B35" s="200" t="s">
        <v>1943</v>
      </c>
      <c r="C35" s="200"/>
      <c r="D35" s="200"/>
      <c r="E35" s="200"/>
      <c r="F35" s="200"/>
      <c r="G35" s="200"/>
      <c r="H35" s="200"/>
      <c r="I35" s="200"/>
      <c r="J35" s="194"/>
      <c r="K35" s="194"/>
      <c r="L35" s="194"/>
      <c r="M35" s="194"/>
      <c r="N35" s="196"/>
      <c r="O35" s="196"/>
      <c r="P35" s="196"/>
      <c r="Q35" s="196"/>
      <c r="R35" s="196"/>
      <c r="S35" s="196"/>
      <c r="T35" s="196"/>
      <c r="U35" s="196"/>
      <c r="V35" s="196"/>
      <c r="W35" s="196"/>
      <c r="X35" s="196"/>
      <c r="Y35" s="196"/>
      <c r="Z35" s="196"/>
      <c r="AA35" s="196"/>
      <c r="AB35" s="197"/>
      <c r="AC35" s="197"/>
      <c r="AD35" s="197"/>
      <c r="AE35" s="197"/>
      <c r="AF35" s="197"/>
      <c r="AG35" s="197"/>
      <c r="AH35" s="197"/>
      <c r="AI35" s="197"/>
      <c r="AJ35" s="197"/>
      <c r="AK35" s="197"/>
      <c r="AL35" s="197"/>
      <c r="AM35" s="198"/>
      <c r="AN35" s="198"/>
      <c r="AO35" s="198"/>
      <c r="AP35" s="199"/>
    </row>
    <row r="36" customFormat="false" ht="60" hidden="false" customHeight="true" outlineLevel="0" collapsed="false">
      <c r="A36" s="194" t="str">
        <f aca="false">IF(C36="","",$C$2&amp;"."&amp;COUNTA($C$8:C36)&amp;"")</f>
        <v>TC_07.23</v>
      </c>
      <c r="B36" s="194" t="s">
        <v>587</v>
      </c>
      <c r="C36" s="194" t="s">
        <v>1944</v>
      </c>
      <c r="D36" s="194" t="s">
        <v>42</v>
      </c>
      <c r="E36" s="194" t="s">
        <v>158</v>
      </c>
      <c r="F36" s="195" t="s">
        <v>1945</v>
      </c>
      <c r="G36" s="195" t="s">
        <v>1946</v>
      </c>
      <c r="H36" s="195" t="s">
        <v>1947</v>
      </c>
      <c r="I36" s="195" t="s">
        <v>1948</v>
      </c>
      <c r="J36" s="194" t="s">
        <v>637</v>
      </c>
      <c r="K36" s="194" t="s">
        <v>241</v>
      </c>
      <c r="L36" s="194" t="s">
        <v>638</v>
      </c>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t="str">
        <f aca="false">IF($A35="","",IF(OR($N35="Yes",$S35="Yes",$X35="Yes",$AC35="Yes",$AH35="Yes"),"Yes","No"))</f>
        <v/>
      </c>
      <c r="AN36" s="198" t="str">
        <f aca="false">IF($A35="","",IFERROR(IF($AI35&lt;&gt;"",$AI35,IF($AD35&lt;&gt;"",$AD35,IF($Y35&lt;&gt;"",$Y35,IF($T35&lt;&gt;"",$T35,IF($O35&lt;&gt;"",$O35,""))))),""))</f>
        <v/>
      </c>
      <c r="AO36" s="198" t="str">
        <f aca="false">IFERROR(IF($AJ35&lt;&gt;"",$AJ35,IF($AE35&lt;&gt;"",$AE35,IF($Z35&lt;&gt;"",$Z35,IF($U35&lt;&gt;"",$U35,IF($P35&lt;&gt;"",$P35,""))))),"")</f>
        <v/>
      </c>
      <c r="AP36" s="199" t="s">
        <v>1949</v>
      </c>
    </row>
    <row r="37" customFormat="false" ht="60" hidden="false" customHeight="true" outlineLevel="0" collapsed="false">
      <c r="A37" s="194" t="str">
        <f aca="false">IF(C37="","",$C$2&amp;"."&amp;COUNTA($C$8:C37)&amp;"")</f>
        <v>TC_07.24</v>
      </c>
      <c r="B37" s="194" t="s">
        <v>587</v>
      </c>
      <c r="C37" s="194" t="s">
        <v>1944</v>
      </c>
      <c r="D37" s="194" t="s">
        <v>42</v>
      </c>
      <c r="E37" s="194" t="s">
        <v>158</v>
      </c>
      <c r="F37" s="195" t="s">
        <v>1950</v>
      </c>
      <c r="G37" s="195" t="s">
        <v>1878</v>
      </c>
      <c r="H37" s="195" t="s">
        <v>1951</v>
      </c>
      <c r="I37" s="195" t="s">
        <v>1952</v>
      </c>
      <c r="J37" s="194" t="s">
        <v>637</v>
      </c>
      <c r="K37" s="194" t="s">
        <v>241</v>
      </c>
      <c r="L37" s="194" t="s">
        <v>638</v>
      </c>
      <c r="M37" s="194"/>
      <c r="N37" s="196"/>
      <c r="O37" s="196"/>
      <c r="P37" s="196"/>
      <c r="Q37" s="196"/>
      <c r="R37" s="196"/>
      <c r="S37" s="196"/>
      <c r="T37" s="196"/>
      <c r="U37" s="196"/>
      <c r="V37" s="196"/>
      <c r="W37" s="196"/>
      <c r="X37" s="196"/>
      <c r="Y37" s="196"/>
      <c r="Z37" s="196"/>
      <c r="AA37" s="196"/>
      <c r="AB37" s="197"/>
      <c r="AC37" s="197"/>
      <c r="AD37" s="197"/>
      <c r="AE37" s="197"/>
      <c r="AF37" s="197"/>
      <c r="AG37" s="197"/>
      <c r="AH37" s="197"/>
      <c r="AI37" s="197"/>
      <c r="AJ37" s="197"/>
      <c r="AK37" s="197"/>
      <c r="AL37" s="197"/>
      <c r="AM37" s="198" t="str">
        <f aca="false">IF($A36="","",IF(OR($N36="Yes",$S36="Yes",$X36="Yes",$AC36="Yes",$AH36="Yes"),"Yes","No"))</f>
        <v>No</v>
      </c>
      <c r="AN37" s="198" t="str">
        <f aca="false">IF($A36="","",IFERROR(IF($AI36&lt;&gt;"",$AI36,IF($AD36&lt;&gt;"",$AD36,IF($Y36&lt;&gt;"",$Y36,IF($T36&lt;&gt;"",$T36,IF($O36&lt;&gt;"",$O36,""))))),""))</f>
        <v/>
      </c>
      <c r="AO37" s="198" t="str">
        <f aca="false">IFERROR(IF($AJ36&lt;&gt;"",$AJ36,IF($AE36&lt;&gt;"",$AE36,IF($Z36&lt;&gt;"",$Z36,IF($U36&lt;&gt;"",$U36,IF($P36&lt;&gt;"",$P36,""))))),"")</f>
        <v/>
      </c>
      <c r="AP37" s="199" t="s">
        <v>1953</v>
      </c>
    </row>
    <row r="38" customFormat="false" ht="60" hidden="false" customHeight="true" outlineLevel="0" collapsed="false">
      <c r="A38" s="194" t="str">
        <f aca="false">IF(C38="","",$C$2&amp;"."&amp;COUNTA($C$8:C38)&amp;"")</f>
        <v>TC_07.25</v>
      </c>
      <c r="B38" s="194" t="s">
        <v>587</v>
      </c>
      <c r="C38" s="194" t="s">
        <v>1944</v>
      </c>
      <c r="D38" s="194" t="s">
        <v>42</v>
      </c>
      <c r="E38" s="194" t="s">
        <v>157</v>
      </c>
      <c r="F38" s="195" t="s">
        <v>1954</v>
      </c>
      <c r="G38" s="195" t="s">
        <v>1955</v>
      </c>
      <c r="H38" s="195" t="s">
        <v>1947</v>
      </c>
      <c r="I38" s="195" t="s">
        <v>1956</v>
      </c>
      <c r="J38" s="194" t="s">
        <v>637</v>
      </c>
      <c r="K38" s="194" t="s">
        <v>241</v>
      </c>
      <c r="L38" s="194" t="s">
        <v>638</v>
      </c>
      <c r="M38" s="194"/>
      <c r="N38" s="196"/>
      <c r="O38" s="196"/>
      <c r="P38" s="196"/>
      <c r="Q38" s="196"/>
      <c r="R38" s="196"/>
      <c r="S38" s="196"/>
      <c r="T38" s="196"/>
      <c r="U38" s="196"/>
      <c r="V38" s="196"/>
      <c r="W38" s="196"/>
      <c r="X38" s="196"/>
      <c r="Y38" s="196"/>
      <c r="Z38" s="196"/>
      <c r="AA38" s="196"/>
      <c r="AB38" s="197"/>
      <c r="AC38" s="197"/>
      <c r="AD38" s="197"/>
      <c r="AE38" s="197"/>
      <c r="AF38" s="197"/>
      <c r="AG38" s="197"/>
      <c r="AH38" s="197"/>
      <c r="AI38" s="197"/>
      <c r="AJ38" s="197"/>
      <c r="AK38" s="197"/>
      <c r="AL38" s="197"/>
      <c r="AM38" s="198" t="str">
        <f aca="false">IF($A37="","",IF(OR($N37="Yes",$S37="Yes",$X37="Yes",$AC37="Yes",$AH37="Yes"),"Yes","No"))</f>
        <v>No</v>
      </c>
      <c r="AN38" s="198" t="str">
        <f aca="false">IF($A37="","",IFERROR(IF($AI37&lt;&gt;"",$AI37,IF($AD37&lt;&gt;"",$AD37,IF($Y37&lt;&gt;"",$Y37,IF($T37&lt;&gt;"",$T37,IF($O37&lt;&gt;"",$O37,""))))),""))</f>
        <v/>
      </c>
      <c r="AO38" s="198" t="str">
        <f aca="false">IFERROR(IF($AJ37&lt;&gt;"",$AJ37,IF($AE37&lt;&gt;"",$AE37,IF($Z37&lt;&gt;"",$Z37,IF($U37&lt;&gt;"",$U37,IF($P37&lt;&gt;"",$P37,""))))),"")</f>
        <v/>
      </c>
      <c r="AP38" s="199" t="s">
        <v>1957</v>
      </c>
    </row>
    <row r="39" customFormat="false" ht="60" hidden="false" customHeight="true" outlineLevel="0" collapsed="false">
      <c r="A39" s="194" t="str">
        <f aca="false">IF(C39="","",$C$2&amp;"."&amp;COUNTA($C$8:C39)&amp;"")</f>
        <v>TC_07.26</v>
      </c>
      <c r="B39" s="194" t="s">
        <v>587</v>
      </c>
      <c r="C39" s="194" t="s">
        <v>1944</v>
      </c>
      <c r="D39" s="194" t="s">
        <v>42</v>
      </c>
      <c r="E39" s="194" t="s">
        <v>157</v>
      </c>
      <c r="F39" s="195" t="s">
        <v>1958</v>
      </c>
      <c r="G39" s="195" t="s">
        <v>1874</v>
      </c>
      <c r="H39" s="195" t="s">
        <v>1951</v>
      </c>
      <c r="I39" s="195" t="s">
        <v>1959</v>
      </c>
      <c r="J39" s="194" t="s">
        <v>637</v>
      </c>
      <c r="K39" s="194" t="s">
        <v>241</v>
      </c>
      <c r="L39" s="194" t="s">
        <v>638</v>
      </c>
      <c r="M39" s="194"/>
      <c r="N39" s="196"/>
      <c r="O39" s="196"/>
      <c r="P39" s="196"/>
      <c r="Q39" s="196"/>
      <c r="R39" s="196"/>
      <c r="S39" s="196"/>
      <c r="T39" s="196"/>
      <c r="U39" s="196"/>
      <c r="V39" s="196"/>
      <c r="W39" s="196"/>
      <c r="X39" s="196"/>
      <c r="Y39" s="196"/>
      <c r="Z39" s="196"/>
      <c r="AA39" s="196"/>
      <c r="AB39" s="197"/>
      <c r="AC39" s="197"/>
      <c r="AD39" s="197"/>
      <c r="AE39" s="197"/>
      <c r="AF39" s="197"/>
      <c r="AG39" s="197"/>
      <c r="AH39" s="197"/>
      <c r="AI39" s="197"/>
      <c r="AJ39" s="197"/>
      <c r="AK39" s="197"/>
      <c r="AL39" s="197"/>
      <c r="AM39" s="198" t="str">
        <f aca="false">IF($A38="","",IF(OR($N38="Yes",$S38="Yes",$X38="Yes",$AC38="Yes",$AH38="Yes"),"Yes","No"))</f>
        <v>No</v>
      </c>
      <c r="AN39" s="198" t="str">
        <f aca="false">IF($A38="","",IFERROR(IF($AI38&lt;&gt;"",$AI38,IF($AD38&lt;&gt;"",$AD38,IF($Y38&lt;&gt;"",$Y38,IF($T38&lt;&gt;"",$T38,IF($O38&lt;&gt;"",$O38,""))))),""))</f>
        <v/>
      </c>
      <c r="AO39" s="198" t="str">
        <f aca="false">IFERROR(IF($AJ38&lt;&gt;"",$AJ38,IF($AE38&lt;&gt;"",$AE38,IF($Z38&lt;&gt;"",$Z38,IF($U38&lt;&gt;"",$U38,IF($P38&lt;&gt;"",$P38,""))))),"")</f>
        <v/>
      </c>
      <c r="AP39" s="199" t="s">
        <v>1960</v>
      </c>
    </row>
    <row r="40" customFormat="false" ht="60" hidden="false" customHeight="true" outlineLevel="0" collapsed="false">
      <c r="A40" s="194" t="str">
        <f aca="false">IF(C40="","",$C$2&amp;"."&amp;COUNTA($C$8:C40)&amp;"")</f>
        <v>TC_07.27</v>
      </c>
      <c r="B40" s="194" t="s">
        <v>587</v>
      </c>
      <c r="C40" s="194" t="s">
        <v>1944</v>
      </c>
      <c r="D40" s="194" t="s">
        <v>42</v>
      </c>
      <c r="E40" s="194" t="s">
        <v>157</v>
      </c>
      <c r="F40" s="195" t="s">
        <v>1961</v>
      </c>
      <c r="G40" s="195" t="s">
        <v>1962</v>
      </c>
      <c r="H40" s="195" t="s">
        <v>1947</v>
      </c>
      <c r="I40" s="195" t="s">
        <v>1963</v>
      </c>
      <c r="J40" s="194" t="s">
        <v>637</v>
      </c>
      <c r="K40" s="194" t="s">
        <v>241</v>
      </c>
      <c r="L40" s="194" t="s">
        <v>638</v>
      </c>
      <c r="M40" s="194"/>
      <c r="N40" s="196"/>
      <c r="O40" s="196"/>
      <c r="P40" s="196"/>
      <c r="Q40" s="196"/>
      <c r="R40" s="196"/>
      <c r="S40" s="196"/>
      <c r="T40" s="196"/>
      <c r="U40" s="196"/>
      <c r="V40" s="196"/>
      <c r="W40" s="196"/>
      <c r="X40" s="196"/>
      <c r="Y40" s="196"/>
      <c r="Z40" s="196"/>
      <c r="AA40" s="196"/>
      <c r="AB40" s="197"/>
      <c r="AC40" s="197"/>
      <c r="AD40" s="197"/>
      <c r="AE40" s="197"/>
      <c r="AF40" s="197"/>
      <c r="AG40" s="197"/>
      <c r="AH40" s="197"/>
      <c r="AI40" s="197"/>
      <c r="AJ40" s="197"/>
      <c r="AK40" s="197"/>
      <c r="AL40" s="197"/>
      <c r="AM40" s="198" t="str">
        <f aca="false">IF($A39="","",IF(OR($N39="Yes",$S39="Yes",$X39="Yes",$AC39="Yes",$AH39="Yes"),"Yes","No"))</f>
        <v>No</v>
      </c>
      <c r="AN40" s="198" t="str">
        <f aca="false">IF($A39="","",IFERROR(IF($AI39&lt;&gt;"",$AI39,IF($AD39&lt;&gt;"",$AD39,IF($Y39&lt;&gt;"",$Y39,IF($T39&lt;&gt;"",$T39,IF($O39&lt;&gt;"",$O39,""))))),""))</f>
        <v/>
      </c>
      <c r="AO40" s="198" t="str">
        <f aca="false">IFERROR(IF($AJ39&lt;&gt;"",$AJ39,IF($AE39&lt;&gt;"",$AE39,IF($Z39&lt;&gt;"",$Z39,IF($U39&lt;&gt;"",$U39,IF($P39&lt;&gt;"",$P39,""))))),"")</f>
        <v/>
      </c>
      <c r="AP40" s="199" t="s">
        <v>1964</v>
      </c>
    </row>
    <row r="41" customFormat="false" ht="60" hidden="false" customHeight="true" outlineLevel="0" collapsed="false">
      <c r="A41" s="194" t="str">
        <f aca="false">IF(C41="","",$C$2&amp;"."&amp;COUNTA($C$8:C41)&amp;"")</f>
        <v>TC_07.28</v>
      </c>
      <c r="B41" s="194" t="s">
        <v>587</v>
      </c>
      <c r="C41" s="194" t="s">
        <v>1944</v>
      </c>
      <c r="D41" s="194" t="s">
        <v>42</v>
      </c>
      <c r="E41" s="194" t="s">
        <v>157</v>
      </c>
      <c r="F41" s="195" t="s">
        <v>1965</v>
      </c>
      <c r="G41" s="195" t="s">
        <v>1966</v>
      </c>
      <c r="H41" s="195" t="s">
        <v>1951</v>
      </c>
      <c r="I41" s="195" t="s">
        <v>1967</v>
      </c>
      <c r="J41" s="194" t="s">
        <v>637</v>
      </c>
      <c r="K41" s="194" t="s">
        <v>241</v>
      </c>
      <c r="L41" s="194" t="s">
        <v>638</v>
      </c>
      <c r="M41" s="194"/>
      <c r="N41" s="196"/>
      <c r="O41" s="196"/>
      <c r="P41" s="196"/>
      <c r="Q41" s="196"/>
      <c r="R41" s="196"/>
      <c r="S41" s="196"/>
      <c r="T41" s="196"/>
      <c r="U41" s="196"/>
      <c r="V41" s="196"/>
      <c r="W41" s="196"/>
      <c r="X41" s="196"/>
      <c r="Y41" s="196"/>
      <c r="Z41" s="196"/>
      <c r="AA41" s="196"/>
      <c r="AB41" s="197"/>
      <c r="AC41" s="197"/>
      <c r="AD41" s="197"/>
      <c r="AE41" s="197"/>
      <c r="AF41" s="197"/>
      <c r="AG41" s="197"/>
      <c r="AH41" s="197"/>
      <c r="AI41" s="197"/>
      <c r="AJ41" s="197"/>
      <c r="AK41" s="197"/>
      <c r="AL41" s="197"/>
      <c r="AM41" s="198" t="str">
        <f aca="false">IF($A40="","",IF(OR($N40="Yes",$S40="Yes",$X40="Yes",$AC40="Yes",$AH40="Yes"),"Yes","No"))</f>
        <v>No</v>
      </c>
      <c r="AN41" s="198" t="str">
        <f aca="false">IF($A40="","",IFERROR(IF($AI40&lt;&gt;"",$AI40,IF($AD40&lt;&gt;"",$AD40,IF($Y40&lt;&gt;"",$Y40,IF($T40&lt;&gt;"",$T40,IF($O40&lt;&gt;"",$O40,""))))),""))</f>
        <v/>
      </c>
      <c r="AO41" s="198" t="str">
        <f aca="false">IFERROR(IF($AJ40&lt;&gt;"",$AJ40,IF($AE40&lt;&gt;"",$AE40,IF($Z40&lt;&gt;"",$Z40,IF($U40&lt;&gt;"",$U40,IF($P40&lt;&gt;"",$P40,""))))),"")</f>
        <v/>
      </c>
      <c r="AP41" s="199" t="s">
        <v>1968</v>
      </c>
    </row>
    <row r="42" customFormat="false" ht="60" hidden="false" customHeight="true" outlineLevel="0" collapsed="false">
      <c r="A42" s="194" t="str">
        <f aca="false">IF(C42="","",$C$2&amp;"."&amp;COUNTA($C$8:C42)&amp;"")</f>
        <v>TC_07.29</v>
      </c>
      <c r="B42" s="194" t="s">
        <v>587</v>
      </c>
      <c r="C42" s="194" t="s">
        <v>1944</v>
      </c>
      <c r="D42" s="194" t="s">
        <v>42</v>
      </c>
      <c r="E42" s="194" t="s">
        <v>156</v>
      </c>
      <c r="F42" s="195" t="s">
        <v>1969</v>
      </c>
      <c r="G42" s="195" t="s">
        <v>1970</v>
      </c>
      <c r="H42" s="195" t="s">
        <v>1971</v>
      </c>
      <c r="I42" s="195" t="s">
        <v>1972</v>
      </c>
      <c r="J42" s="194" t="s">
        <v>637</v>
      </c>
      <c r="K42" s="194" t="s">
        <v>241</v>
      </c>
      <c r="L42" s="194" t="s">
        <v>638</v>
      </c>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t="str">
        <f aca="false">IF($A41="","",IF(OR($N41="Yes",$S41="Yes",$X41="Yes",$AC41="Yes",$AH41="Yes"),"Yes","No"))</f>
        <v>No</v>
      </c>
      <c r="AN42" s="198" t="str">
        <f aca="false">IF($A41="","",IFERROR(IF($AI41&lt;&gt;"",$AI41,IF($AD41&lt;&gt;"",$AD41,IF($Y41&lt;&gt;"",$Y41,IF($T41&lt;&gt;"",$T41,IF($O41&lt;&gt;"",$O41,""))))),""))</f>
        <v/>
      </c>
      <c r="AO42" s="198" t="str">
        <f aca="false">IFERROR(IF($AJ41&lt;&gt;"",$AJ41,IF($AE41&lt;&gt;"",$AE41,IF($Z41&lt;&gt;"",$Z41,IF($U41&lt;&gt;"",$U41,IF($P41&lt;&gt;"",$P41,""))))),"")</f>
        <v/>
      </c>
      <c r="AP42" s="199" t="s">
        <v>1973</v>
      </c>
    </row>
    <row r="43" customFormat="false" ht="60" hidden="false" customHeight="true" outlineLevel="0" collapsed="false">
      <c r="A43" s="194" t="str">
        <f aca="false">IF(C43="","",$C$2&amp;"."&amp;COUNTA($C$8:C43)&amp;"")</f>
        <v>TC_07.30</v>
      </c>
      <c r="B43" s="194" t="s">
        <v>587</v>
      </c>
      <c r="C43" s="194" t="s">
        <v>1944</v>
      </c>
      <c r="D43" s="194" t="s">
        <v>42</v>
      </c>
      <c r="E43" s="194" t="s">
        <v>156</v>
      </c>
      <c r="F43" s="195" t="s">
        <v>1974</v>
      </c>
      <c r="G43" s="195" t="s">
        <v>1975</v>
      </c>
      <c r="H43" s="195" t="s">
        <v>1976</v>
      </c>
      <c r="I43" s="195" t="s">
        <v>1977</v>
      </c>
      <c r="J43" s="194" t="s">
        <v>637</v>
      </c>
      <c r="K43" s="194" t="s">
        <v>241</v>
      </c>
      <c r="L43" s="194" t="s">
        <v>638</v>
      </c>
      <c r="M43" s="194"/>
      <c r="N43" s="196"/>
      <c r="O43" s="196"/>
      <c r="P43" s="196"/>
      <c r="Q43" s="196"/>
      <c r="R43" s="196"/>
      <c r="S43" s="196"/>
      <c r="T43" s="196"/>
      <c r="U43" s="196"/>
      <c r="V43" s="196"/>
      <c r="W43" s="196"/>
      <c r="X43" s="196"/>
      <c r="Y43" s="196"/>
      <c r="Z43" s="196"/>
      <c r="AA43" s="196"/>
      <c r="AB43" s="197"/>
      <c r="AC43" s="197"/>
      <c r="AD43" s="197"/>
      <c r="AE43" s="197"/>
      <c r="AF43" s="197"/>
      <c r="AG43" s="197"/>
      <c r="AH43" s="197"/>
      <c r="AI43" s="197"/>
      <c r="AJ43" s="197"/>
      <c r="AK43" s="197"/>
      <c r="AL43" s="197"/>
      <c r="AM43" s="198" t="str">
        <f aca="false">IF($A42="","",IF(OR($N42="Yes",$S42="Yes",$X42="Yes",$AC42="Yes",$AH42="Yes"),"Yes","No"))</f>
        <v>No</v>
      </c>
      <c r="AN43" s="198" t="str">
        <f aca="false">IF($A42="","",IFERROR(IF($AI42&lt;&gt;"",$AI42,IF($AD42&lt;&gt;"",$AD42,IF($Y42&lt;&gt;"",$Y42,IF($T42&lt;&gt;"",$T42,IF($O42&lt;&gt;"",$O42,""))))),""))</f>
        <v/>
      </c>
      <c r="AO43" s="198" t="str">
        <f aca="false">IFERROR(IF($AJ42&lt;&gt;"",$AJ42,IF($AE42&lt;&gt;"",$AE42,IF($Z42&lt;&gt;"",$Z42,IF($U42&lt;&gt;"",$U42,IF($P42&lt;&gt;"",$P42,""))))),"")</f>
        <v/>
      </c>
      <c r="AP43" s="199" t="s">
        <v>1978</v>
      </c>
    </row>
    <row r="44" customFormat="false" ht="60" hidden="false" customHeight="true" outlineLevel="0" collapsed="false">
      <c r="A44" s="194" t="str">
        <f aca="false">IF(C44="","",$C$2&amp;"."&amp;COUNTA($C$8:C44)&amp;"")</f>
        <v>TC_07.31</v>
      </c>
      <c r="B44" s="194" t="s">
        <v>587</v>
      </c>
      <c r="C44" s="194" t="s">
        <v>1944</v>
      </c>
      <c r="D44" s="194" t="s">
        <v>42</v>
      </c>
      <c r="E44" s="194" t="s">
        <v>156</v>
      </c>
      <c r="F44" s="195" t="s">
        <v>1979</v>
      </c>
      <c r="G44" s="195" t="s">
        <v>1980</v>
      </c>
      <c r="H44" s="195" t="s">
        <v>1981</v>
      </c>
      <c r="I44" s="195" t="s">
        <v>1982</v>
      </c>
      <c r="J44" s="194" t="s">
        <v>637</v>
      </c>
      <c r="K44" s="194" t="s">
        <v>241</v>
      </c>
      <c r="L44" s="194" t="s">
        <v>638</v>
      </c>
      <c r="M44" s="194"/>
      <c r="N44" s="196"/>
      <c r="O44" s="196"/>
      <c r="P44" s="196"/>
      <c r="Q44" s="196"/>
      <c r="R44" s="196"/>
      <c r="S44" s="196"/>
      <c r="T44" s="196"/>
      <c r="U44" s="196"/>
      <c r="V44" s="196"/>
      <c r="W44" s="196"/>
      <c r="X44" s="196"/>
      <c r="Y44" s="196"/>
      <c r="Z44" s="196"/>
      <c r="AA44" s="196"/>
      <c r="AB44" s="197"/>
      <c r="AC44" s="197"/>
      <c r="AD44" s="197"/>
      <c r="AE44" s="197"/>
      <c r="AF44" s="197"/>
      <c r="AG44" s="197"/>
      <c r="AH44" s="197"/>
      <c r="AI44" s="197"/>
      <c r="AJ44" s="197"/>
      <c r="AK44" s="197"/>
      <c r="AL44" s="197"/>
      <c r="AM44" s="198" t="str">
        <f aca="false">IF($A43="","",IF(OR($N43="Yes",$S43="Yes",$X43="Yes",$AC43="Yes",$AH43="Yes"),"Yes","No"))</f>
        <v>No</v>
      </c>
      <c r="AN44" s="198" t="str">
        <f aca="false">IF($A43="","",IFERROR(IF($AI43&lt;&gt;"",$AI43,IF($AD43&lt;&gt;"",$AD43,IF($Y43&lt;&gt;"",$Y43,IF($T43&lt;&gt;"",$T43,IF($O43&lt;&gt;"",$O43,""))))),""))</f>
        <v/>
      </c>
      <c r="AO44" s="198" t="str">
        <f aca="false">IFERROR(IF($AJ43&lt;&gt;"",$AJ43,IF($AE43&lt;&gt;"",$AE43,IF($Z43&lt;&gt;"",$Z43,IF($U43&lt;&gt;"",$U43,IF($P43&lt;&gt;"",$P43,""))))),"")</f>
        <v/>
      </c>
      <c r="AP44" s="199" t="s">
        <v>1983</v>
      </c>
    </row>
    <row r="45" customFormat="false" ht="60" hidden="false" customHeight="true" outlineLevel="0" collapsed="false">
      <c r="A45" s="194" t="str">
        <f aca="false">IF(C45="","",$C$2&amp;"."&amp;COUNTA($C$8:C45)&amp;"")</f>
        <v>TC_07.32</v>
      </c>
      <c r="B45" s="194" t="s">
        <v>587</v>
      </c>
      <c r="C45" s="194" t="s">
        <v>1944</v>
      </c>
      <c r="D45" s="194" t="s">
        <v>42</v>
      </c>
      <c r="E45" s="194" t="s">
        <v>158</v>
      </c>
      <c r="F45" s="195" t="s">
        <v>1984</v>
      </c>
      <c r="G45" s="195" t="s">
        <v>1985</v>
      </c>
      <c r="H45" s="195" t="s">
        <v>1986</v>
      </c>
      <c r="I45" s="195" t="s">
        <v>1987</v>
      </c>
      <c r="J45" s="194" t="s">
        <v>637</v>
      </c>
      <c r="K45" s="194" t="s">
        <v>241</v>
      </c>
      <c r="L45" s="194" t="s">
        <v>638</v>
      </c>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t="str">
        <f aca="false">IF($A44="","",IF(OR($N44="Yes",$S44="Yes",$X44="Yes",$AC44="Yes",$AH44="Yes"),"Yes","No"))</f>
        <v>No</v>
      </c>
      <c r="AN45" s="198" t="str">
        <f aca="false">IF($A44="","",IFERROR(IF($AI44&lt;&gt;"",$AI44,IF($AD44&lt;&gt;"",$AD44,IF($Y44&lt;&gt;"",$Y44,IF($T44&lt;&gt;"",$T44,IF($O44&lt;&gt;"",$O44,""))))),""))</f>
        <v/>
      </c>
      <c r="AO45" s="198" t="str">
        <f aca="false">IFERROR(IF($AJ44&lt;&gt;"",$AJ44,IF($AE44&lt;&gt;"",$AE44,IF($Z44&lt;&gt;"",$Z44,IF($U44&lt;&gt;"",$U44,IF($P44&lt;&gt;"",$P44,""))))),"")</f>
        <v/>
      </c>
      <c r="AP45" s="199" t="s">
        <v>1988</v>
      </c>
    </row>
    <row r="46" customFormat="false" ht="60" hidden="false" customHeight="true" outlineLevel="0" collapsed="false">
      <c r="A46" s="194" t="str">
        <f aca="false">IF(C46="","",$C$2&amp;"."&amp;COUNTA($C$8:C46)&amp;"")</f>
        <v>TC_07.33</v>
      </c>
      <c r="B46" s="194" t="s">
        <v>587</v>
      </c>
      <c r="C46" s="194" t="s">
        <v>1944</v>
      </c>
      <c r="D46" s="194" t="s">
        <v>42</v>
      </c>
      <c r="E46" s="194" t="s">
        <v>158</v>
      </c>
      <c r="F46" s="195" t="s">
        <v>1989</v>
      </c>
      <c r="G46" s="195" t="s">
        <v>1990</v>
      </c>
      <c r="H46" s="195" t="s">
        <v>1951</v>
      </c>
      <c r="I46" s="195" t="s">
        <v>1991</v>
      </c>
      <c r="J46" s="194" t="s">
        <v>637</v>
      </c>
      <c r="K46" s="194" t="s">
        <v>241</v>
      </c>
      <c r="L46" s="194" t="s">
        <v>638</v>
      </c>
      <c r="M46" s="194"/>
      <c r="N46" s="196"/>
      <c r="O46" s="196"/>
      <c r="P46" s="196"/>
      <c r="Q46" s="196"/>
      <c r="R46" s="196"/>
      <c r="S46" s="196"/>
      <c r="T46" s="196"/>
      <c r="U46" s="196"/>
      <c r="V46" s="196"/>
      <c r="W46" s="196"/>
      <c r="X46" s="196"/>
      <c r="Y46" s="196"/>
      <c r="Z46" s="196"/>
      <c r="AA46" s="196"/>
      <c r="AB46" s="197"/>
      <c r="AC46" s="197"/>
      <c r="AD46" s="197"/>
      <c r="AE46" s="197"/>
      <c r="AF46" s="197"/>
      <c r="AG46" s="197"/>
      <c r="AH46" s="197"/>
      <c r="AI46" s="197"/>
      <c r="AJ46" s="197"/>
      <c r="AK46" s="197"/>
      <c r="AL46" s="197"/>
      <c r="AM46" s="198" t="str">
        <f aca="false">IF($A45="","",IF(OR($N45="Yes",$S45="Yes",$X45="Yes",$AC45="Yes",$AH45="Yes"),"Yes","No"))</f>
        <v>No</v>
      </c>
      <c r="AN46" s="198" t="str">
        <f aca="false">IF($A45="","",IFERROR(IF($AI45&lt;&gt;"",$AI45,IF($AD45&lt;&gt;"",$AD45,IF($Y45&lt;&gt;"",$Y45,IF($T45&lt;&gt;"",$T45,IF($O45&lt;&gt;"",$O45,""))))),""))</f>
        <v/>
      </c>
      <c r="AO46" s="198" t="str">
        <f aca="false">IFERROR(IF($AJ45&lt;&gt;"",$AJ45,IF($AE45&lt;&gt;"",$AE45,IF($Z45&lt;&gt;"",$Z45,IF($U45&lt;&gt;"",$U45,IF($P45&lt;&gt;"",$P45,""))))),"")</f>
        <v/>
      </c>
      <c r="AP46" s="199" t="s">
        <v>1992</v>
      </c>
    </row>
    <row r="47" customFormat="false" ht="19.5" hidden="false" customHeight="true" outlineLevel="0" collapsed="false">
      <c r="A47" s="194"/>
      <c r="B47" s="200" t="s">
        <v>1993</v>
      </c>
      <c r="C47" s="200"/>
      <c r="D47" s="200"/>
      <c r="E47" s="200"/>
      <c r="F47" s="200"/>
      <c r="G47" s="200"/>
      <c r="H47" s="200"/>
      <c r="I47" s="200"/>
      <c r="J47" s="194"/>
      <c r="K47" s="194"/>
      <c r="L47" s="194"/>
      <c r="M47" s="194"/>
      <c r="N47" s="196"/>
      <c r="O47" s="196"/>
      <c r="P47" s="196"/>
      <c r="Q47" s="196"/>
      <c r="R47" s="196"/>
      <c r="S47" s="196"/>
      <c r="T47" s="196"/>
      <c r="U47" s="196"/>
      <c r="V47" s="196"/>
      <c r="W47" s="196"/>
      <c r="X47" s="196"/>
      <c r="Y47" s="196"/>
      <c r="Z47" s="196"/>
      <c r="AA47" s="196"/>
      <c r="AB47" s="197"/>
      <c r="AC47" s="197"/>
      <c r="AD47" s="197"/>
      <c r="AE47" s="197"/>
      <c r="AF47" s="197"/>
      <c r="AG47" s="197"/>
      <c r="AH47" s="197"/>
      <c r="AI47" s="197"/>
      <c r="AJ47" s="197"/>
      <c r="AK47" s="197"/>
      <c r="AL47" s="197"/>
      <c r="AM47" s="198"/>
      <c r="AN47" s="198"/>
      <c r="AO47" s="198"/>
      <c r="AP47" s="199"/>
    </row>
    <row r="48" customFormat="false" ht="60" hidden="false" customHeight="true" outlineLevel="0" collapsed="false">
      <c r="A48" s="194" t="str">
        <f aca="false">IF(C48="","",$C$2&amp;"."&amp;COUNTA($C$8:C48)&amp;"")</f>
        <v>TC_07.34</v>
      </c>
      <c r="B48" s="194" t="s">
        <v>593</v>
      </c>
      <c r="C48" s="194" t="s">
        <v>1994</v>
      </c>
      <c r="D48" s="194" t="s">
        <v>40</v>
      </c>
      <c r="E48" s="194" t="s">
        <v>156</v>
      </c>
      <c r="F48" s="195" t="s">
        <v>1995</v>
      </c>
      <c r="G48" s="195" t="s">
        <v>1996</v>
      </c>
      <c r="H48" s="195" t="s">
        <v>1997</v>
      </c>
      <c r="I48" s="195" t="s">
        <v>1998</v>
      </c>
      <c r="J48" s="194" t="s">
        <v>637</v>
      </c>
      <c r="K48" s="194" t="s">
        <v>241</v>
      </c>
      <c r="L48" s="194" t="s">
        <v>638</v>
      </c>
      <c r="M48" s="194"/>
      <c r="N48" s="196"/>
      <c r="O48" s="196"/>
      <c r="P48" s="196"/>
      <c r="Q48" s="196"/>
      <c r="R48" s="196"/>
      <c r="S48" s="196"/>
      <c r="T48" s="196"/>
      <c r="U48" s="196"/>
      <c r="V48" s="196"/>
      <c r="W48" s="196"/>
      <c r="X48" s="196"/>
      <c r="Y48" s="196"/>
      <c r="Z48" s="196"/>
      <c r="AA48" s="196"/>
      <c r="AB48" s="197"/>
      <c r="AC48" s="197"/>
      <c r="AD48" s="197"/>
      <c r="AE48" s="197"/>
      <c r="AF48" s="197"/>
      <c r="AG48" s="197"/>
      <c r="AH48" s="197"/>
      <c r="AI48" s="197"/>
      <c r="AJ48" s="197"/>
      <c r="AK48" s="197"/>
      <c r="AL48" s="197"/>
      <c r="AM48" s="198" t="str">
        <f aca="false">IF($A47="","",IF(OR($N47="Yes",$S47="Yes",$X47="Yes",$AC47="Yes",$AH47="Yes"),"Yes","No"))</f>
        <v/>
      </c>
      <c r="AN48" s="198" t="str">
        <f aca="false">IF($A47="","",IFERROR(IF($AI47&lt;&gt;"",$AI47,IF($AD47&lt;&gt;"",$AD47,IF($Y47&lt;&gt;"",$Y47,IF($T47&lt;&gt;"",$T47,IF($O47&lt;&gt;"",$O47,""))))),""))</f>
        <v/>
      </c>
      <c r="AO48" s="198" t="str">
        <f aca="false">IFERROR(IF($AJ47&lt;&gt;"",$AJ47,IF($AE47&lt;&gt;"",$AE47,IF($Z47&lt;&gt;"",$Z47,IF($U47&lt;&gt;"",$U47,IF($P47&lt;&gt;"",$P47,""))))),"")</f>
        <v/>
      </c>
      <c r="AP48" s="199" t="s">
        <v>1999</v>
      </c>
    </row>
    <row r="49" customFormat="false" ht="60" hidden="false" customHeight="true" outlineLevel="0" collapsed="false">
      <c r="A49" s="194" t="str">
        <f aca="false">IF(C49="","",$C$2&amp;"."&amp;COUNTA($C$8:C49)&amp;"")</f>
        <v>TC_07.35</v>
      </c>
      <c r="B49" s="194" t="s">
        <v>593</v>
      </c>
      <c r="C49" s="194" t="s">
        <v>1994</v>
      </c>
      <c r="D49" s="194" t="s">
        <v>40</v>
      </c>
      <c r="E49" s="194" t="s">
        <v>156</v>
      </c>
      <c r="F49" s="195" t="s">
        <v>2000</v>
      </c>
      <c r="G49" s="195" t="s">
        <v>2001</v>
      </c>
      <c r="H49" s="195" t="s">
        <v>2002</v>
      </c>
      <c r="I49" s="195" t="s">
        <v>2003</v>
      </c>
      <c r="J49" s="194" t="s">
        <v>637</v>
      </c>
      <c r="K49" s="194" t="s">
        <v>241</v>
      </c>
      <c r="L49" s="194" t="s">
        <v>638</v>
      </c>
      <c r="M49" s="194"/>
      <c r="N49" s="196"/>
      <c r="O49" s="196"/>
      <c r="P49" s="196"/>
      <c r="Q49" s="196"/>
      <c r="R49" s="196"/>
      <c r="S49" s="196"/>
      <c r="T49" s="196"/>
      <c r="U49" s="196"/>
      <c r="V49" s="196"/>
      <c r="W49" s="196"/>
      <c r="X49" s="196"/>
      <c r="Y49" s="196"/>
      <c r="Z49" s="196"/>
      <c r="AA49" s="196"/>
      <c r="AB49" s="197"/>
      <c r="AC49" s="197"/>
      <c r="AD49" s="197"/>
      <c r="AE49" s="197"/>
      <c r="AF49" s="197"/>
      <c r="AG49" s="197"/>
      <c r="AH49" s="197"/>
      <c r="AI49" s="197"/>
      <c r="AJ49" s="197"/>
      <c r="AK49" s="197"/>
      <c r="AL49" s="197"/>
      <c r="AM49" s="198" t="str">
        <f aca="false">IF($A48="","",IF(OR($N48="Yes",$S48="Yes",$X48="Yes",$AC48="Yes",$AH48="Yes"),"Yes","No"))</f>
        <v>No</v>
      </c>
      <c r="AN49" s="198" t="str">
        <f aca="false">IF($A48="","",IFERROR(IF($AI48&lt;&gt;"",$AI48,IF($AD48&lt;&gt;"",$AD48,IF($Y48&lt;&gt;"",$Y48,IF($T48&lt;&gt;"",$T48,IF($O48&lt;&gt;"",$O48,""))))),""))</f>
        <v/>
      </c>
      <c r="AO49" s="198" t="str">
        <f aca="false">IFERROR(IF($AJ48&lt;&gt;"",$AJ48,IF($AE48&lt;&gt;"",$AE48,IF($Z48&lt;&gt;"",$Z48,IF($U48&lt;&gt;"",$U48,IF($P48&lt;&gt;"",$P48,""))))),"")</f>
        <v/>
      </c>
      <c r="AP49" s="199" t="s">
        <v>2004</v>
      </c>
    </row>
    <row r="50" customFormat="false" ht="19.5" hidden="false" customHeight="true" outlineLevel="0" collapsed="false">
      <c r="A50" s="194"/>
      <c r="B50" s="200" t="s">
        <v>2005</v>
      </c>
      <c r="C50" s="200"/>
      <c r="D50" s="200"/>
      <c r="E50" s="200"/>
      <c r="F50" s="200"/>
      <c r="G50" s="200"/>
      <c r="H50" s="200"/>
      <c r="I50" s="200"/>
      <c r="J50" s="194"/>
      <c r="K50" s="194"/>
      <c r="L50" s="194"/>
      <c r="M50" s="194"/>
      <c r="N50" s="196"/>
      <c r="O50" s="196"/>
      <c r="P50" s="196"/>
      <c r="Q50" s="196"/>
      <c r="R50" s="196"/>
      <c r="S50" s="196"/>
      <c r="T50" s="196"/>
      <c r="U50" s="196"/>
      <c r="V50" s="196"/>
      <c r="W50" s="196"/>
      <c r="X50" s="196"/>
      <c r="Y50" s="196"/>
      <c r="Z50" s="196"/>
      <c r="AA50" s="196"/>
      <c r="AB50" s="197"/>
      <c r="AC50" s="197"/>
      <c r="AD50" s="197"/>
      <c r="AE50" s="197"/>
      <c r="AF50" s="197"/>
      <c r="AG50" s="197"/>
      <c r="AH50" s="197"/>
      <c r="AI50" s="197"/>
      <c r="AJ50" s="197"/>
      <c r="AK50" s="197"/>
      <c r="AL50" s="197"/>
      <c r="AM50" s="198"/>
      <c r="AN50" s="198"/>
      <c r="AO50" s="198"/>
      <c r="AP50" s="199"/>
    </row>
    <row r="51" customFormat="false" ht="60" hidden="false" customHeight="true" outlineLevel="0" collapsed="false">
      <c r="A51" s="194" t="str">
        <f aca="false">IF(C51="","",$C$2&amp;"."&amp;COUNTA($C$8:C51)&amp;"")</f>
        <v>TC_07.36</v>
      </c>
      <c r="B51" s="194" t="s">
        <v>587</v>
      </c>
      <c r="C51" s="194" t="s">
        <v>1919</v>
      </c>
      <c r="D51" s="194" t="s">
        <v>40</v>
      </c>
      <c r="E51" s="194" t="s">
        <v>157</v>
      </c>
      <c r="F51" s="195" t="s">
        <v>2006</v>
      </c>
      <c r="G51" s="195" t="s">
        <v>2007</v>
      </c>
      <c r="H51" s="195" t="s">
        <v>2008</v>
      </c>
      <c r="I51" s="195" t="s">
        <v>2009</v>
      </c>
      <c r="J51" s="194" t="s">
        <v>637</v>
      </c>
      <c r="K51" s="194" t="s">
        <v>241</v>
      </c>
      <c r="L51" s="194" t="s">
        <v>638</v>
      </c>
      <c r="M51" s="194"/>
      <c r="N51" s="196"/>
      <c r="O51" s="196"/>
      <c r="P51" s="196"/>
      <c r="Q51" s="196"/>
      <c r="R51" s="196"/>
      <c r="S51" s="196"/>
      <c r="T51" s="196"/>
      <c r="U51" s="196"/>
      <c r="V51" s="196"/>
      <c r="W51" s="196"/>
      <c r="X51" s="196"/>
      <c r="Y51" s="196"/>
      <c r="Z51" s="196"/>
      <c r="AA51" s="196"/>
      <c r="AB51" s="197"/>
      <c r="AC51" s="197"/>
      <c r="AD51" s="197"/>
      <c r="AE51" s="197"/>
      <c r="AF51" s="197"/>
      <c r="AG51" s="197"/>
      <c r="AH51" s="197"/>
      <c r="AI51" s="197"/>
      <c r="AJ51" s="197"/>
      <c r="AK51" s="197"/>
      <c r="AL51" s="197"/>
      <c r="AM51" s="198" t="str">
        <f aca="false">IF($A50="","",IF(OR($N50="Yes",$S50="Yes",$X50="Yes",$AC50="Yes",$AH50="Yes"),"Yes","No"))</f>
        <v/>
      </c>
      <c r="AN51" s="198" t="str">
        <f aca="false">IF($A50="","",IFERROR(IF($AI50&lt;&gt;"",$AI50,IF($AD50&lt;&gt;"",$AD50,IF($Y50&lt;&gt;"",$Y50,IF($T50&lt;&gt;"",$T50,IF($O50&lt;&gt;"",$O50,""))))),""))</f>
        <v/>
      </c>
      <c r="AO51" s="198" t="str">
        <f aca="false">IFERROR(IF($AJ50&lt;&gt;"",$AJ50,IF($AE50&lt;&gt;"",$AE50,IF($Z50&lt;&gt;"",$Z50,IF($U50&lt;&gt;"",$U50,IF($P50&lt;&gt;"",$P50,""))))),"")</f>
        <v/>
      </c>
      <c r="AP51" s="199" t="s">
        <v>2010</v>
      </c>
    </row>
    <row r="52" customFormat="false" ht="60" hidden="false" customHeight="true" outlineLevel="0" collapsed="false">
      <c r="A52" s="194" t="str">
        <f aca="false">IF(C52="","",$C$2&amp;"."&amp;COUNTA($C$8:C52)&amp;"")</f>
        <v>TC_07.37</v>
      </c>
      <c r="B52" s="194" t="s">
        <v>587</v>
      </c>
      <c r="C52" s="194" t="s">
        <v>1919</v>
      </c>
      <c r="D52" s="194" t="s">
        <v>40</v>
      </c>
      <c r="E52" s="194" t="s">
        <v>157</v>
      </c>
      <c r="F52" s="195" t="s">
        <v>2011</v>
      </c>
      <c r="G52" s="195" t="s">
        <v>2012</v>
      </c>
      <c r="H52" s="195" t="s">
        <v>2013</v>
      </c>
      <c r="I52" s="195" t="s">
        <v>2014</v>
      </c>
      <c r="J52" s="194" t="s">
        <v>637</v>
      </c>
      <c r="K52" s="194" t="s">
        <v>241</v>
      </c>
      <c r="L52" s="194" t="s">
        <v>638</v>
      </c>
      <c r="M52" s="194"/>
      <c r="N52" s="196"/>
      <c r="O52" s="196"/>
      <c r="P52" s="196"/>
      <c r="Q52" s="196"/>
      <c r="R52" s="196"/>
      <c r="S52" s="196"/>
      <c r="T52" s="196"/>
      <c r="U52" s="196"/>
      <c r="V52" s="196"/>
      <c r="W52" s="196"/>
      <c r="X52" s="196"/>
      <c r="Y52" s="196"/>
      <c r="Z52" s="196"/>
      <c r="AA52" s="196"/>
      <c r="AB52" s="197"/>
      <c r="AC52" s="197"/>
      <c r="AD52" s="197"/>
      <c r="AE52" s="197"/>
      <c r="AF52" s="197"/>
      <c r="AG52" s="197"/>
      <c r="AH52" s="197"/>
      <c r="AI52" s="197"/>
      <c r="AJ52" s="197"/>
      <c r="AK52" s="197"/>
      <c r="AL52" s="197"/>
      <c r="AM52" s="198" t="str">
        <f aca="false">IF($A51="","",IF(OR($N51="Yes",$S51="Yes",$X51="Yes",$AC51="Yes",$AH51="Yes"),"Yes","No"))</f>
        <v>No</v>
      </c>
      <c r="AN52" s="198" t="str">
        <f aca="false">IF($A51="","",IFERROR(IF($AI51&lt;&gt;"",$AI51,IF($AD51&lt;&gt;"",$AD51,IF($Y51&lt;&gt;"",$Y51,IF($T51&lt;&gt;"",$T51,IF($O51&lt;&gt;"",$O51,""))))),""))</f>
        <v/>
      </c>
      <c r="AO52" s="198" t="str">
        <f aca="false">IFERROR(IF($AJ51&lt;&gt;"",$AJ51,IF($AE51&lt;&gt;"",$AE51,IF($Z51&lt;&gt;"",$Z51,IF($U51&lt;&gt;"",$U51,IF($P51&lt;&gt;"",$P51,""))))),"")</f>
        <v/>
      </c>
      <c r="AP52" s="199" t="s">
        <v>2015</v>
      </c>
    </row>
    <row r="53" customFormat="false" ht="60" hidden="false" customHeight="true" outlineLevel="0" collapsed="false">
      <c r="A53" s="194" t="str">
        <f aca="false">IF(C53="","",$C$2&amp;"."&amp;COUNTA($C$8:C53)&amp;"")</f>
        <v>TC_07.38</v>
      </c>
      <c r="B53" s="194" t="s">
        <v>587</v>
      </c>
      <c r="C53" s="194" t="s">
        <v>1919</v>
      </c>
      <c r="D53" s="194" t="s">
        <v>40</v>
      </c>
      <c r="E53" s="194" t="s">
        <v>157</v>
      </c>
      <c r="F53" s="195" t="s">
        <v>2016</v>
      </c>
      <c r="G53" s="195" t="s">
        <v>2017</v>
      </c>
      <c r="H53" s="195" t="s">
        <v>2018</v>
      </c>
      <c r="I53" s="195" t="s">
        <v>2019</v>
      </c>
      <c r="J53" s="194" t="s">
        <v>637</v>
      </c>
      <c r="K53" s="194" t="s">
        <v>241</v>
      </c>
      <c r="L53" s="194" t="s">
        <v>638</v>
      </c>
      <c r="M53" s="194"/>
      <c r="N53" s="196"/>
      <c r="O53" s="196"/>
      <c r="P53" s="196"/>
      <c r="Q53" s="196"/>
      <c r="R53" s="196"/>
      <c r="S53" s="196"/>
      <c r="T53" s="196"/>
      <c r="U53" s="196"/>
      <c r="V53" s="196"/>
      <c r="W53" s="196"/>
      <c r="X53" s="196"/>
      <c r="Y53" s="196"/>
      <c r="Z53" s="196"/>
      <c r="AA53" s="196"/>
      <c r="AB53" s="197"/>
      <c r="AC53" s="197"/>
      <c r="AD53" s="197"/>
      <c r="AE53" s="197"/>
      <c r="AF53" s="197"/>
      <c r="AG53" s="197"/>
      <c r="AH53" s="197"/>
      <c r="AI53" s="197"/>
      <c r="AJ53" s="197"/>
      <c r="AK53" s="197"/>
      <c r="AL53" s="197"/>
      <c r="AM53" s="198" t="str">
        <f aca="false">IF($A52="","",IF(OR($N52="Yes",$S52="Yes",$X52="Yes",$AC52="Yes",$AH52="Yes"),"Yes","No"))</f>
        <v>No</v>
      </c>
      <c r="AN53" s="198" t="str">
        <f aca="false">IF($A52="","",IFERROR(IF($AI52&lt;&gt;"",$AI52,IF($AD52&lt;&gt;"",$AD52,IF($Y52&lt;&gt;"",$Y52,IF($T52&lt;&gt;"",$T52,IF($O52&lt;&gt;"",$O52,""))))),""))</f>
        <v/>
      </c>
      <c r="AO53" s="198" t="str">
        <f aca="false">IFERROR(IF($AJ52&lt;&gt;"",$AJ52,IF($AE52&lt;&gt;"",$AE52,IF($Z52&lt;&gt;"",$Z52,IF($U52&lt;&gt;"",$U52,IF($P52&lt;&gt;"",$P52,""))))),"")</f>
        <v/>
      </c>
      <c r="AP53" s="199" t="s">
        <v>2020</v>
      </c>
    </row>
    <row r="54" customFormat="false" ht="19.5" hidden="false" customHeight="true" outlineLevel="0" collapsed="false">
      <c r="A54" s="194"/>
      <c r="B54" s="200" t="s">
        <v>2021</v>
      </c>
      <c r="C54" s="200"/>
      <c r="D54" s="200"/>
      <c r="E54" s="200"/>
      <c r="F54" s="200"/>
      <c r="G54" s="200"/>
      <c r="H54" s="200"/>
      <c r="I54" s="200"/>
      <c r="J54" s="194"/>
      <c r="K54" s="194"/>
      <c r="L54" s="194"/>
      <c r="M54" s="194"/>
      <c r="N54" s="196"/>
      <c r="O54" s="196"/>
      <c r="P54" s="196"/>
      <c r="Q54" s="196"/>
      <c r="R54" s="196"/>
      <c r="S54" s="196"/>
      <c r="T54" s="196"/>
      <c r="U54" s="196"/>
      <c r="V54" s="196"/>
      <c r="W54" s="196"/>
      <c r="X54" s="196"/>
      <c r="Y54" s="196"/>
      <c r="Z54" s="196"/>
      <c r="AA54" s="196"/>
      <c r="AB54" s="197"/>
      <c r="AC54" s="197"/>
      <c r="AD54" s="197"/>
      <c r="AE54" s="197"/>
      <c r="AF54" s="197"/>
      <c r="AG54" s="197"/>
      <c r="AH54" s="197"/>
      <c r="AI54" s="197"/>
      <c r="AJ54" s="197"/>
      <c r="AK54" s="197"/>
      <c r="AL54" s="197"/>
      <c r="AM54" s="198"/>
      <c r="AN54" s="198"/>
      <c r="AO54" s="198"/>
      <c r="AP54" s="199"/>
    </row>
    <row r="55" customFormat="false" ht="60" hidden="false" customHeight="true" outlineLevel="0" collapsed="false">
      <c r="A55" s="194" t="str">
        <f aca="false">IF(C55="","",$C$2&amp;"."&amp;COUNTA($C$8:C55)&amp;"")</f>
        <v>TC_07.39</v>
      </c>
      <c r="B55" s="194" t="s">
        <v>581</v>
      </c>
      <c r="C55" s="194" t="s">
        <v>2022</v>
      </c>
      <c r="D55" s="194" t="s">
        <v>40</v>
      </c>
      <c r="E55" s="194" t="s">
        <v>157</v>
      </c>
      <c r="F55" s="195" t="s">
        <v>2023</v>
      </c>
      <c r="G55" s="195" t="s">
        <v>2024</v>
      </c>
      <c r="H55" s="195" t="s">
        <v>2025</v>
      </c>
      <c r="I55" s="195" t="s">
        <v>2026</v>
      </c>
      <c r="J55" s="194" t="s">
        <v>637</v>
      </c>
      <c r="K55" s="194" t="s">
        <v>241</v>
      </c>
      <c r="L55" s="194" t="s">
        <v>638</v>
      </c>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t="str">
        <f aca="false">IF($A54="","",IF(OR($N54="Yes",$S54="Yes",$X54="Yes",$AC54="Yes",$AH54="Yes"),"Yes","No"))</f>
        <v/>
      </c>
      <c r="AN55" s="198" t="str">
        <f aca="false">IF($A54="","",IFERROR(IF($AI54&lt;&gt;"",$AI54,IF($AD54&lt;&gt;"",$AD54,IF($Y54&lt;&gt;"",$Y54,IF($T54&lt;&gt;"",$T54,IF($O54&lt;&gt;"",$O54,""))))),""))</f>
        <v/>
      </c>
      <c r="AO55" s="198" t="str">
        <f aca="false">IFERROR(IF($AJ54&lt;&gt;"",$AJ54,IF($AE54&lt;&gt;"",$AE54,IF($Z54&lt;&gt;"",$Z54,IF($U54&lt;&gt;"",$U54,IF($P54&lt;&gt;"",$P54,""))))),"")</f>
        <v/>
      </c>
      <c r="AP55" s="199" t="s">
        <v>2027</v>
      </c>
    </row>
    <row r="56" customFormat="false" ht="60" hidden="false" customHeight="true" outlineLevel="0" collapsed="false">
      <c r="A56" s="194" t="str">
        <f aca="false">IF(C56="","",$C$2&amp;"."&amp;COUNTA($C$8:C56)&amp;"")</f>
        <v>TC_07.40</v>
      </c>
      <c r="B56" s="194" t="s">
        <v>581</v>
      </c>
      <c r="C56" s="194" t="s">
        <v>2022</v>
      </c>
      <c r="D56" s="194" t="s">
        <v>40</v>
      </c>
      <c r="E56" s="194" t="s">
        <v>157</v>
      </c>
      <c r="F56" s="195" t="s">
        <v>2028</v>
      </c>
      <c r="G56" s="195" t="s">
        <v>2029</v>
      </c>
      <c r="H56" s="195" t="s">
        <v>2030</v>
      </c>
      <c r="I56" s="195" t="s">
        <v>2031</v>
      </c>
      <c r="J56" s="194" t="s">
        <v>637</v>
      </c>
      <c r="K56" s="194" t="s">
        <v>241</v>
      </c>
      <c r="L56" s="194" t="s">
        <v>638</v>
      </c>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t="str">
        <f aca="false">IF($A55="","",IF(OR($N55="Yes",$S55="Yes",$X55="Yes",$AC55="Yes",$AH55="Yes"),"Yes","No"))</f>
        <v>No</v>
      </c>
      <c r="AN56" s="198" t="str">
        <f aca="false">IF($A55="","",IFERROR(IF($AI55&lt;&gt;"",$AI55,IF($AD55&lt;&gt;"",$AD55,IF($Y55&lt;&gt;"",$Y55,IF($T55&lt;&gt;"",$T55,IF($O55&lt;&gt;"",$O55,""))))),""))</f>
        <v/>
      </c>
      <c r="AO56" s="198" t="str">
        <f aca="false">IFERROR(IF($AJ55&lt;&gt;"",$AJ55,IF($AE55&lt;&gt;"",$AE55,IF($Z55&lt;&gt;"",$Z55,IF($U55&lt;&gt;"",$U55,IF($P55&lt;&gt;"",$P55,""))))),"")</f>
        <v/>
      </c>
      <c r="AP56" s="199" t="s">
        <v>2032</v>
      </c>
    </row>
    <row r="57" customFormat="false" ht="60" hidden="false" customHeight="true" outlineLevel="0" collapsed="false">
      <c r="A57" s="194" t="str">
        <f aca="false">IF(C57="","",$C$2&amp;"."&amp;COUNTA($C$8:C57)&amp;"")</f>
        <v>TC_07.41</v>
      </c>
      <c r="B57" s="194" t="s">
        <v>581</v>
      </c>
      <c r="C57" s="194" t="s">
        <v>2022</v>
      </c>
      <c r="D57" s="194" t="s">
        <v>40</v>
      </c>
      <c r="E57" s="194" t="s">
        <v>158</v>
      </c>
      <c r="F57" s="195" t="s">
        <v>2033</v>
      </c>
      <c r="G57" s="195" t="s">
        <v>2034</v>
      </c>
      <c r="H57" s="195" t="s">
        <v>2035</v>
      </c>
      <c r="I57" s="195" t="s">
        <v>2036</v>
      </c>
      <c r="J57" s="194" t="s">
        <v>637</v>
      </c>
      <c r="K57" s="194" t="s">
        <v>241</v>
      </c>
      <c r="L57" s="194" t="s">
        <v>638</v>
      </c>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t="str">
        <f aca="false">IF($A56="","",IF(OR($N56="Yes",$S56="Yes",$X56="Yes",$AC56="Yes",$AH56="Yes"),"Yes","No"))</f>
        <v>No</v>
      </c>
      <c r="AN57" s="198" t="str">
        <f aca="false">IF($A56="","",IFERROR(IF($AI56&lt;&gt;"",$AI56,IF($AD56&lt;&gt;"",$AD56,IF($Y56&lt;&gt;"",$Y56,IF($T56&lt;&gt;"",$T56,IF($O56&lt;&gt;"",$O56,""))))),""))</f>
        <v/>
      </c>
      <c r="AO57" s="198" t="str">
        <f aca="false">IFERROR(IF($AJ56&lt;&gt;"",$AJ56,IF($AE56&lt;&gt;"",$AE56,IF($Z56&lt;&gt;"",$Z56,IF($U56&lt;&gt;"",$U56,IF($P56&lt;&gt;"",$P56,""))))),"")</f>
        <v/>
      </c>
      <c r="AP57" s="199" t="s">
        <v>2037</v>
      </c>
    </row>
    <row r="58" customFormat="false" ht="60" hidden="false" customHeight="true" outlineLevel="0" collapsed="false">
      <c r="A58" s="194" t="str">
        <f aca="false">IF(C58="","",$C$2&amp;"."&amp;COUNTA($C$8:C58)&amp;"")</f>
        <v>TC_07.42</v>
      </c>
      <c r="B58" s="194" t="s">
        <v>584</v>
      </c>
      <c r="C58" s="194" t="s">
        <v>2038</v>
      </c>
      <c r="D58" s="194" t="s">
        <v>40</v>
      </c>
      <c r="E58" s="194" t="s">
        <v>158</v>
      </c>
      <c r="F58" s="195" t="s">
        <v>2039</v>
      </c>
      <c r="G58" s="195" t="s">
        <v>2040</v>
      </c>
      <c r="H58" s="195" t="s">
        <v>2041</v>
      </c>
      <c r="I58" s="195" t="s">
        <v>2042</v>
      </c>
      <c r="J58" s="194" t="s">
        <v>637</v>
      </c>
      <c r="K58" s="194" t="s">
        <v>241</v>
      </c>
      <c r="L58" s="194" t="s">
        <v>638</v>
      </c>
      <c r="M58" s="194"/>
      <c r="N58" s="196"/>
      <c r="O58" s="196"/>
      <c r="P58" s="196"/>
      <c r="Q58" s="196"/>
      <c r="R58" s="196"/>
      <c r="S58" s="196"/>
      <c r="T58" s="196"/>
      <c r="U58" s="196"/>
      <c r="V58" s="196"/>
      <c r="W58" s="196"/>
      <c r="X58" s="196"/>
      <c r="Y58" s="196"/>
      <c r="Z58" s="196"/>
      <c r="AA58" s="196"/>
      <c r="AB58" s="197"/>
      <c r="AC58" s="197"/>
      <c r="AD58" s="197"/>
      <c r="AE58" s="197"/>
      <c r="AF58" s="197"/>
      <c r="AG58" s="197"/>
      <c r="AH58" s="197"/>
      <c r="AI58" s="197"/>
      <c r="AJ58" s="197"/>
      <c r="AK58" s="197"/>
      <c r="AL58" s="197"/>
      <c r="AM58" s="198" t="str">
        <f aca="false">IF($A57="","",IF(OR($N57="Yes",$S57="Yes",$X57="Yes",$AC57="Yes",$AH57="Yes"),"Yes","No"))</f>
        <v>No</v>
      </c>
      <c r="AN58" s="198" t="str">
        <f aca="false">IF($A57="","",IFERROR(IF($AI57&lt;&gt;"",$AI57,IF($AD57&lt;&gt;"",$AD57,IF($Y57&lt;&gt;"",$Y57,IF($T57&lt;&gt;"",$T57,IF($O57&lt;&gt;"",$O57,""))))),""))</f>
        <v/>
      </c>
      <c r="AO58" s="198" t="str">
        <f aca="false">IFERROR(IF($AJ57&lt;&gt;"",$AJ57,IF($AE57&lt;&gt;"",$AE57,IF($Z57&lt;&gt;"",$Z57,IF($U57&lt;&gt;"",$U57,IF($P57&lt;&gt;"",$P57,""))))),"")</f>
        <v/>
      </c>
      <c r="AP58" s="199" t="s">
        <v>2043</v>
      </c>
    </row>
    <row r="59" customFormat="false" ht="60" hidden="false" customHeight="true" outlineLevel="0" collapsed="false">
      <c r="A59" s="194" t="str">
        <f aca="false">IF(C59="","",$C$2&amp;"."&amp;COUNTA($C$8:C59)&amp;"")</f>
        <v>TC_07.43</v>
      </c>
      <c r="B59" s="194" t="s">
        <v>584</v>
      </c>
      <c r="C59" s="194" t="s">
        <v>2038</v>
      </c>
      <c r="D59" s="194" t="s">
        <v>40</v>
      </c>
      <c r="E59" s="194" t="s">
        <v>158</v>
      </c>
      <c r="F59" s="195" t="s">
        <v>2044</v>
      </c>
      <c r="G59" s="195" t="s">
        <v>2045</v>
      </c>
      <c r="H59" s="195" t="s">
        <v>2046</v>
      </c>
      <c r="I59" s="195" t="s">
        <v>2047</v>
      </c>
      <c r="J59" s="194" t="s">
        <v>637</v>
      </c>
      <c r="K59" s="194" t="s">
        <v>241</v>
      </c>
      <c r="L59" s="194" t="s">
        <v>638</v>
      </c>
      <c r="M59" s="194"/>
      <c r="N59" s="196"/>
      <c r="O59" s="196"/>
      <c r="P59" s="196"/>
      <c r="Q59" s="196"/>
      <c r="R59" s="196"/>
      <c r="S59" s="196"/>
      <c r="T59" s="196"/>
      <c r="U59" s="196"/>
      <c r="V59" s="196"/>
      <c r="W59" s="196"/>
      <c r="X59" s="196"/>
      <c r="Y59" s="196"/>
      <c r="Z59" s="196"/>
      <c r="AA59" s="196"/>
      <c r="AB59" s="197"/>
      <c r="AC59" s="197"/>
      <c r="AD59" s="197"/>
      <c r="AE59" s="197"/>
      <c r="AF59" s="197"/>
      <c r="AG59" s="197"/>
      <c r="AH59" s="197"/>
      <c r="AI59" s="197"/>
      <c r="AJ59" s="197"/>
      <c r="AK59" s="197"/>
      <c r="AL59" s="197"/>
      <c r="AM59" s="198" t="str">
        <f aca="false">IF($A58="","",IF(OR($N58="Yes",$S58="Yes",$X58="Yes",$AC58="Yes",$AH58="Yes"),"Yes","No"))</f>
        <v>No</v>
      </c>
      <c r="AN59" s="198" t="str">
        <f aca="false">IF($A58="","",IFERROR(IF($AI58&lt;&gt;"",$AI58,IF($AD58&lt;&gt;"",$AD58,IF($Y58&lt;&gt;"",$Y58,IF($T58&lt;&gt;"",$T58,IF($O58&lt;&gt;"",$O58,""))))),""))</f>
        <v/>
      </c>
      <c r="AO59" s="198" t="str">
        <f aca="false">IFERROR(IF($AJ58&lt;&gt;"",$AJ58,IF($AE58&lt;&gt;"",$AE58,IF($Z58&lt;&gt;"",$Z58,IF($U58&lt;&gt;"",$U58,IF($P58&lt;&gt;"",$P58,""))))),"")</f>
        <v/>
      </c>
      <c r="AP59" s="199" t="s">
        <v>2048</v>
      </c>
    </row>
    <row r="60" customFormat="false" ht="60" hidden="false" customHeight="true" outlineLevel="0" collapsed="false">
      <c r="A60" s="194" t="str">
        <f aca="false">IF(C60="","",$C$2&amp;"."&amp;COUNTA($C$8:C60)&amp;"")</f>
        <v>TC_07.44</v>
      </c>
      <c r="B60" s="194" t="s">
        <v>584</v>
      </c>
      <c r="C60" s="194" t="s">
        <v>2038</v>
      </c>
      <c r="D60" s="194" t="s">
        <v>40</v>
      </c>
      <c r="E60" s="194" t="s">
        <v>158</v>
      </c>
      <c r="F60" s="195" t="s">
        <v>2049</v>
      </c>
      <c r="G60" s="195" t="s">
        <v>2050</v>
      </c>
      <c r="H60" s="195" t="s">
        <v>2051</v>
      </c>
      <c r="I60" s="195" t="s">
        <v>2047</v>
      </c>
      <c r="J60" s="194" t="s">
        <v>637</v>
      </c>
      <c r="K60" s="194" t="s">
        <v>241</v>
      </c>
      <c r="L60" s="194" t="s">
        <v>638</v>
      </c>
      <c r="M60" s="194"/>
      <c r="N60" s="196"/>
      <c r="O60" s="196"/>
      <c r="P60" s="196"/>
      <c r="Q60" s="196"/>
      <c r="R60" s="196"/>
      <c r="S60" s="196"/>
      <c r="T60" s="196"/>
      <c r="U60" s="196"/>
      <c r="V60" s="196"/>
      <c r="W60" s="196"/>
      <c r="X60" s="196"/>
      <c r="Y60" s="196"/>
      <c r="Z60" s="196"/>
      <c r="AA60" s="196"/>
      <c r="AB60" s="197"/>
      <c r="AC60" s="197"/>
      <c r="AD60" s="197"/>
      <c r="AE60" s="197"/>
      <c r="AF60" s="197"/>
      <c r="AG60" s="197"/>
      <c r="AH60" s="197"/>
      <c r="AI60" s="197"/>
      <c r="AJ60" s="197"/>
      <c r="AK60" s="197"/>
      <c r="AL60" s="197"/>
      <c r="AM60" s="198" t="str">
        <f aca="false">IF($A59="","",IF(OR($N59="Yes",$S59="Yes",$X59="Yes",$AC59="Yes",$AH59="Yes"),"Yes","No"))</f>
        <v>No</v>
      </c>
      <c r="AN60" s="198" t="str">
        <f aca="false">IF($A59="","",IFERROR(IF($AI59&lt;&gt;"",$AI59,IF($AD59&lt;&gt;"",$AD59,IF($Y59&lt;&gt;"",$Y59,IF($T59&lt;&gt;"",$T59,IF($O59&lt;&gt;"",$O59,""))))),""))</f>
        <v/>
      </c>
      <c r="AO60" s="198" t="str">
        <f aca="false">IFERROR(IF($AJ59&lt;&gt;"",$AJ59,IF($AE59&lt;&gt;"",$AE59,IF($Z59&lt;&gt;"",$Z59,IF($U59&lt;&gt;"",$U59,IF($P59&lt;&gt;"",$P59,""))))),"")</f>
        <v/>
      </c>
      <c r="AP60" s="199" t="s">
        <v>2052</v>
      </c>
    </row>
    <row r="61" customFormat="false" ht="60" hidden="false" customHeight="true" outlineLevel="0" collapsed="false">
      <c r="A61" s="194" t="str">
        <f aca="false">IF(C61="","",$C$2&amp;"."&amp;COUNTA($C$8:C61)&amp;"")</f>
        <v>TC_07.45</v>
      </c>
      <c r="B61" s="194" t="s">
        <v>590</v>
      </c>
      <c r="C61" s="194" t="s">
        <v>2053</v>
      </c>
      <c r="D61" s="194" t="s">
        <v>40</v>
      </c>
      <c r="E61" s="194" t="s">
        <v>158</v>
      </c>
      <c r="F61" s="195" t="s">
        <v>2054</v>
      </c>
      <c r="G61" s="195" t="s">
        <v>2055</v>
      </c>
      <c r="H61" s="195" t="s">
        <v>2056</v>
      </c>
      <c r="I61" s="195" t="s">
        <v>2057</v>
      </c>
      <c r="J61" s="194" t="s">
        <v>637</v>
      </c>
      <c r="K61" s="194" t="s">
        <v>241</v>
      </c>
      <c r="L61" s="194" t="s">
        <v>638</v>
      </c>
      <c r="M61" s="194"/>
      <c r="N61" s="196"/>
      <c r="O61" s="196"/>
      <c r="P61" s="196"/>
      <c r="Q61" s="196"/>
      <c r="R61" s="196"/>
      <c r="S61" s="196"/>
      <c r="T61" s="196"/>
      <c r="U61" s="196"/>
      <c r="V61" s="196"/>
      <c r="W61" s="196"/>
      <c r="X61" s="196"/>
      <c r="Y61" s="196"/>
      <c r="Z61" s="196"/>
      <c r="AA61" s="196"/>
      <c r="AB61" s="197"/>
      <c r="AC61" s="197"/>
      <c r="AD61" s="197"/>
      <c r="AE61" s="197"/>
      <c r="AF61" s="197"/>
      <c r="AG61" s="197"/>
      <c r="AH61" s="197"/>
      <c r="AI61" s="197"/>
      <c r="AJ61" s="197"/>
      <c r="AK61" s="197"/>
      <c r="AL61" s="197"/>
      <c r="AM61" s="198" t="str">
        <f aca="false">IF($A60="","",IF(OR($N60="Yes",$S60="Yes",$X60="Yes",$AC60="Yes",$AH60="Yes"),"Yes","No"))</f>
        <v>No</v>
      </c>
      <c r="AN61" s="198" t="str">
        <f aca="false">IF($A60="","",IFERROR(IF($AI60&lt;&gt;"",$AI60,IF($AD60&lt;&gt;"",$AD60,IF($Y60&lt;&gt;"",$Y60,IF($T60&lt;&gt;"",$T60,IF($O60&lt;&gt;"",$O60,""))))),""))</f>
        <v/>
      </c>
      <c r="AO61" s="198" t="str">
        <f aca="false">IFERROR(IF($AJ60&lt;&gt;"",$AJ60,IF($AE60&lt;&gt;"",$AE60,IF($Z60&lt;&gt;"",$Z60,IF($U60&lt;&gt;"",$U60,IF($P60&lt;&gt;"",$P60,""))))),"")</f>
        <v/>
      </c>
      <c r="AP61" s="199" t="s">
        <v>2058</v>
      </c>
    </row>
    <row r="62" customFormat="false" ht="15" hidden="false" customHeight="true" outlineLevel="0" collapsed="false">
      <c r="A62" s="194"/>
      <c r="B62" s="194"/>
      <c r="C62" s="194"/>
      <c r="D62" s="194"/>
      <c r="E62" s="194"/>
      <c r="F62" s="194"/>
      <c r="G62" s="194"/>
      <c r="H62" s="194"/>
      <c r="I62" s="194"/>
      <c r="J62" s="194"/>
      <c r="K62" s="194"/>
      <c r="L62" s="194"/>
      <c r="M62" s="194"/>
      <c r="N62" s="194"/>
      <c r="O62" s="194"/>
      <c r="P62" s="194"/>
      <c r="Q62" s="194"/>
      <c r="R62" s="201"/>
      <c r="S62" s="201"/>
      <c r="T62" s="201"/>
      <c r="U62" s="201"/>
      <c r="V62" s="201"/>
      <c r="W62" s="201"/>
      <c r="X62" s="201"/>
      <c r="Y62" s="201"/>
      <c r="Z62" s="201"/>
      <c r="AA62" s="201"/>
      <c r="AM62" s="202"/>
      <c r="AN62" s="202"/>
    </row>
    <row r="63" customFormat="false" ht="15" hidden="false" customHeight="true" outlineLevel="0" collapsed="false">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Q63" s="1"/>
    </row>
    <row r="64" customFormat="false" ht="15" hidden="false" customHeight="true" outlineLevel="0" collapsed="false">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Q64" s="1"/>
    </row>
    <row r="65" customFormat="false" ht="15" hidden="false" customHeight="true" outlineLevel="0" collapsed="false">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Q65" s="1"/>
    </row>
    <row r="66" customFormat="false" ht="15" hidden="false" customHeight="true" outlineLevel="0" collapsed="false">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Q66" s="1"/>
    </row>
    <row r="67" customFormat="false" ht="15" hidden="false" customHeight="true" outlineLevel="0" collapsed="false">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Q67" s="1"/>
    </row>
    <row r="68" customFormat="false" ht="15" hidden="false" customHeight="true" outlineLevel="0" collapsed="false">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Q68" s="1"/>
    </row>
    <row r="69" customFormat="false" ht="15" hidden="false" customHeight="true" outlineLevel="0" collapsed="false">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Q69" s="1"/>
    </row>
    <row r="70" customFormat="false" ht="15" hidden="false" customHeight="true" outlineLevel="0" collapsed="false">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Q70" s="1"/>
    </row>
    <row r="71" customFormat="false" ht="15" hidden="false" customHeight="true" outlineLevel="0" collapsed="false">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Q71" s="1"/>
    </row>
    <row r="72" customFormat="false" ht="15" hidden="false" customHeight="true" outlineLevel="0" collapsed="false">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Q72" s="1"/>
    </row>
    <row r="73" customFormat="false" ht="15" hidden="false" customHeight="true" outlineLevel="0" collapsed="false">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Q73" s="1"/>
    </row>
    <row r="74" customFormat="false" ht="15" hidden="false" customHeight="true" outlineLevel="0" collapsed="false">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Q74" s="1"/>
    </row>
    <row r="75" customFormat="false" ht="15" hidden="false" customHeight="true" outlineLevel="0" collapsed="false">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Q75" s="1"/>
    </row>
    <row r="76" customFormat="false" ht="15" hidden="false" customHeight="true" outlineLevel="0" collapsed="false">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Q76" s="1"/>
    </row>
    <row r="77" customFormat="false" ht="15" hidden="false" customHeight="true" outlineLevel="0" collapsed="false">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Q77" s="1"/>
    </row>
    <row r="78" customFormat="false" ht="15" hidden="false" customHeight="true" outlineLevel="0" collapsed="false">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Q78" s="1"/>
    </row>
    <row r="79" customFormat="false" ht="15" hidden="false" customHeight="true" outlineLevel="0" collapsed="false">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Q79" s="1"/>
    </row>
    <row r="80" customFormat="false" ht="15" hidden="false" customHeight="true" outlineLevel="0" collapsed="false">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Q80" s="1"/>
    </row>
    <row r="81" customFormat="false" ht="15" hidden="false" customHeight="true" outlineLevel="0" collapsed="false">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Q81" s="1"/>
    </row>
    <row r="82" customFormat="false" ht="15" hidden="false" customHeight="true" outlineLevel="0" collapsed="false">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Q82" s="1"/>
    </row>
    <row r="83" customFormat="false" ht="15" hidden="false" customHeight="true" outlineLevel="0" collapsed="false">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Q83" s="1"/>
    </row>
    <row r="84" customFormat="false" ht="15" hidden="false" customHeight="true" outlineLevel="0" collapsed="false">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Q84" s="1"/>
    </row>
    <row r="85" customFormat="false" ht="15" hidden="false" customHeight="true" outlineLevel="0" collapsed="false">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Q85" s="1"/>
    </row>
    <row r="86" customFormat="false" ht="15" hidden="false" customHeight="true" outlineLevel="0" collapsed="false">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Q86" s="1"/>
    </row>
    <row r="87" customFormat="false" ht="15" hidden="false" customHeight="true" outlineLevel="0" collapsed="false">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Q87" s="1"/>
    </row>
    <row r="88" customFormat="false" ht="15" hidden="false" customHeight="true" outlineLevel="0" collapsed="false">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Q88" s="1"/>
    </row>
    <row r="89" customFormat="false" ht="15" hidden="false" customHeight="true" outlineLevel="0" collapsed="false">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Q89" s="1"/>
    </row>
    <row r="90" customFormat="false" ht="15" hidden="false" customHeight="true" outlineLevel="0" collapsed="false">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Q90" s="1"/>
    </row>
    <row r="91" customFormat="false" ht="15" hidden="false" customHeight="true" outlineLevel="0" collapsed="false">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Q91" s="1"/>
    </row>
    <row r="92" customFormat="false" ht="15" hidden="false" customHeight="true" outlineLevel="0" collapsed="false">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Q92" s="1"/>
    </row>
    <row r="93" customFormat="false" ht="15" hidden="false" customHeight="true" outlineLevel="0" collapsed="false">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Q93" s="1"/>
    </row>
    <row r="94" customFormat="false" ht="15" hidden="false" customHeight="true" outlineLevel="0" collapsed="false">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Q94" s="1"/>
    </row>
    <row r="95" customFormat="false" ht="15" hidden="false" customHeight="true" outlineLevel="0" collapsed="false">
      <c r="AQ95" s="1"/>
    </row>
    <row r="96" customFormat="false" ht="15" hidden="false" customHeight="true" outlineLevel="0" collapsed="false">
      <c r="AQ96" s="1"/>
    </row>
    <row r="97" customFormat="false" ht="15" hidden="false" customHeight="true" outlineLevel="0" collapsed="false">
      <c r="AQ97" s="1"/>
    </row>
    <row r="98" customFormat="false" ht="15" hidden="false" customHeight="true" outlineLevel="0" collapsed="false">
      <c r="AQ98" s="1"/>
    </row>
    <row r="99" customFormat="false" ht="15" hidden="false" customHeight="true" outlineLevel="0" collapsed="false">
      <c r="AQ99" s="1"/>
    </row>
    <row r="100" customFormat="false" ht="15" hidden="false" customHeight="true" outlineLevel="0" collapsed="false">
      <c r="AQ100" s="1"/>
    </row>
    <row r="101" customFormat="false" ht="15" hidden="false" customHeight="true" outlineLevel="0" collapsed="false">
      <c r="AQ101" s="1"/>
    </row>
    <row r="102" customFormat="false" ht="15" hidden="false" customHeight="true" outlineLevel="0" collapsed="false">
      <c r="AQ102" s="1"/>
    </row>
    <row r="103" customFormat="false" ht="15" hidden="false" customHeight="true" outlineLevel="0" collapsed="false">
      <c r="AQ103" s="1"/>
    </row>
    <row r="104" customFormat="false" ht="15" hidden="false" customHeight="true" outlineLevel="0" collapsed="false">
      <c r="AQ104" s="1"/>
    </row>
    <row r="105" customFormat="false" ht="15" hidden="false" customHeight="true" outlineLevel="0" collapsed="false">
      <c r="AQ105" s="1"/>
    </row>
    <row r="106" customFormat="false" ht="15" hidden="false" customHeight="true" outlineLevel="0" collapsed="false">
      <c r="AQ106" s="1"/>
    </row>
    <row r="107" customFormat="false" ht="15" hidden="false" customHeight="true" outlineLevel="0" collapsed="false">
      <c r="AQ107" s="1"/>
    </row>
    <row r="108" customFormat="false" ht="15" hidden="false" customHeight="true" outlineLevel="0" collapsed="false">
      <c r="AQ108" s="1"/>
    </row>
    <row r="109" customFormat="false" ht="15" hidden="false" customHeight="true" outlineLevel="0" collapsed="false">
      <c r="AQ109" s="1"/>
    </row>
    <row r="110" customFormat="false" ht="15" hidden="false" customHeight="true" outlineLevel="0" collapsed="false">
      <c r="AQ110" s="1"/>
    </row>
    <row r="111" customFormat="false" ht="15" hidden="false" customHeight="true" outlineLevel="0" collapsed="false">
      <c r="AQ111" s="1"/>
    </row>
    <row r="112" customFormat="false" ht="15" hidden="false" customHeight="true" outlineLevel="0" collapsed="false">
      <c r="AQ112" s="1"/>
    </row>
    <row r="113" customFormat="false" ht="15" hidden="false" customHeight="true" outlineLevel="0" collapsed="false">
      <c r="AQ113" s="1"/>
    </row>
    <row r="114" customFormat="false" ht="15" hidden="false" customHeight="true" outlineLevel="0" collapsed="false">
      <c r="AQ114" s="1"/>
    </row>
    <row r="115" customFormat="false" ht="15" hidden="false" customHeight="true" outlineLevel="0" collapsed="false">
      <c r="AQ115" s="1"/>
    </row>
    <row r="116" customFormat="false" ht="15" hidden="false" customHeight="true" outlineLevel="0" collapsed="false">
      <c r="AQ116" s="1"/>
    </row>
    <row r="117" customFormat="false" ht="15" hidden="false" customHeight="true" outlineLevel="0" collapsed="false">
      <c r="AQ117" s="1"/>
    </row>
    <row r="118" customFormat="false" ht="15" hidden="false" customHeight="true" outlineLevel="0" collapsed="false">
      <c r="AQ118" s="1"/>
    </row>
    <row r="119" customFormat="false" ht="15" hidden="false" customHeight="true" outlineLevel="0" collapsed="false">
      <c r="AQ119" s="1"/>
    </row>
    <row r="120" customFormat="false" ht="15" hidden="false" customHeight="true" outlineLevel="0" collapsed="false">
      <c r="AQ120" s="1"/>
    </row>
    <row r="121" customFormat="false" ht="15" hidden="false" customHeight="true" outlineLevel="0" collapsed="false">
      <c r="AQ121" s="1"/>
    </row>
    <row r="122" customFormat="false" ht="15" hidden="false" customHeight="true" outlineLevel="0" collapsed="false">
      <c r="AQ122" s="1"/>
    </row>
    <row r="123" customFormat="false" ht="15" hidden="false" customHeight="true" outlineLevel="0" collapsed="false">
      <c r="AQ123" s="1"/>
    </row>
    <row r="124" customFormat="false" ht="15" hidden="false" customHeight="true" outlineLevel="0" collapsed="false">
      <c r="AQ124" s="1"/>
    </row>
    <row r="125" customFormat="false" ht="15" hidden="false" customHeight="true" outlineLevel="0" collapsed="false">
      <c r="AQ125" s="1"/>
    </row>
    <row r="126" customFormat="false" ht="15" hidden="false" customHeight="true" outlineLevel="0" collapsed="false">
      <c r="AQ126" s="1"/>
    </row>
    <row r="127" customFormat="false" ht="15" hidden="false" customHeight="true" outlineLevel="0" collapsed="false">
      <c r="AQ127" s="1"/>
    </row>
    <row r="128" customFormat="false" ht="15" hidden="false" customHeight="true" outlineLevel="0" collapsed="false">
      <c r="AQ128" s="1"/>
    </row>
    <row r="129" customFormat="false" ht="15" hidden="false" customHeight="true" outlineLevel="0" collapsed="false">
      <c r="AQ129" s="1"/>
    </row>
    <row r="130" customFormat="false" ht="15" hidden="false" customHeight="true" outlineLevel="0" collapsed="false">
      <c r="AQ130" s="1"/>
    </row>
    <row r="131" customFormat="false" ht="15" hidden="false" customHeight="true" outlineLevel="0" collapsed="false">
      <c r="AQ131" s="1"/>
    </row>
    <row r="132" customFormat="false" ht="15" hidden="false" customHeight="true" outlineLevel="0" collapsed="false">
      <c r="AQ132" s="1"/>
    </row>
    <row r="133" customFormat="false" ht="15" hidden="false" customHeight="true" outlineLevel="0" collapsed="false">
      <c r="AQ133" s="1"/>
    </row>
    <row r="134" customFormat="false" ht="15" hidden="false" customHeight="true" outlineLevel="0" collapsed="false">
      <c r="AQ134" s="1"/>
    </row>
    <row r="135" customFormat="false" ht="15" hidden="false" customHeight="true" outlineLevel="0" collapsed="false">
      <c r="AQ135" s="1"/>
    </row>
    <row r="136" customFormat="false" ht="15" hidden="false" customHeight="true" outlineLevel="0" collapsed="false">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217" customFormat="false" ht="15" hidden="false" customHeight="true" outlineLevel="0" collapsed="false">
      <c r="AQ217" s="1"/>
    </row>
    <row r="218" customFormat="false" ht="15" hidden="false" customHeight="true" outlineLevel="0" collapsed="false">
      <c r="AQ218" s="1"/>
    </row>
    <row r="219" customFormat="false" ht="15" hidden="false" customHeight="true" outlineLevel="0" collapsed="false">
      <c r="AQ219" s="1"/>
    </row>
    <row r="220" customFormat="false" ht="15" hidden="false" customHeight="true" outlineLevel="0" collapsed="false">
      <c r="AQ220" s="1"/>
    </row>
    <row r="221" customFormat="false" ht="15" hidden="false" customHeight="true" outlineLevel="0" collapsed="false">
      <c r="AQ221" s="1"/>
    </row>
    <row r="222" customFormat="false" ht="15" hidden="false" customHeight="true" outlineLevel="0" collapsed="false">
      <c r="AQ222"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29">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8:I8"/>
    <mergeCell ref="B13:I13"/>
    <mergeCell ref="B17:I17"/>
    <mergeCell ref="B23:I23"/>
    <mergeCell ref="B29:I29"/>
    <mergeCell ref="B35:I35"/>
    <mergeCell ref="B47:I47"/>
    <mergeCell ref="B50:I50"/>
    <mergeCell ref="B54:I54"/>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210</v>
      </c>
      <c r="D2" s="183"/>
      <c r="E2" s="183"/>
    </row>
    <row r="3" customFormat="false" ht="15" hidden="false" customHeight="true" outlineLevel="0" collapsed="false">
      <c r="A3" s="182" t="s">
        <v>610</v>
      </c>
      <c r="B3" s="182"/>
      <c r="C3" s="183" t="s">
        <v>211</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30" hidden="false" customHeight="true" outlineLevel="0" collapsed="false">
      <c r="A7" s="191" t="s">
        <v>211</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19.5" hidden="false" customHeight="true" outlineLevel="0" collapsed="false">
      <c r="A8" s="194"/>
      <c r="B8" s="200" t="s">
        <v>2059</v>
      </c>
      <c r="C8" s="200"/>
      <c r="D8" s="200"/>
      <c r="E8" s="200"/>
      <c r="F8" s="200"/>
      <c r="G8" s="200"/>
      <c r="H8" s="200"/>
      <c r="I8" s="200"/>
      <c r="J8" s="194"/>
      <c r="K8" s="194"/>
      <c r="L8" s="194"/>
      <c r="M8" s="194"/>
      <c r="N8" s="196"/>
      <c r="O8" s="196"/>
      <c r="P8" s="196"/>
      <c r="Q8" s="196"/>
      <c r="R8" s="196"/>
      <c r="S8" s="196"/>
      <c r="T8" s="196"/>
      <c r="U8" s="196"/>
      <c r="V8" s="196"/>
      <c r="W8" s="196"/>
      <c r="X8" s="196"/>
      <c r="Y8" s="196"/>
      <c r="Z8" s="196"/>
      <c r="AA8" s="196"/>
      <c r="AB8" s="197"/>
      <c r="AC8" s="197"/>
      <c r="AD8" s="197"/>
      <c r="AE8" s="197"/>
      <c r="AF8" s="197"/>
      <c r="AG8" s="197"/>
      <c r="AH8" s="197"/>
      <c r="AI8" s="197"/>
      <c r="AJ8" s="197"/>
      <c r="AK8" s="197"/>
      <c r="AL8" s="197"/>
      <c r="AM8" s="198"/>
      <c r="AN8" s="198"/>
      <c r="AO8" s="198"/>
      <c r="AP8" s="199"/>
    </row>
    <row r="9" customFormat="false" ht="60" hidden="false" customHeight="true" outlineLevel="0" collapsed="false">
      <c r="A9" s="194" t="str">
        <f aca="false">IF(C9="","",$C$2&amp;"."&amp;COUNTA($C$8:C9)&amp;"")</f>
        <v>TC_08.1</v>
      </c>
      <c r="B9" s="194" t="s">
        <v>508</v>
      </c>
      <c r="C9" s="194" t="s">
        <v>2060</v>
      </c>
      <c r="D9" s="194" t="s">
        <v>42</v>
      </c>
      <c r="E9" s="194" t="s">
        <v>157</v>
      </c>
      <c r="F9" s="195" t="s">
        <v>2061</v>
      </c>
      <c r="G9" s="195" t="s">
        <v>2062</v>
      </c>
      <c r="H9" s="195" t="s">
        <v>2063</v>
      </c>
      <c r="I9" s="195" t="s">
        <v>2064</v>
      </c>
      <c r="J9" s="194" t="s">
        <v>637</v>
      </c>
      <c r="K9" s="194" t="s">
        <v>241</v>
      </c>
      <c r="L9" s="194" t="s">
        <v>638</v>
      </c>
      <c r="M9" s="194"/>
      <c r="N9" s="196"/>
      <c r="O9" s="196"/>
      <c r="P9" s="196"/>
      <c r="Q9" s="196"/>
      <c r="R9" s="196"/>
      <c r="S9" s="196"/>
      <c r="T9" s="196"/>
      <c r="U9" s="196"/>
      <c r="V9" s="196"/>
      <c r="W9" s="196"/>
      <c r="X9" s="196"/>
      <c r="Y9" s="196"/>
      <c r="Z9" s="196"/>
      <c r="AA9" s="196"/>
      <c r="AB9" s="197"/>
      <c r="AC9" s="197"/>
      <c r="AD9" s="197"/>
      <c r="AE9" s="197"/>
      <c r="AF9" s="197"/>
      <c r="AG9" s="197"/>
      <c r="AH9" s="197"/>
      <c r="AI9" s="197"/>
      <c r="AJ9" s="197"/>
      <c r="AK9" s="197"/>
      <c r="AL9" s="197"/>
      <c r="AM9" s="198" t="str">
        <f aca="false">IF($A9="","",IF(OR($N9="Yes",$S9="Yes",$X9="Yes",$AC9="Yes",$AH9="Yes"),"Yes","No"))</f>
        <v>No</v>
      </c>
      <c r="AN9" s="198" t="str">
        <f aca="false">IF($A9="","",IFERROR(IF($AI9&lt;&gt;"",$AI9,IF($AD9&lt;&gt;"",$AD9,IF($Y9&lt;&gt;"",$Y9,IF($T9&lt;&gt;"",$T9,IF($O9&lt;&gt;"",$O9,""))))),""))</f>
        <v/>
      </c>
      <c r="AO9" s="198" t="str">
        <f aca="false">IFERROR(IF($AJ9&lt;&gt;"",$AJ9,IF($AE9&lt;&gt;"",$AE9,IF($Z9&lt;&gt;"",$Z9,IF($U9&lt;&gt;"",$U9,IF($P9&lt;&gt;"",$P9,""))))),"")</f>
        <v/>
      </c>
      <c r="AP9" s="199" t="s">
        <v>2065</v>
      </c>
    </row>
    <row r="10" customFormat="false" ht="60" hidden="false" customHeight="true" outlineLevel="0" collapsed="false">
      <c r="A10" s="194" t="str">
        <f aca="false">IF(C10="","",$C$2&amp;"."&amp;COUNTA($C$8:C10)&amp;"")</f>
        <v>TC_08.2</v>
      </c>
      <c r="B10" s="194" t="s">
        <v>508</v>
      </c>
      <c r="C10" s="194" t="s">
        <v>2066</v>
      </c>
      <c r="D10" s="194" t="s">
        <v>42</v>
      </c>
      <c r="E10" s="194" t="s">
        <v>156</v>
      </c>
      <c r="F10" s="195" t="s">
        <v>2067</v>
      </c>
      <c r="G10" s="195" t="s">
        <v>2068</v>
      </c>
      <c r="H10" s="195" t="s">
        <v>2069</v>
      </c>
      <c r="I10" s="195" t="s">
        <v>2070</v>
      </c>
      <c r="J10" s="194" t="s">
        <v>637</v>
      </c>
      <c r="K10" s="194" t="s">
        <v>241</v>
      </c>
      <c r="L10" s="194" t="s">
        <v>638</v>
      </c>
      <c r="M10" s="194"/>
      <c r="N10" s="196"/>
      <c r="O10" s="196"/>
      <c r="P10" s="196"/>
      <c r="Q10" s="196"/>
      <c r="R10" s="196"/>
      <c r="S10" s="196"/>
      <c r="T10" s="196"/>
      <c r="U10" s="196"/>
      <c r="V10" s="196"/>
      <c r="W10" s="196"/>
      <c r="X10" s="196"/>
      <c r="Y10" s="196"/>
      <c r="Z10" s="196"/>
      <c r="AA10" s="196"/>
      <c r="AB10" s="197"/>
      <c r="AC10" s="197"/>
      <c r="AD10" s="197"/>
      <c r="AE10" s="197"/>
      <c r="AF10" s="197"/>
      <c r="AG10" s="197"/>
      <c r="AH10" s="197"/>
      <c r="AI10" s="197"/>
      <c r="AJ10" s="197"/>
      <c r="AK10" s="197"/>
      <c r="AL10" s="197"/>
      <c r="AM10" s="198" t="str">
        <f aca="false">IF($A10="","",IF(OR($N10="Yes",$S10="Yes",$X10="Yes",$AC10="Yes",$AH10="Yes"),"Yes","No"))</f>
        <v>No</v>
      </c>
      <c r="AN10" s="198" t="str">
        <f aca="false">IF($A10="","",IFERROR(IF($AI10&lt;&gt;"",$AI10,IF($AD10&lt;&gt;"",$AD10,IF($Y10&lt;&gt;"",$Y10,IF($T10&lt;&gt;"",$T10,IF($O10&lt;&gt;"",$O10,""))))),""))</f>
        <v/>
      </c>
      <c r="AO10" s="198" t="str">
        <f aca="false">IFERROR(IF($AJ10&lt;&gt;"",$AJ10,IF($AE10&lt;&gt;"",$AE10,IF($Z10&lt;&gt;"",$Z10,IF($U10&lt;&gt;"",$U10,IF($P10&lt;&gt;"",$P10,""))))),"")</f>
        <v/>
      </c>
      <c r="AP10" s="199" t="s">
        <v>2071</v>
      </c>
    </row>
    <row r="11" customFormat="false" ht="60" hidden="false" customHeight="true" outlineLevel="0" collapsed="false">
      <c r="A11" s="194" t="str">
        <f aca="false">IF(C11="","",$C$2&amp;"."&amp;COUNTA($C$8:C11)&amp;"")</f>
        <v>TC_08.3</v>
      </c>
      <c r="B11" s="194" t="s">
        <v>508</v>
      </c>
      <c r="C11" s="194" t="s">
        <v>2066</v>
      </c>
      <c r="D11" s="194" t="s">
        <v>40</v>
      </c>
      <c r="E11" s="194" t="s">
        <v>156</v>
      </c>
      <c r="F11" s="195" t="s">
        <v>2072</v>
      </c>
      <c r="G11" s="195" t="s">
        <v>2073</v>
      </c>
      <c r="H11" s="195" t="s">
        <v>2074</v>
      </c>
      <c r="I11" s="195" t="s">
        <v>2075</v>
      </c>
      <c r="J11" s="194" t="s">
        <v>637</v>
      </c>
      <c r="K11" s="194" t="s">
        <v>241</v>
      </c>
      <c r="L11" s="194" t="s">
        <v>638</v>
      </c>
      <c r="M11" s="194"/>
      <c r="N11" s="196"/>
      <c r="O11" s="196"/>
      <c r="P11" s="196"/>
      <c r="Q11" s="196"/>
      <c r="R11" s="196"/>
      <c r="S11" s="196"/>
      <c r="T11" s="196"/>
      <c r="U11" s="196"/>
      <c r="V11" s="196"/>
      <c r="W11" s="196"/>
      <c r="X11" s="196"/>
      <c r="Y11" s="196"/>
      <c r="Z11" s="196"/>
      <c r="AA11" s="196"/>
      <c r="AB11" s="197"/>
      <c r="AC11" s="197"/>
      <c r="AD11" s="197"/>
      <c r="AE11" s="197"/>
      <c r="AF11" s="197"/>
      <c r="AG11" s="197"/>
      <c r="AH11" s="197"/>
      <c r="AI11" s="197"/>
      <c r="AJ11" s="197"/>
      <c r="AK11" s="197"/>
      <c r="AL11" s="197"/>
      <c r="AM11" s="198" t="str">
        <f aca="false">IF($A11="","",IF(OR($N11="Yes",$S11="Yes",$X11="Yes",$AC11="Yes",$AH11="Yes"),"Yes","No"))</f>
        <v>No</v>
      </c>
      <c r="AN11" s="198" t="str">
        <f aca="false">IF($A11="","",IFERROR(IF($AI11&lt;&gt;"",$AI11,IF($AD11&lt;&gt;"",$AD11,IF($Y11&lt;&gt;"",$Y11,IF($T11&lt;&gt;"",$T11,IF($O11&lt;&gt;"",$O11,""))))),""))</f>
        <v/>
      </c>
      <c r="AO11" s="198" t="str">
        <f aca="false">IFERROR(IF($AJ11&lt;&gt;"",$AJ11,IF($AE11&lt;&gt;"",$AE11,IF($Z11&lt;&gt;"",$Z11,IF($U11&lt;&gt;"",$U11,IF($P11&lt;&gt;"",$P11,""))))),"")</f>
        <v/>
      </c>
      <c r="AP11" s="199" t="s">
        <v>2076</v>
      </c>
    </row>
    <row r="12" customFormat="false" ht="60" hidden="false" customHeight="true" outlineLevel="0" collapsed="false">
      <c r="A12" s="194" t="str">
        <f aca="false">IF(C12="","",$C$2&amp;"."&amp;COUNTA($C$8:C12)&amp;"")</f>
        <v>TC_08.4</v>
      </c>
      <c r="B12" s="194" t="s">
        <v>508</v>
      </c>
      <c r="C12" s="194" t="s">
        <v>2066</v>
      </c>
      <c r="D12" s="194" t="s">
        <v>40</v>
      </c>
      <c r="E12" s="194" t="s">
        <v>157</v>
      </c>
      <c r="F12" s="195" t="s">
        <v>2077</v>
      </c>
      <c r="G12" s="195" t="s">
        <v>2078</v>
      </c>
      <c r="H12" s="195" t="s">
        <v>2079</v>
      </c>
      <c r="I12" s="195" t="s">
        <v>2080</v>
      </c>
      <c r="J12" s="194" t="s">
        <v>637</v>
      </c>
      <c r="K12" s="194" t="s">
        <v>241</v>
      </c>
      <c r="L12" s="194" t="s">
        <v>638</v>
      </c>
      <c r="M12" s="194"/>
      <c r="N12" s="196"/>
      <c r="O12" s="196"/>
      <c r="P12" s="196"/>
      <c r="Q12" s="196"/>
      <c r="R12" s="196"/>
      <c r="S12" s="196"/>
      <c r="T12" s="196"/>
      <c r="U12" s="196"/>
      <c r="V12" s="196"/>
      <c r="W12" s="196"/>
      <c r="X12" s="196"/>
      <c r="Y12" s="196"/>
      <c r="Z12" s="196"/>
      <c r="AA12" s="196"/>
      <c r="AB12" s="197"/>
      <c r="AC12" s="197"/>
      <c r="AD12" s="197"/>
      <c r="AE12" s="197"/>
      <c r="AF12" s="197"/>
      <c r="AG12" s="197"/>
      <c r="AH12" s="197"/>
      <c r="AI12" s="197"/>
      <c r="AJ12" s="197"/>
      <c r="AK12" s="197"/>
      <c r="AL12" s="197"/>
      <c r="AM12" s="198" t="str">
        <f aca="false">IF($A12="","",IF(OR($N12="Yes",$S12="Yes",$X12="Yes",$AC12="Yes",$AH12="Yes"),"Yes","No"))</f>
        <v>No</v>
      </c>
      <c r="AN12" s="198" t="str">
        <f aca="false">IF($A12="","",IFERROR(IF($AI12&lt;&gt;"",$AI12,IF($AD12&lt;&gt;"",$AD12,IF($Y12&lt;&gt;"",$Y12,IF($T12&lt;&gt;"",$T12,IF($O12&lt;&gt;"",$O12,""))))),""))</f>
        <v/>
      </c>
      <c r="AO12" s="198" t="str">
        <f aca="false">IFERROR(IF($AJ12&lt;&gt;"",$AJ12,IF($AE12&lt;&gt;"",$AE12,IF($Z12&lt;&gt;"",$Z12,IF($U12&lt;&gt;"",$U12,IF($P12&lt;&gt;"",$P12,""))))),"")</f>
        <v/>
      </c>
      <c r="AP12" s="199" t="s">
        <v>2081</v>
      </c>
    </row>
    <row r="13" customFormat="false" ht="60" hidden="false" customHeight="true" outlineLevel="0" collapsed="false">
      <c r="A13" s="194" t="str">
        <f aca="false">IF(C13="","",$C$2&amp;"."&amp;COUNTA($C$8:C13)&amp;"")</f>
        <v>TC_08.5</v>
      </c>
      <c r="B13" s="194" t="s">
        <v>508</v>
      </c>
      <c r="C13" s="194" t="s">
        <v>2066</v>
      </c>
      <c r="D13" s="194" t="s">
        <v>42</v>
      </c>
      <c r="E13" s="194" t="s">
        <v>156</v>
      </c>
      <c r="F13" s="195" t="s">
        <v>2082</v>
      </c>
      <c r="G13" s="195" t="s">
        <v>1946</v>
      </c>
      <c r="H13" s="195" t="s">
        <v>2083</v>
      </c>
      <c r="I13" s="195" t="s">
        <v>2084</v>
      </c>
      <c r="J13" s="194" t="s">
        <v>637</v>
      </c>
      <c r="K13" s="194" t="s">
        <v>241</v>
      </c>
      <c r="L13" s="194" t="s">
        <v>638</v>
      </c>
      <c r="M13" s="194"/>
      <c r="N13" s="196"/>
      <c r="O13" s="196"/>
      <c r="P13" s="196"/>
      <c r="Q13" s="196"/>
      <c r="R13" s="196"/>
      <c r="S13" s="196"/>
      <c r="T13" s="196"/>
      <c r="U13" s="196"/>
      <c r="V13" s="196"/>
      <c r="W13" s="196"/>
      <c r="X13" s="196"/>
      <c r="Y13" s="196"/>
      <c r="Z13" s="196"/>
      <c r="AA13" s="196"/>
      <c r="AB13" s="197"/>
      <c r="AC13" s="197"/>
      <c r="AD13" s="197"/>
      <c r="AE13" s="197"/>
      <c r="AF13" s="197"/>
      <c r="AG13" s="197"/>
      <c r="AH13" s="197"/>
      <c r="AI13" s="197"/>
      <c r="AJ13" s="197"/>
      <c r="AK13" s="197"/>
      <c r="AL13" s="197"/>
      <c r="AM13" s="198" t="str">
        <f aca="false">IF($A13="","",IF(OR($N13="Yes",$S13="Yes",$X13="Yes",$AC13="Yes",$AH13="Yes"),"Yes","No"))</f>
        <v>No</v>
      </c>
      <c r="AN13" s="198" t="str">
        <f aca="false">IF($A13="","",IFERROR(IF($AI13&lt;&gt;"",$AI13,IF($AD13&lt;&gt;"",$AD13,IF($Y13&lt;&gt;"",$Y13,IF($T13&lt;&gt;"",$T13,IF($O13&lt;&gt;"",$O13,""))))),""))</f>
        <v/>
      </c>
      <c r="AO13" s="198" t="str">
        <f aca="false">IFERROR(IF($AJ13&lt;&gt;"",$AJ13,IF($AE13&lt;&gt;"",$AE13,IF($Z13&lt;&gt;"",$Z13,IF($U13&lt;&gt;"",$U13,IF($P13&lt;&gt;"",$P13,""))))),"")</f>
        <v/>
      </c>
      <c r="AP13" s="199" t="s">
        <v>2085</v>
      </c>
    </row>
    <row r="14" customFormat="false" ht="60" hidden="false" customHeight="true" outlineLevel="0" collapsed="false">
      <c r="A14" s="194" t="str">
        <f aca="false">IF(C14="","",$C$2&amp;"."&amp;COUNTA($C$8:C14)&amp;"")</f>
        <v>TC_08.6</v>
      </c>
      <c r="B14" s="194" t="s">
        <v>508</v>
      </c>
      <c r="C14" s="194" t="s">
        <v>2066</v>
      </c>
      <c r="D14" s="194" t="s">
        <v>42</v>
      </c>
      <c r="E14" s="194" t="s">
        <v>156</v>
      </c>
      <c r="F14" s="195" t="s">
        <v>2086</v>
      </c>
      <c r="G14" s="195" t="s">
        <v>1874</v>
      </c>
      <c r="H14" s="195" t="s">
        <v>2087</v>
      </c>
      <c r="I14" s="195" t="s">
        <v>2088</v>
      </c>
      <c r="J14" s="194" t="s">
        <v>637</v>
      </c>
      <c r="K14" s="194" t="s">
        <v>241</v>
      </c>
      <c r="L14" s="194" t="s">
        <v>638</v>
      </c>
      <c r="M14" s="194"/>
      <c r="N14" s="196"/>
      <c r="O14" s="196"/>
      <c r="P14" s="196"/>
      <c r="Q14" s="196"/>
      <c r="R14" s="196"/>
      <c r="S14" s="196"/>
      <c r="T14" s="196"/>
      <c r="U14" s="196"/>
      <c r="V14" s="196"/>
      <c r="W14" s="196"/>
      <c r="X14" s="196"/>
      <c r="Y14" s="196"/>
      <c r="Z14" s="196"/>
      <c r="AA14" s="196"/>
      <c r="AB14" s="197"/>
      <c r="AC14" s="197"/>
      <c r="AD14" s="197"/>
      <c r="AE14" s="197"/>
      <c r="AF14" s="197"/>
      <c r="AG14" s="197"/>
      <c r="AH14" s="197"/>
      <c r="AI14" s="197"/>
      <c r="AJ14" s="197"/>
      <c r="AK14" s="197"/>
      <c r="AL14" s="197"/>
      <c r="AM14" s="198" t="str">
        <f aca="false">IF($A14="","",IF(OR($N14="Yes",$S14="Yes",$X14="Yes",$AC14="Yes",$AH14="Yes"),"Yes","No"))</f>
        <v>No</v>
      </c>
      <c r="AN14" s="198" t="str">
        <f aca="false">IF($A14="","",IFERROR(IF($AI14&lt;&gt;"",$AI14,IF($AD14&lt;&gt;"",$AD14,IF($Y14&lt;&gt;"",$Y14,IF($T14&lt;&gt;"",$T14,IF($O14&lt;&gt;"",$O14,""))))),""))</f>
        <v/>
      </c>
      <c r="AO14" s="198" t="str">
        <f aca="false">IFERROR(IF($AJ14&lt;&gt;"",$AJ14,IF($AE14&lt;&gt;"",$AE14,IF($Z14&lt;&gt;"",$Z14,IF($U14&lt;&gt;"",$U14,IF($P14&lt;&gt;"",$P14,""))))),"")</f>
        <v/>
      </c>
      <c r="AP14" s="199" t="s">
        <v>2089</v>
      </c>
    </row>
    <row r="15" customFormat="false" ht="19.5" hidden="false" customHeight="true" outlineLevel="0" collapsed="false">
      <c r="A15" s="194"/>
      <c r="B15" s="200" t="s">
        <v>2090</v>
      </c>
      <c r="C15" s="200"/>
      <c r="D15" s="200"/>
      <c r="E15" s="200"/>
      <c r="F15" s="200"/>
      <c r="G15" s="200"/>
      <c r="H15" s="200"/>
      <c r="I15" s="200"/>
      <c r="J15" s="194"/>
      <c r="K15" s="194"/>
      <c r="L15" s="194"/>
      <c r="M15" s="194"/>
      <c r="N15" s="196"/>
      <c r="O15" s="196"/>
      <c r="P15" s="196"/>
      <c r="Q15" s="196"/>
      <c r="R15" s="196"/>
      <c r="S15" s="196"/>
      <c r="T15" s="196"/>
      <c r="U15" s="196"/>
      <c r="V15" s="196"/>
      <c r="W15" s="196"/>
      <c r="X15" s="196"/>
      <c r="Y15" s="196"/>
      <c r="Z15" s="196"/>
      <c r="AA15" s="196"/>
      <c r="AB15" s="197"/>
      <c r="AC15" s="197"/>
      <c r="AD15" s="197"/>
      <c r="AE15" s="197"/>
      <c r="AF15" s="197"/>
      <c r="AG15" s="197"/>
      <c r="AH15" s="197"/>
      <c r="AI15" s="197"/>
      <c r="AJ15" s="197"/>
      <c r="AK15" s="197"/>
      <c r="AL15" s="197"/>
      <c r="AM15" s="198"/>
      <c r="AN15" s="198"/>
      <c r="AO15" s="198"/>
      <c r="AP15" s="199"/>
    </row>
    <row r="16" customFormat="false" ht="60" hidden="false" customHeight="true" outlineLevel="0" collapsed="false">
      <c r="A16" s="194" t="str">
        <f aca="false">IF(C16="","",$C$2&amp;"."&amp;COUNTA($C$8:C16)&amp;"")</f>
        <v>TC_08.7</v>
      </c>
      <c r="B16" s="194" t="s">
        <v>2091</v>
      </c>
      <c r="C16" s="194" t="s">
        <v>2092</v>
      </c>
      <c r="D16" s="194" t="s">
        <v>42</v>
      </c>
      <c r="E16" s="194" t="s">
        <v>156</v>
      </c>
      <c r="F16" s="195" t="s">
        <v>2093</v>
      </c>
      <c r="G16" s="195" t="s">
        <v>2094</v>
      </c>
      <c r="H16" s="195" t="s">
        <v>2095</v>
      </c>
      <c r="I16" s="195" t="s">
        <v>2096</v>
      </c>
      <c r="J16" s="194" t="s">
        <v>637</v>
      </c>
      <c r="K16" s="194" t="s">
        <v>241</v>
      </c>
      <c r="L16" s="194" t="s">
        <v>638</v>
      </c>
      <c r="M16" s="194"/>
      <c r="N16" s="196"/>
      <c r="O16" s="196"/>
      <c r="P16" s="196"/>
      <c r="Q16" s="196"/>
      <c r="R16" s="196"/>
      <c r="S16" s="196"/>
      <c r="T16" s="196"/>
      <c r="U16" s="196"/>
      <c r="V16" s="196"/>
      <c r="W16" s="196"/>
      <c r="X16" s="196"/>
      <c r="Y16" s="196"/>
      <c r="Z16" s="196"/>
      <c r="AA16" s="196"/>
      <c r="AB16" s="197"/>
      <c r="AC16" s="197"/>
      <c r="AD16" s="197"/>
      <c r="AE16" s="197"/>
      <c r="AF16" s="197"/>
      <c r="AG16" s="197"/>
      <c r="AH16" s="197"/>
      <c r="AI16" s="197"/>
      <c r="AJ16" s="197"/>
      <c r="AK16" s="197"/>
      <c r="AL16" s="197"/>
      <c r="AM16" s="198" t="str">
        <f aca="false">IF($A16="","",IF(OR($N16="Yes",$S16="Yes",$X16="Yes",$AC16="Yes",$AH16="Yes"),"Yes","No"))</f>
        <v>No</v>
      </c>
      <c r="AN16" s="198" t="str">
        <f aca="false">IF($A16="","",IFERROR(IF($AI16&lt;&gt;"",$AI16,IF($AD16&lt;&gt;"",$AD16,IF($Y16&lt;&gt;"",$Y16,IF($T16&lt;&gt;"",$T16,IF($O16&lt;&gt;"",$O16,""))))),""))</f>
        <v/>
      </c>
      <c r="AO16" s="198" t="str">
        <f aca="false">IFERROR(IF($AJ16&lt;&gt;"",$AJ16,IF($AE16&lt;&gt;"",$AE16,IF($Z16&lt;&gt;"",$Z16,IF($U16&lt;&gt;"",$U16,IF($P16&lt;&gt;"",$P16,""))))),"")</f>
        <v/>
      </c>
      <c r="AP16" s="199" t="s">
        <v>2097</v>
      </c>
    </row>
    <row r="17" customFormat="false" ht="60" hidden="false" customHeight="true" outlineLevel="0" collapsed="false">
      <c r="A17" s="194" t="str">
        <f aca="false">IF(C17="","",$C$2&amp;"."&amp;COUNTA($C$8:C17)&amp;"")</f>
        <v>TC_08.8</v>
      </c>
      <c r="B17" s="194" t="s">
        <v>2091</v>
      </c>
      <c r="C17" s="194" t="s">
        <v>2092</v>
      </c>
      <c r="D17" s="194" t="s">
        <v>40</v>
      </c>
      <c r="E17" s="194" t="s">
        <v>156</v>
      </c>
      <c r="F17" s="195" t="s">
        <v>2098</v>
      </c>
      <c r="G17" s="195" t="s">
        <v>2094</v>
      </c>
      <c r="H17" s="195" t="s">
        <v>2099</v>
      </c>
      <c r="I17" s="195" t="s">
        <v>2100</v>
      </c>
      <c r="J17" s="194" t="s">
        <v>637</v>
      </c>
      <c r="K17" s="194" t="s">
        <v>241</v>
      </c>
      <c r="L17" s="194" t="s">
        <v>638</v>
      </c>
      <c r="M17" s="194"/>
      <c r="N17" s="196"/>
      <c r="O17" s="196"/>
      <c r="P17" s="196"/>
      <c r="Q17" s="196"/>
      <c r="R17" s="196"/>
      <c r="S17" s="196"/>
      <c r="T17" s="196"/>
      <c r="U17" s="196"/>
      <c r="V17" s="196"/>
      <c r="W17" s="196"/>
      <c r="X17" s="196"/>
      <c r="Y17" s="196"/>
      <c r="Z17" s="196"/>
      <c r="AA17" s="196"/>
      <c r="AB17" s="197"/>
      <c r="AC17" s="197"/>
      <c r="AD17" s="197"/>
      <c r="AE17" s="197"/>
      <c r="AF17" s="197"/>
      <c r="AG17" s="197"/>
      <c r="AH17" s="197"/>
      <c r="AI17" s="197"/>
      <c r="AJ17" s="197"/>
      <c r="AK17" s="197"/>
      <c r="AL17" s="197"/>
      <c r="AM17" s="198" t="str">
        <f aca="false">IF($A17="","",IF(OR($N17="Yes",$S17="Yes",$X17="Yes",$AC17="Yes",$AH17="Yes"),"Yes","No"))</f>
        <v>No</v>
      </c>
      <c r="AN17" s="198" t="str">
        <f aca="false">IF($A17="","",IFERROR(IF($AI17&lt;&gt;"",$AI17,IF($AD17&lt;&gt;"",$AD17,IF($Y17&lt;&gt;"",$Y17,IF($T17&lt;&gt;"",$T17,IF($O17&lt;&gt;"",$O17,""))))),""))</f>
        <v/>
      </c>
      <c r="AO17" s="198" t="str">
        <f aca="false">IFERROR(IF($AJ17&lt;&gt;"",$AJ17,IF($AE17&lt;&gt;"",$AE17,IF($Z17&lt;&gt;"",$Z17,IF($U17&lt;&gt;"",$U17,IF($P17&lt;&gt;"",$P17,""))))),"")</f>
        <v/>
      </c>
      <c r="AP17" s="199" t="s">
        <v>2101</v>
      </c>
    </row>
    <row r="18" customFormat="false" ht="60" hidden="false" customHeight="true" outlineLevel="0" collapsed="false">
      <c r="A18" s="194" t="str">
        <f aca="false">IF(C18="","",$C$2&amp;"."&amp;COUNTA($C$8:C18)&amp;"")</f>
        <v>TC_08.9</v>
      </c>
      <c r="B18" s="194" t="s">
        <v>2091</v>
      </c>
      <c r="C18" s="194" t="s">
        <v>2092</v>
      </c>
      <c r="D18" s="194" t="s">
        <v>40</v>
      </c>
      <c r="E18" s="194" t="s">
        <v>157</v>
      </c>
      <c r="F18" s="195" t="s">
        <v>2102</v>
      </c>
      <c r="G18" s="195" t="s">
        <v>2094</v>
      </c>
      <c r="H18" s="195" t="s">
        <v>2103</v>
      </c>
      <c r="I18" s="195" t="s">
        <v>2104</v>
      </c>
      <c r="J18" s="194" t="s">
        <v>637</v>
      </c>
      <c r="K18" s="194" t="s">
        <v>241</v>
      </c>
      <c r="L18" s="194" t="s">
        <v>638</v>
      </c>
      <c r="M18" s="194"/>
      <c r="N18" s="196"/>
      <c r="O18" s="196"/>
      <c r="P18" s="196"/>
      <c r="Q18" s="196"/>
      <c r="R18" s="196"/>
      <c r="S18" s="196"/>
      <c r="T18" s="196"/>
      <c r="U18" s="196"/>
      <c r="V18" s="196"/>
      <c r="W18" s="196"/>
      <c r="X18" s="196"/>
      <c r="Y18" s="196"/>
      <c r="Z18" s="196"/>
      <c r="AA18" s="196"/>
      <c r="AB18" s="197"/>
      <c r="AC18" s="197"/>
      <c r="AD18" s="197"/>
      <c r="AE18" s="197"/>
      <c r="AF18" s="197"/>
      <c r="AG18" s="197"/>
      <c r="AH18" s="197"/>
      <c r="AI18" s="197"/>
      <c r="AJ18" s="197"/>
      <c r="AK18" s="197"/>
      <c r="AL18" s="197"/>
      <c r="AM18" s="198" t="str">
        <f aca="false">IF($A18="","",IF(OR($N18="Yes",$S18="Yes",$X18="Yes",$AC18="Yes",$AH18="Yes"),"Yes","No"))</f>
        <v>No</v>
      </c>
      <c r="AN18" s="198" t="str">
        <f aca="false">IF($A18="","",IFERROR(IF($AI18&lt;&gt;"",$AI18,IF($AD18&lt;&gt;"",$AD18,IF($Y18&lt;&gt;"",$Y18,IF($T18&lt;&gt;"",$T18,IF($O18&lt;&gt;"",$O18,""))))),""))</f>
        <v/>
      </c>
      <c r="AO18" s="198" t="str">
        <f aca="false">IFERROR(IF($AJ18&lt;&gt;"",$AJ18,IF($AE18&lt;&gt;"",$AE18,IF($Z18&lt;&gt;"",$Z18,IF($U18&lt;&gt;"",$U18,IF($P18&lt;&gt;"",$P18,""))))),"")</f>
        <v/>
      </c>
      <c r="AP18" s="199" t="s">
        <v>2105</v>
      </c>
    </row>
    <row r="19" customFormat="false" ht="19.5" hidden="false" customHeight="true" outlineLevel="0" collapsed="false">
      <c r="A19" s="194"/>
      <c r="B19" s="200" t="s">
        <v>2106</v>
      </c>
      <c r="C19" s="200"/>
      <c r="D19" s="200"/>
      <c r="E19" s="200"/>
      <c r="F19" s="200"/>
      <c r="G19" s="200"/>
      <c r="H19" s="200"/>
      <c r="I19" s="200"/>
      <c r="J19" s="194"/>
      <c r="K19" s="194"/>
      <c r="L19" s="194"/>
      <c r="M19" s="194"/>
      <c r="N19" s="196"/>
      <c r="O19" s="196"/>
      <c r="P19" s="196"/>
      <c r="Q19" s="196"/>
      <c r="R19" s="196"/>
      <c r="S19" s="196"/>
      <c r="T19" s="196"/>
      <c r="U19" s="196"/>
      <c r="V19" s="196"/>
      <c r="W19" s="196"/>
      <c r="X19" s="196"/>
      <c r="Y19" s="196"/>
      <c r="Z19" s="196"/>
      <c r="AA19" s="196"/>
      <c r="AB19" s="197"/>
      <c r="AC19" s="197"/>
      <c r="AD19" s="197"/>
      <c r="AE19" s="197"/>
      <c r="AF19" s="197"/>
      <c r="AG19" s="197"/>
      <c r="AH19" s="197"/>
      <c r="AI19" s="197"/>
      <c r="AJ19" s="197"/>
      <c r="AK19" s="197"/>
      <c r="AL19" s="197"/>
      <c r="AM19" s="198"/>
      <c r="AN19" s="198"/>
      <c r="AO19" s="198"/>
      <c r="AP19" s="199"/>
    </row>
    <row r="20" customFormat="false" ht="60" hidden="false" customHeight="true" outlineLevel="0" collapsed="false">
      <c r="A20" s="194" t="str">
        <f aca="false">IF(C20="","",$C$2&amp;"."&amp;COUNTA($C$8:C20)&amp;"")</f>
        <v>TC_08.10</v>
      </c>
      <c r="B20" s="194" t="s">
        <v>508</v>
      </c>
      <c r="C20" s="194" t="s">
        <v>2092</v>
      </c>
      <c r="D20" s="194" t="s">
        <v>40</v>
      </c>
      <c r="E20" s="194" t="s">
        <v>156</v>
      </c>
      <c r="F20" s="195" t="s">
        <v>2107</v>
      </c>
      <c r="G20" s="195" t="s">
        <v>2094</v>
      </c>
      <c r="H20" s="195" t="s">
        <v>2108</v>
      </c>
      <c r="I20" s="195" t="s">
        <v>2109</v>
      </c>
      <c r="J20" s="194" t="s">
        <v>637</v>
      </c>
      <c r="K20" s="194" t="s">
        <v>241</v>
      </c>
      <c r="L20" s="194" t="s">
        <v>638</v>
      </c>
      <c r="M20" s="194"/>
      <c r="N20" s="196"/>
      <c r="O20" s="196"/>
      <c r="P20" s="196"/>
      <c r="Q20" s="196"/>
      <c r="R20" s="196"/>
      <c r="S20" s="196"/>
      <c r="T20" s="196"/>
      <c r="U20" s="196"/>
      <c r="V20" s="196"/>
      <c r="W20" s="196"/>
      <c r="X20" s="196"/>
      <c r="Y20" s="196"/>
      <c r="Z20" s="196"/>
      <c r="AA20" s="196"/>
      <c r="AB20" s="197"/>
      <c r="AC20" s="197"/>
      <c r="AD20" s="197"/>
      <c r="AE20" s="197"/>
      <c r="AF20" s="197"/>
      <c r="AG20" s="197"/>
      <c r="AH20" s="197"/>
      <c r="AI20" s="197"/>
      <c r="AJ20" s="197"/>
      <c r="AK20" s="197"/>
      <c r="AL20" s="197"/>
      <c r="AM20" s="198" t="str">
        <f aca="false">IF($A20="","",IF(OR($N20="Yes",$S20="Yes",$X20="Yes",$AC20="Yes",$AH20="Yes"),"Yes","No"))</f>
        <v>No</v>
      </c>
      <c r="AN20" s="198" t="str">
        <f aca="false">IF($A20="","",IFERROR(IF($AI20&lt;&gt;"",$AI20,IF($AD20&lt;&gt;"",$AD20,IF($Y20&lt;&gt;"",$Y20,IF($T20&lt;&gt;"",$T20,IF($O20&lt;&gt;"",$O20,""))))),""))</f>
        <v/>
      </c>
      <c r="AO20" s="198" t="str">
        <f aca="false">IFERROR(IF($AJ20&lt;&gt;"",$AJ20,IF($AE20&lt;&gt;"",$AE20,IF($Z20&lt;&gt;"",$Z20,IF($U20&lt;&gt;"",$U20,IF($P20&lt;&gt;"",$P20,""))))),"")</f>
        <v/>
      </c>
      <c r="AP20" s="199" t="s">
        <v>2110</v>
      </c>
    </row>
    <row r="21" customFormat="false" ht="60" hidden="false" customHeight="true" outlineLevel="0" collapsed="false">
      <c r="A21" s="194" t="str">
        <f aca="false">IF(C21="","",$C$2&amp;"."&amp;COUNTA($C$8:C21)&amp;"")</f>
        <v>TC_08.11</v>
      </c>
      <c r="B21" s="194" t="s">
        <v>508</v>
      </c>
      <c r="C21" s="194" t="s">
        <v>2092</v>
      </c>
      <c r="D21" s="194" t="s">
        <v>40</v>
      </c>
      <c r="E21" s="194" t="s">
        <v>157</v>
      </c>
      <c r="F21" s="195" t="s">
        <v>2111</v>
      </c>
      <c r="G21" s="195" t="s">
        <v>2112</v>
      </c>
      <c r="H21" s="195" t="s">
        <v>2113</v>
      </c>
      <c r="I21" s="195" t="s">
        <v>2114</v>
      </c>
      <c r="J21" s="194" t="s">
        <v>637</v>
      </c>
      <c r="K21" s="194" t="s">
        <v>241</v>
      </c>
      <c r="L21" s="194" t="s">
        <v>638</v>
      </c>
      <c r="M21" s="194"/>
      <c r="N21" s="196"/>
      <c r="O21" s="196"/>
      <c r="P21" s="196"/>
      <c r="Q21" s="196"/>
      <c r="R21" s="196"/>
      <c r="S21" s="196"/>
      <c r="T21" s="196"/>
      <c r="U21" s="196"/>
      <c r="V21" s="196"/>
      <c r="W21" s="196"/>
      <c r="X21" s="196"/>
      <c r="Y21" s="196"/>
      <c r="Z21" s="196"/>
      <c r="AA21" s="196"/>
      <c r="AB21" s="197"/>
      <c r="AC21" s="197"/>
      <c r="AD21" s="197"/>
      <c r="AE21" s="197"/>
      <c r="AF21" s="197"/>
      <c r="AG21" s="197"/>
      <c r="AH21" s="197"/>
      <c r="AI21" s="197"/>
      <c r="AJ21" s="197"/>
      <c r="AK21" s="197"/>
      <c r="AL21" s="197"/>
      <c r="AM21" s="198" t="str">
        <f aca="false">IF($A21="","",IF(OR($N21="Yes",$S21="Yes",$X21="Yes",$AC21="Yes",$AH21="Yes"),"Yes","No"))</f>
        <v>No</v>
      </c>
      <c r="AN21" s="198" t="str">
        <f aca="false">IF($A21="","",IFERROR(IF($AI21&lt;&gt;"",$AI21,IF($AD21&lt;&gt;"",$AD21,IF($Y21&lt;&gt;"",$Y21,IF($T21&lt;&gt;"",$T21,IF($O21&lt;&gt;"",$O21,""))))),""))</f>
        <v/>
      </c>
      <c r="AO21" s="198" t="str">
        <f aca="false">IFERROR(IF($AJ21&lt;&gt;"",$AJ21,IF($AE21&lt;&gt;"",$AE21,IF($Z21&lt;&gt;"",$Z21,IF($U21&lt;&gt;"",$U21,IF($P21&lt;&gt;"",$P21,""))))),"")</f>
        <v/>
      </c>
      <c r="AP21" s="199" t="s">
        <v>1209</v>
      </c>
    </row>
    <row r="22" customFormat="false" ht="60" hidden="false" customHeight="true" outlineLevel="0" collapsed="false">
      <c r="A22" s="194" t="str">
        <f aca="false">IF(C22="","",$C$2&amp;"."&amp;COUNTA($C$8:C22)&amp;"")</f>
        <v>TC_08.12</v>
      </c>
      <c r="B22" s="194" t="s">
        <v>508</v>
      </c>
      <c r="C22" s="194" t="s">
        <v>2092</v>
      </c>
      <c r="D22" s="194" t="s">
        <v>40</v>
      </c>
      <c r="E22" s="194" t="s">
        <v>158</v>
      </c>
      <c r="F22" s="195" t="s">
        <v>2115</v>
      </c>
      <c r="G22" s="195" t="s">
        <v>2112</v>
      </c>
      <c r="H22" s="195" t="s">
        <v>2116</v>
      </c>
      <c r="I22" s="195" t="s">
        <v>2117</v>
      </c>
      <c r="J22" s="194" t="s">
        <v>637</v>
      </c>
      <c r="K22" s="194" t="s">
        <v>241</v>
      </c>
      <c r="L22" s="194" t="s">
        <v>638</v>
      </c>
      <c r="M22" s="194"/>
      <c r="N22" s="196"/>
      <c r="O22" s="196"/>
      <c r="P22" s="196"/>
      <c r="Q22" s="196"/>
      <c r="R22" s="196"/>
      <c r="S22" s="196"/>
      <c r="T22" s="196"/>
      <c r="U22" s="196"/>
      <c r="V22" s="196"/>
      <c r="W22" s="196"/>
      <c r="X22" s="196"/>
      <c r="Y22" s="196"/>
      <c r="Z22" s="196"/>
      <c r="AA22" s="196"/>
      <c r="AB22" s="197"/>
      <c r="AC22" s="197"/>
      <c r="AD22" s="197"/>
      <c r="AE22" s="197"/>
      <c r="AF22" s="197"/>
      <c r="AG22" s="197"/>
      <c r="AH22" s="197"/>
      <c r="AI22" s="197"/>
      <c r="AJ22" s="197"/>
      <c r="AK22" s="197"/>
      <c r="AL22" s="197"/>
      <c r="AM22" s="198" t="str">
        <f aca="false">IF($A22="","",IF(OR($N22="Yes",$S22="Yes",$X22="Yes",$AC22="Yes",$AH22="Yes"),"Yes","No"))</f>
        <v>No</v>
      </c>
      <c r="AN22" s="198" t="str">
        <f aca="false">IF($A22="","",IFERROR(IF($AI22&lt;&gt;"",$AI22,IF($AD22&lt;&gt;"",$AD22,IF($Y22&lt;&gt;"",$Y22,IF($T22&lt;&gt;"",$T22,IF($O22&lt;&gt;"",$O22,""))))),""))</f>
        <v/>
      </c>
      <c r="AO22" s="198" t="str">
        <f aca="false">IFERROR(IF($AJ22&lt;&gt;"",$AJ22,IF($AE22&lt;&gt;"",$AE22,IF($Z22&lt;&gt;"",$Z22,IF($U22&lt;&gt;"",$U22,IF($P22&lt;&gt;"",$P22,""))))),"")</f>
        <v/>
      </c>
      <c r="AP22" s="199" t="s">
        <v>1213</v>
      </c>
    </row>
    <row r="23" customFormat="false" ht="60" hidden="false" customHeight="true" outlineLevel="0" collapsed="false">
      <c r="A23" s="194" t="str">
        <f aca="false">IF(C23="","",$C$2&amp;"."&amp;COUNTA($C$8:C23)&amp;"")</f>
        <v>TC_08.13</v>
      </c>
      <c r="B23" s="194" t="s">
        <v>508</v>
      </c>
      <c r="C23" s="194" t="s">
        <v>2092</v>
      </c>
      <c r="D23" s="194" t="s">
        <v>40</v>
      </c>
      <c r="E23" s="194" t="s">
        <v>158</v>
      </c>
      <c r="F23" s="195" t="s">
        <v>2118</v>
      </c>
      <c r="G23" s="195" t="s">
        <v>2112</v>
      </c>
      <c r="H23" s="195" t="s">
        <v>2119</v>
      </c>
      <c r="I23" s="195" t="s">
        <v>2120</v>
      </c>
      <c r="J23" s="194" t="s">
        <v>637</v>
      </c>
      <c r="K23" s="194" t="s">
        <v>241</v>
      </c>
      <c r="L23" s="194" t="s">
        <v>638</v>
      </c>
      <c r="M23" s="194"/>
      <c r="N23" s="196"/>
      <c r="O23" s="196"/>
      <c r="P23" s="196"/>
      <c r="Q23" s="196"/>
      <c r="R23" s="196"/>
      <c r="S23" s="196"/>
      <c r="T23" s="196"/>
      <c r="U23" s="196"/>
      <c r="V23" s="196"/>
      <c r="W23" s="196"/>
      <c r="X23" s="196"/>
      <c r="Y23" s="196"/>
      <c r="Z23" s="196"/>
      <c r="AA23" s="196"/>
      <c r="AB23" s="197"/>
      <c r="AC23" s="197"/>
      <c r="AD23" s="197"/>
      <c r="AE23" s="197"/>
      <c r="AF23" s="197"/>
      <c r="AG23" s="197"/>
      <c r="AH23" s="197"/>
      <c r="AI23" s="197"/>
      <c r="AJ23" s="197"/>
      <c r="AK23" s="197"/>
      <c r="AL23" s="197"/>
      <c r="AM23" s="198" t="str">
        <f aca="false">IF($A23="","",IF(OR($N23="Yes",$S23="Yes",$X23="Yes",$AC23="Yes",$AH23="Yes"),"Yes","No"))</f>
        <v>No</v>
      </c>
      <c r="AN23" s="198" t="str">
        <f aca="false">IF($A23="","",IFERROR(IF($AI23&lt;&gt;"",$AI23,IF($AD23&lt;&gt;"",$AD23,IF($Y23&lt;&gt;"",$Y23,IF($T23&lt;&gt;"",$T23,IF($O23&lt;&gt;"",$O23,""))))),""))</f>
        <v/>
      </c>
      <c r="AO23" s="198" t="str">
        <f aca="false">IFERROR(IF($AJ23&lt;&gt;"",$AJ23,IF($AE23&lt;&gt;"",$AE23,IF($Z23&lt;&gt;"",$Z23,IF($U23&lt;&gt;"",$U23,IF($P23&lt;&gt;"",$P23,""))))),"")</f>
        <v/>
      </c>
      <c r="AP23" s="199" t="s">
        <v>2121</v>
      </c>
    </row>
    <row r="24" customFormat="false" ht="60" hidden="false" customHeight="true" outlineLevel="0" collapsed="false">
      <c r="A24" s="194" t="str">
        <f aca="false">IF(C24="","",$C$2&amp;"."&amp;COUNTA($C$8:C24)&amp;"")</f>
        <v>TC_08.14</v>
      </c>
      <c r="B24" s="194" t="s">
        <v>508</v>
      </c>
      <c r="C24" s="194" t="s">
        <v>2092</v>
      </c>
      <c r="D24" s="194" t="s">
        <v>40</v>
      </c>
      <c r="E24" s="194" t="s">
        <v>157</v>
      </c>
      <c r="F24" s="195" t="s">
        <v>2122</v>
      </c>
      <c r="G24" s="195" t="s">
        <v>2112</v>
      </c>
      <c r="H24" s="195" t="s">
        <v>2123</v>
      </c>
      <c r="I24" s="195" t="s">
        <v>2124</v>
      </c>
      <c r="J24" s="194" t="s">
        <v>637</v>
      </c>
      <c r="K24" s="194" t="s">
        <v>241</v>
      </c>
      <c r="L24" s="194" t="s">
        <v>638</v>
      </c>
      <c r="M24" s="194"/>
      <c r="N24" s="196"/>
      <c r="O24" s="196"/>
      <c r="P24" s="196"/>
      <c r="Q24" s="196"/>
      <c r="R24" s="196"/>
      <c r="S24" s="196"/>
      <c r="T24" s="196"/>
      <c r="U24" s="196"/>
      <c r="V24" s="196"/>
      <c r="W24" s="196"/>
      <c r="X24" s="196"/>
      <c r="Y24" s="196"/>
      <c r="Z24" s="196"/>
      <c r="AA24" s="196"/>
      <c r="AB24" s="197"/>
      <c r="AC24" s="197"/>
      <c r="AD24" s="197"/>
      <c r="AE24" s="197"/>
      <c r="AF24" s="197"/>
      <c r="AG24" s="197"/>
      <c r="AH24" s="197"/>
      <c r="AI24" s="197"/>
      <c r="AJ24" s="197"/>
      <c r="AK24" s="197"/>
      <c r="AL24" s="197"/>
      <c r="AM24" s="198" t="str">
        <f aca="false">IF($A24="","",IF(OR($N24="Yes",$S24="Yes",$X24="Yes",$AC24="Yes",$AH24="Yes"),"Yes","No"))</f>
        <v>No</v>
      </c>
      <c r="AN24" s="198" t="str">
        <f aca="false">IF($A24="","",IFERROR(IF($AI24&lt;&gt;"",$AI24,IF($AD24&lt;&gt;"",$AD24,IF($Y24&lt;&gt;"",$Y24,IF($T24&lt;&gt;"",$T24,IF($O24&lt;&gt;"",$O24,""))))),""))</f>
        <v/>
      </c>
      <c r="AO24" s="198" t="str">
        <f aca="false">IFERROR(IF($AJ24&lt;&gt;"",$AJ24,IF($AE24&lt;&gt;"",$AE24,IF($Z24&lt;&gt;"",$Z24,IF($U24&lt;&gt;"",$U24,IF($P24&lt;&gt;"",$P24,""))))),"")</f>
        <v/>
      </c>
      <c r="AP24" s="199" t="s">
        <v>2125</v>
      </c>
    </row>
    <row r="25" customFormat="false" ht="60" hidden="false" customHeight="true" outlineLevel="0" collapsed="false">
      <c r="A25" s="194" t="str">
        <f aca="false">IF(C25="","",$C$2&amp;"."&amp;COUNTA($C$8:C25)&amp;"")</f>
        <v>TC_08.15</v>
      </c>
      <c r="B25" s="194" t="s">
        <v>508</v>
      </c>
      <c r="C25" s="194" t="s">
        <v>2092</v>
      </c>
      <c r="D25" s="194" t="s">
        <v>40</v>
      </c>
      <c r="E25" s="194" t="s">
        <v>157</v>
      </c>
      <c r="F25" s="195" t="s">
        <v>2126</v>
      </c>
      <c r="G25" s="195" t="s">
        <v>2112</v>
      </c>
      <c r="H25" s="195" t="s">
        <v>2127</v>
      </c>
      <c r="I25" s="195" t="s">
        <v>2128</v>
      </c>
      <c r="J25" s="194" t="s">
        <v>637</v>
      </c>
      <c r="K25" s="194" t="s">
        <v>241</v>
      </c>
      <c r="L25" s="194" t="s">
        <v>638</v>
      </c>
      <c r="M25" s="194"/>
      <c r="N25" s="196"/>
      <c r="O25" s="196"/>
      <c r="P25" s="196"/>
      <c r="Q25" s="196"/>
      <c r="R25" s="196"/>
      <c r="S25" s="196"/>
      <c r="T25" s="196"/>
      <c r="U25" s="196"/>
      <c r="V25" s="196"/>
      <c r="W25" s="196"/>
      <c r="X25" s="196"/>
      <c r="Y25" s="196"/>
      <c r="Z25" s="196"/>
      <c r="AA25" s="196"/>
      <c r="AB25" s="197"/>
      <c r="AC25" s="197"/>
      <c r="AD25" s="197"/>
      <c r="AE25" s="197"/>
      <c r="AF25" s="197"/>
      <c r="AG25" s="197"/>
      <c r="AH25" s="197"/>
      <c r="AI25" s="197"/>
      <c r="AJ25" s="197"/>
      <c r="AK25" s="197"/>
      <c r="AL25" s="197"/>
      <c r="AM25" s="198" t="str">
        <f aca="false">IF($A25="","",IF(OR($N25="Yes",$S25="Yes",$X25="Yes",$AC25="Yes",$AH25="Yes"),"Yes","No"))</f>
        <v>No</v>
      </c>
      <c r="AN25" s="198" t="str">
        <f aca="false">IF($A25="","",IFERROR(IF($AI25&lt;&gt;"",$AI25,IF($AD25&lt;&gt;"",$AD25,IF($Y25&lt;&gt;"",$Y25,IF($T25&lt;&gt;"",$T25,IF($O25&lt;&gt;"",$O25,""))))),""))</f>
        <v/>
      </c>
      <c r="AO25" s="198" t="str">
        <f aca="false">IFERROR(IF($AJ25&lt;&gt;"",$AJ25,IF($AE25&lt;&gt;"",$AE25,IF($Z25&lt;&gt;"",$Z25,IF($U25&lt;&gt;"",$U25,IF($P25&lt;&gt;"",$P25,""))))),"")</f>
        <v/>
      </c>
      <c r="AP25" s="199" t="s">
        <v>2129</v>
      </c>
    </row>
    <row r="26" customFormat="false" ht="60" hidden="false" customHeight="true" outlineLevel="0" collapsed="false">
      <c r="A26" s="194" t="str">
        <f aca="false">IF(C26="","",$C$2&amp;"."&amp;COUNTA($C$8:C26)&amp;"")</f>
        <v>TC_08.16</v>
      </c>
      <c r="B26" s="194" t="s">
        <v>508</v>
      </c>
      <c r="C26" s="194" t="s">
        <v>2092</v>
      </c>
      <c r="D26" s="194" t="s">
        <v>40</v>
      </c>
      <c r="E26" s="194" t="s">
        <v>158</v>
      </c>
      <c r="F26" s="195" t="s">
        <v>2130</v>
      </c>
      <c r="G26" s="195" t="s">
        <v>2112</v>
      </c>
      <c r="H26" s="195" t="s">
        <v>2131</v>
      </c>
      <c r="I26" s="195" t="s">
        <v>2132</v>
      </c>
      <c r="J26" s="194" t="s">
        <v>637</v>
      </c>
      <c r="K26" s="194" t="s">
        <v>241</v>
      </c>
      <c r="L26" s="194" t="s">
        <v>638</v>
      </c>
      <c r="M26" s="194"/>
      <c r="N26" s="196"/>
      <c r="O26" s="196"/>
      <c r="P26" s="196"/>
      <c r="Q26" s="196"/>
      <c r="R26" s="196"/>
      <c r="S26" s="196"/>
      <c r="T26" s="196"/>
      <c r="U26" s="196"/>
      <c r="V26" s="196"/>
      <c r="W26" s="196"/>
      <c r="X26" s="196"/>
      <c r="Y26" s="196"/>
      <c r="Z26" s="196"/>
      <c r="AA26" s="196"/>
      <c r="AB26" s="197"/>
      <c r="AC26" s="197"/>
      <c r="AD26" s="197"/>
      <c r="AE26" s="197"/>
      <c r="AF26" s="197"/>
      <c r="AG26" s="197"/>
      <c r="AH26" s="197"/>
      <c r="AI26" s="197"/>
      <c r="AJ26" s="197"/>
      <c r="AK26" s="197"/>
      <c r="AL26" s="197"/>
      <c r="AM26" s="198" t="str">
        <f aca="false">IF($A26="","",IF(OR($N26="Yes",$S26="Yes",$X26="Yes",$AC26="Yes",$AH26="Yes"),"Yes","No"))</f>
        <v>No</v>
      </c>
      <c r="AN26" s="198" t="str">
        <f aca="false">IF($A26="","",IFERROR(IF($AI26&lt;&gt;"",$AI26,IF($AD26&lt;&gt;"",$AD26,IF($Y26&lt;&gt;"",$Y26,IF($T26&lt;&gt;"",$T26,IF($O26&lt;&gt;"",$O26,""))))),""))</f>
        <v/>
      </c>
      <c r="AO26" s="198" t="str">
        <f aca="false">IFERROR(IF($AJ26&lt;&gt;"",$AJ26,IF($AE26&lt;&gt;"",$AE26,IF($Z26&lt;&gt;"",$Z26,IF($U26&lt;&gt;"",$U26,IF($P26&lt;&gt;"",$P26,""))))),"")</f>
        <v/>
      </c>
      <c r="AP26" s="199" t="s">
        <v>2133</v>
      </c>
    </row>
    <row r="27" customFormat="false" ht="19.5" hidden="false" customHeight="true" outlineLevel="0" collapsed="false">
      <c r="A27" s="194"/>
      <c r="B27" s="200" t="s">
        <v>2134</v>
      </c>
      <c r="C27" s="200"/>
      <c r="D27" s="200"/>
      <c r="E27" s="200"/>
      <c r="F27" s="200"/>
      <c r="G27" s="200"/>
      <c r="H27" s="200"/>
      <c r="I27" s="200"/>
      <c r="J27" s="194"/>
      <c r="K27" s="194"/>
      <c r="L27" s="194"/>
      <c r="M27" s="194"/>
      <c r="N27" s="196"/>
      <c r="O27" s="196"/>
      <c r="P27" s="196"/>
      <c r="Q27" s="196"/>
      <c r="R27" s="196"/>
      <c r="S27" s="196"/>
      <c r="T27" s="196"/>
      <c r="U27" s="196"/>
      <c r="V27" s="196"/>
      <c r="W27" s="196"/>
      <c r="X27" s="196"/>
      <c r="Y27" s="196"/>
      <c r="Z27" s="196"/>
      <c r="AA27" s="196"/>
      <c r="AB27" s="197"/>
      <c r="AC27" s="197"/>
      <c r="AD27" s="197"/>
      <c r="AE27" s="197"/>
      <c r="AF27" s="197"/>
      <c r="AG27" s="197"/>
      <c r="AH27" s="197"/>
      <c r="AI27" s="197"/>
      <c r="AJ27" s="197"/>
      <c r="AK27" s="197"/>
      <c r="AL27" s="197"/>
      <c r="AM27" s="198"/>
      <c r="AN27" s="198"/>
      <c r="AO27" s="198"/>
      <c r="AP27" s="199"/>
    </row>
    <row r="28" customFormat="false" ht="60" hidden="false" customHeight="true" outlineLevel="0" collapsed="false">
      <c r="A28" s="194" t="str">
        <f aca="false">IF(C28="","",$C$2&amp;"."&amp;COUNTA($C$8:C28)&amp;"")</f>
        <v>TC_08.17</v>
      </c>
      <c r="B28" s="194" t="s">
        <v>508</v>
      </c>
      <c r="C28" s="194" t="s">
        <v>2066</v>
      </c>
      <c r="D28" s="194" t="s">
        <v>40</v>
      </c>
      <c r="E28" s="194" t="s">
        <v>157</v>
      </c>
      <c r="F28" s="195" t="s">
        <v>2135</v>
      </c>
      <c r="G28" s="195" t="s">
        <v>1955</v>
      </c>
      <c r="H28" s="195" t="s">
        <v>2136</v>
      </c>
      <c r="I28" s="195" t="s">
        <v>2137</v>
      </c>
      <c r="J28" s="194" t="s">
        <v>637</v>
      </c>
      <c r="K28" s="194" t="s">
        <v>241</v>
      </c>
      <c r="L28" s="194" t="s">
        <v>638</v>
      </c>
      <c r="M28" s="194"/>
      <c r="N28" s="196"/>
      <c r="O28" s="196"/>
      <c r="P28" s="196"/>
      <c r="Q28" s="196"/>
      <c r="R28" s="196"/>
      <c r="S28" s="196"/>
      <c r="T28" s="196"/>
      <c r="U28" s="196"/>
      <c r="V28" s="196"/>
      <c r="W28" s="196"/>
      <c r="X28" s="196"/>
      <c r="Y28" s="196"/>
      <c r="Z28" s="196"/>
      <c r="AA28" s="196"/>
      <c r="AB28" s="197"/>
      <c r="AC28" s="197"/>
      <c r="AD28" s="197"/>
      <c r="AE28" s="197"/>
      <c r="AF28" s="197"/>
      <c r="AG28" s="197"/>
      <c r="AH28" s="197"/>
      <c r="AI28" s="197"/>
      <c r="AJ28" s="197"/>
      <c r="AK28" s="197"/>
      <c r="AL28" s="197"/>
      <c r="AM28" s="198" t="str">
        <f aca="false">IF($A28="","",IF(OR($N28="Yes",$S28="Yes",$X28="Yes",$AC28="Yes",$AH28="Yes"),"Yes","No"))</f>
        <v>No</v>
      </c>
      <c r="AN28" s="198" t="str">
        <f aca="false">IF($A28="","",IFERROR(IF($AI28&lt;&gt;"",$AI28,IF($AD28&lt;&gt;"",$AD28,IF($Y28&lt;&gt;"",$Y28,IF($T28&lt;&gt;"",$T28,IF($O28&lt;&gt;"",$O28,""))))),""))</f>
        <v/>
      </c>
      <c r="AO28" s="198" t="str">
        <f aca="false">IFERROR(IF($AJ28&lt;&gt;"",$AJ28,IF($AE28&lt;&gt;"",$AE28,IF($Z28&lt;&gt;"",$Z28,IF($U28&lt;&gt;"",$U28,IF($P28&lt;&gt;"",$P28,""))))),"")</f>
        <v/>
      </c>
      <c r="AP28" s="199" t="s">
        <v>2138</v>
      </c>
    </row>
    <row r="29" customFormat="false" ht="60" hidden="false" customHeight="true" outlineLevel="0" collapsed="false">
      <c r="A29" s="194" t="str">
        <f aca="false">IF(C29="","",$C$2&amp;"."&amp;COUNTA($C$8:C29)&amp;"")</f>
        <v>TC_08.18</v>
      </c>
      <c r="B29" s="194" t="s">
        <v>508</v>
      </c>
      <c r="C29" s="194" t="s">
        <v>2066</v>
      </c>
      <c r="D29" s="194" t="s">
        <v>40</v>
      </c>
      <c r="E29" s="194" t="s">
        <v>157</v>
      </c>
      <c r="F29" s="195" t="s">
        <v>2139</v>
      </c>
      <c r="G29" s="195" t="s">
        <v>1860</v>
      </c>
      <c r="H29" s="195" t="s">
        <v>2140</v>
      </c>
      <c r="I29" s="195" t="s">
        <v>2141</v>
      </c>
      <c r="J29" s="194" t="s">
        <v>637</v>
      </c>
      <c r="K29" s="194" t="s">
        <v>241</v>
      </c>
      <c r="L29" s="194" t="s">
        <v>638</v>
      </c>
      <c r="M29" s="194"/>
      <c r="N29" s="196"/>
      <c r="O29" s="196"/>
      <c r="P29" s="196"/>
      <c r="Q29" s="196"/>
      <c r="R29" s="196"/>
      <c r="S29" s="196"/>
      <c r="T29" s="196"/>
      <c r="U29" s="196"/>
      <c r="V29" s="196"/>
      <c r="W29" s="196"/>
      <c r="X29" s="196"/>
      <c r="Y29" s="196"/>
      <c r="Z29" s="196"/>
      <c r="AA29" s="196"/>
      <c r="AB29" s="197"/>
      <c r="AC29" s="197"/>
      <c r="AD29" s="197"/>
      <c r="AE29" s="197"/>
      <c r="AF29" s="197"/>
      <c r="AG29" s="197"/>
      <c r="AH29" s="197"/>
      <c r="AI29" s="197"/>
      <c r="AJ29" s="197"/>
      <c r="AK29" s="197"/>
      <c r="AL29" s="197"/>
      <c r="AM29" s="198" t="str">
        <f aca="false">IF($A29="","",IF(OR($N29="Yes",$S29="Yes",$X29="Yes",$AC29="Yes",$AH29="Yes"),"Yes","No"))</f>
        <v>No</v>
      </c>
      <c r="AN29" s="198" t="str">
        <f aca="false">IF($A29="","",IFERROR(IF($AI29&lt;&gt;"",$AI29,IF($AD29&lt;&gt;"",$AD29,IF($Y29&lt;&gt;"",$Y29,IF($T29&lt;&gt;"",$T29,IF($O29&lt;&gt;"",$O29,""))))),""))</f>
        <v/>
      </c>
      <c r="AO29" s="198" t="str">
        <f aca="false">IFERROR(IF($AJ29&lt;&gt;"",$AJ29,IF($AE29&lt;&gt;"",$AE29,IF($Z29&lt;&gt;"",$Z29,IF($U29&lt;&gt;"",$U29,IF($P29&lt;&gt;"",$P29,""))))),"")</f>
        <v/>
      </c>
      <c r="AP29" s="199" t="s">
        <v>2142</v>
      </c>
    </row>
    <row r="30" customFormat="false" ht="60" hidden="false" customHeight="true" outlineLevel="0" collapsed="false">
      <c r="A30" s="194" t="str">
        <f aca="false">IF(C30="","",$C$2&amp;"."&amp;COUNTA($C$8:C30)&amp;"")</f>
        <v>TC_08.19</v>
      </c>
      <c r="B30" s="194" t="s">
        <v>508</v>
      </c>
      <c r="C30" s="194" t="s">
        <v>2066</v>
      </c>
      <c r="D30" s="194" t="s">
        <v>40</v>
      </c>
      <c r="E30" s="194" t="s">
        <v>157</v>
      </c>
      <c r="F30" s="195" t="s">
        <v>2143</v>
      </c>
      <c r="G30" s="195" t="s">
        <v>1874</v>
      </c>
      <c r="H30" s="195" t="s">
        <v>2144</v>
      </c>
      <c r="I30" s="195" t="s">
        <v>2145</v>
      </c>
      <c r="J30" s="194" t="s">
        <v>637</v>
      </c>
      <c r="K30" s="194" t="s">
        <v>241</v>
      </c>
      <c r="L30" s="194" t="s">
        <v>638</v>
      </c>
      <c r="M30" s="194"/>
      <c r="N30" s="196"/>
      <c r="O30" s="196"/>
      <c r="P30" s="196"/>
      <c r="Q30" s="196"/>
      <c r="R30" s="196"/>
      <c r="S30" s="196"/>
      <c r="T30" s="196"/>
      <c r="U30" s="196"/>
      <c r="V30" s="196"/>
      <c r="W30" s="196"/>
      <c r="X30" s="196"/>
      <c r="Y30" s="196"/>
      <c r="Z30" s="196"/>
      <c r="AA30" s="196"/>
      <c r="AB30" s="197"/>
      <c r="AC30" s="197"/>
      <c r="AD30" s="197"/>
      <c r="AE30" s="197"/>
      <c r="AF30" s="197"/>
      <c r="AG30" s="197"/>
      <c r="AH30" s="197"/>
      <c r="AI30" s="197"/>
      <c r="AJ30" s="197"/>
      <c r="AK30" s="197"/>
      <c r="AL30" s="197"/>
      <c r="AM30" s="198" t="str">
        <f aca="false">IF($A30="","",IF(OR($N30="Yes",$S30="Yes",$X30="Yes",$AC30="Yes",$AH30="Yes"),"Yes","No"))</f>
        <v>No</v>
      </c>
      <c r="AN30" s="198" t="str">
        <f aca="false">IF($A30="","",IFERROR(IF($AI30&lt;&gt;"",$AI30,IF($AD30&lt;&gt;"",$AD30,IF($Y30&lt;&gt;"",$Y30,IF($T30&lt;&gt;"",$T30,IF($O30&lt;&gt;"",$O30,""))))),""))</f>
        <v/>
      </c>
      <c r="AO30" s="198" t="str">
        <f aca="false">IFERROR(IF($AJ30&lt;&gt;"",$AJ30,IF($AE30&lt;&gt;"",$AE30,IF($Z30&lt;&gt;"",$Z30,IF($U30&lt;&gt;"",$U30,IF($P30&lt;&gt;"",$P30,""))))),"")</f>
        <v/>
      </c>
      <c r="AP30" s="199" t="s">
        <v>2146</v>
      </c>
    </row>
    <row r="31" customFormat="false" ht="60" hidden="false" customHeight="true" outlineLevel="0" collapsed="false">
      <c r="A31" s="194" t="str">
        <f aca="false">IF(C31="","",$C$2&amp;"."&amp;COUNTA($C$8:C31)&amp;"")</f>
        <v>TC_08.20</v>
      </c>
      <c r="B31" s="194" t="s">
        <v>508</v>
      </c>
      <c r="C31" s="194" t="s">
        <v>2066</v>
      </c>
      <c r="D31" s="194" t="s">
        <v>40</v>
      </c>
      <c r="E31" s="194" t="s">
        <v>156</v>
      </c>
      <c r="F31" s="195" t="s">
        <v>2147</v>
      </c>
      <c r="G31" s="195" t="s">
        <v>2148</v>
      </c>
      <c r="H31" s="195" t="s">
        <v>2149</v>
      </c>
      <c r="I31" s="195" t="s">
        <v>2150</v>
      </c>
      <c r="J31" s="194" t="s">
        <v>637</v>
      </c>
      <c r="K31" s="194" t="s">
        <v>241</v>
      </c>
      <c r="L31" s="194" t="s">
        <v>638</v>
      </c>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t="str">
        <f aca="false">IF($A31="","",IF(OR($N31="Yes",$S31="Yes",$X31="Yes",$AC31="Yes",$AH31="Yes"),"Yes","No"))</f>
        <v>No</v>
      </c>
      <c r="AN31" s="198" t="str">
        <f aca="false">IF($A31="","",IFERROR(IF($AI31&lt;&gt;"",$AI31,IF($AD31&lt;&gt;"",$AD31,IF($Y31&lt;&gt;"",$Y31,IF($T31&lt;&gt;"",$T31,IF($O31&lt;&gt;"",$O31,""))))),""))</f>
        <v/>
      </c>
      <c r="AO31" s="198" t="str">
        <f aca="false">IFERROR(IF($AJ31&lt;&gt;"",$AJ31,IF($AE31&lt;&gt;"",$AE31,IF($Z31&lt;&gt;"",$Z31,IF($U31&lt;&gt;"",$U31,IF($P31&lt;&gt;"",$P31,""))))),"")</f>
        <v/>
      </c>
      <c r="AP31" s="199"/>
    </row>
    <row r="32" customFormat="false" ht="60" hidden="false" customHeight="true" outlineLevel="0" collapsed="false">
      <c r="A32" s="194" t="str">
        <f aca="false">IF(C32="","",$C$2&amp;"."&amp;COUNTA($C$8:C32)&amp;"")</f>
        <v>TC_08.21</v>
      </c>
      <c r="B32" s="194" t="s">
        <v>508</v>
      </c>
      <c r="C32" s="194" t="s">
        <v>2060</v>
      </c>
      <c r="D32" s="194" t="s">
        <v>42</v>
      </c>
      <c r="E32" s="194" t="s">
        <v>157</v>
      </c>
      <c r="F32" s="195" t="s">
        <v>2151</v>
      </c>
      <c r="G32" s="195" t="s">
        <v>2152</v>
      </c>
      <c r="H32" s="195" t="s">
        <v>2153</v>
      </c>
      <c r="I32" s="195" t="s">
        <v>2154</v>
      </c>
      <c r="J32" s="194" t="s">
        <v>637</v>
      </c>
      <c r="K32" s="194" t="s">
        <v>241</v>
      </c>
      <c r="L32" s="194" t="s">
        <v>638</v>
      </c>
      <c r="M32" s="194"/>
      <c r="N32" s="196"/>
      <c r="O32" s="196"/>
      <c r="P32" s="196"/>
      <c r="Q32" s="196"/>
      <c r="R32" s="196"/>
      <c r="S32" s="196"/>
      <c r="T32" s="196"/>
      <c r="U32" s="196"/>
      <c r="V32" s="196"/>
      <c r="W32" s="196"/>
      <c r="X32" s="196"/>
      <c r="Y32" s="196"/>
      <c r="Z32" s="196"/>
      <c r="AA32" s="196"/>
      <c r="AB32" s="197"/>
      <c r="AC32" s="197"/>
      <c r="AD32" s="197"/>
      <c r="AE32" s="197"/>
      <c r="AF32" s="197"/>
      <c r="AG32" s="197"/>
      <c r="AH32" s="197"/>
      <c r="AI32" s="197"/>
      <c r="AJ32" s="197"/>
      <c r="AK32" s="197"/>
      <c r="AL32" s="197"/>
      <c r="AM32" s="198" t="str">
        <f aca="false">IF($A32="","",IF(OR($N32="Yes",$S32="Yes",$X32="Yes",$AC32="Yes",$AH32="Yes"),"Yes","No"))</f>
        <v>No</v>
      </c>
      <c r="AN32" s="198" t="str">
        <f aca="false">IF($A32="","",IFERROR(IF($AI32&lt;&gt;"",$AI32,IF($AD32&lt;&gt;"",$AD32,IF($Y32&lt;&gt;"",$Y32,IF($T32&lt;&gt;"",$T32,IF($O32&lt;&gt;"",$O32,""))))),""))</f>
        <v/>
      </c>
      <c r="AO32" s="198" t="str">
        <f aca="false">IFERROR(IF($AJ32&lt;&gt;"",$AJ32,IF($AE32&lt;&gt;"",$AE32,IF($Z32&lt;&gt;"",$Z32,IF($U32&lt;&gt;"",$U32,IF($P32&lt;&gt;"",$P32,""))))),"")</f>
        <v/>
      </c>
      <c r="AP32" s="199" t="s">
        <v>2155</v>
      </c>
    </row>
    <row r="33" customFormat="false" ht="60" hidden="false" customHeight="true" outlineLevel="0" collapsed="false">
      <c r="A33" s="194" t="str">
        <f aca="false">IF(C33="","",$C$2&amp;"."&amp;COUNTA($C$8:C33)&amp;"")</f>
        <v>TC_08.22</v>
      </c>
      <c r="B33" s="194" t="s">
        <v>508</v>
      </c>
      <c r="C33" s="194" t="s">
        <v>2066</v>
      </c>
      <c r="D33" s="194" t="s">
        <v>40</v>
      </c>
      <c r="E33" s="194" t="s">
        <v>156</v>
      </c>
      <c r="F33" s="195" t="s">
        <v>2156</v>
      </c>
      <c r="G33" s="195" t="s">
        <v>1955</v>
      </c>
      <c r="H33" s="195" t="s">
        <v>2157</v>
      </c>
      <c r="I33" s="195" t="s">
        <v>2158</v>
      </c>
      <c r="J33" s="194" t="s">
        <v>637</v>
      </c>
      <c r="K33" s="194" t="s">
        <v>241</v>
      </c>
      <c r="L33" s="194" t="s">
        <v>638</v>
      </c>
      <c r="M33" s="194"/>
      <c r="N33" s="196"/>
      <c r="O33" s="196"/>
      <c r="P33" s="196"/>
      <c r="Q33" s="196"/>
      <c r="R33" s="196"/>
      <c r="S33" s="196"/>
      <c r="T33" s="196"/>
      <c r="U33" s="196"/>
      <c r="V33" s="196"/>
      <c r="W33" s="196"/>
      <c r="X33" s="196"/>
      <c r="Y33" s="196"/>
      <c r="Z33" s="196"/>
      <c r="AA33" s="196"/>
      <c r="AB33" s="197"/>
      <c r="AC33" s="197"/>
      <c r="AD33" s="197"/>
      <c r="AE33" s="197"/>
      <c r="AF33" s="197"/>
      <c r="AG33" s="197"/>
      <c r="AH33" s="197"/>
      <c r="AI33" s="197"/>
      <c r="AJ33" s="197"/>
      <c r="AK33" s="197"/>
      <c r="AL33" s="197"/>
      <c r="AM33" s="198" t="str">
        <f aca="false">IF($A33="","",IF(OR($N33="Yes",$S33="Yes",$X33="Yes",$AC33="Yes",$AH33="Yes"),"Yes","No"))</f>
        <v>No</v>
      </c>
      <c r="AN33" s="198" t="str">
        <f aca="false">IF($A33="","",IFERROR(IF($AI33&lt;&gt;"",$AI33,IF($AD33&lt;&gt;"",$AD33,IF($Y33&lt;&gt;"",$Y33,IF($T33&lt;&gt;"",$T33,IF($O33&lt;&gt;"",$O33,""))))),""))</f>
        <v/>
      </c>
      <c r="AO33" s="198" t="str">
        <f aca="false">IFERROR(IF($AJ33&lt;&gt;"",$AJ33,IF($AE33&lt;&gt;"",$AE33,IF($Z33&lt;&gt;"",$Z33,IF($U33&lt;&gt;"",$U33,IF($P33&lt;&gt;"",$P33,""))))),"")</f>
        <v/>
      </c>
      <c r="AP33" s="199" t="s">
        <v>2159</v>
      </c>
    </row>
    <row r="34" customFormat="false" ht="60" hidden="false" customHeight="true" outlineLevel="0" collapsed="false">
      <c r="A34" s="194" t="str">
        <f aca="false">IF(C34="","",$C$2&amp;"."&amp;COUNTA($C$8:C34)&amp;"")</f>
        <v>TC_08.23</v>
      </c>
      <c r="B34" s="194" t="s">
        <v>508</v>
      </c>
      <c r="C34" s="194" t="s">
        <v>2066</v>
      </c>
      <c r="D34" s="194" t="s">
        <v>40</v>
      </c>
      <c r="E34" s="194" t="s">
        <v>156</v>
      </c>
      <c r="F34" s="195" t="s">
        <v>2160</v>
      </c>
      <c r="G34" s="195" t="s">
        <v>2161</v>
      </c>
      <c r="H34" s="195" t="s">
        <v>2162</v>
      </c>
      <c r="I34" s="195" t="s">
        <v>2163</v>
      </c>
      <c r="J34" s="194" t="s">
        <v>637</v>
      </c>
      <c r="K34" s="194" t="s">
        <v>241</v>
      </c>
      <c r="L34" s="194" t="s">
        <v>638</v>
      </c>
      <c r="M34" s="194"/>
      <c r="N34" s="196"/>
      <c r="O34" s="196"/>
      <c r="P34" s="196"/>
      <c r="Q34" s="196"/>
      <c r="R34" s="196"/>
      <c r="S34" s="196"/>
      <c r="T34" s="196"/>
      <c r="U34" s="196"/>
      <c r="V34" s="196"/>
      <c r="W34" s="196"/>
      <c r="X34" s="196"/>
      <c r="Y34" s="196"/>
      <c r="Z34" s="196"/>
      <c r="AA34" s="196"/>
      <c r="AB34" s="197"/>
      <c r="AC34" s="197"/>
      <c r="AD34" s="197"/>
      <c r="AE34" s="197"/>
      <c r="AF34" s="197"/>
      <c r="AG34" s="197"/>
      <c r="AH34" s="197"/>
      <c r="AI34" s="197"/>
      <c r="AJ34" s="197"/>
      <c r="AK34" s="197"/>
      <c r="AL34" s="197"/>
      <c r="AM34" s="198" t="str">
        <f aca="false">IF($A34="","",IF(OR($N34="Yes",$S34="Yes",$X34="Yes",$AC34="Yes",$AH34="Yes"),"Yes","No"))</f>
        <v>No</v>
      </c>
      <c r="AN34" s="198" t="str">
        <f aca="false">IF($A34="","",IFERROR(IF($AI34&lt;&gt;"",$AI34,IF($AD34&lt;&gt;"",$AD34,IF($Y34&lt;&gt;"",$Y34,IF($T34&lt;&gt;"",$T34,IF($O34&lt;&gt;"",$O34,""))))),""))</f>
        <v/>
      </c>
      <c r="AO34" s="198" t="str">
        <f aca="false">IFERROR(IF($AJ34&lt;&gt;"",$AJ34,IF($AE34&lt;&gt;"",$AE34,IF($Z34&lt;&gt;"",$Z34,IF($U34&lt;&gt;"",$U34,IF($P34&lt;&gt;"",$P34,""))))),"")</f>
        <v/>
      </c>
      <c r="AP34" s="199" t="s">
        <v>2164</v>
      </c>
    </row>
    <row r="35" customFormat="false" ht="60" hidden="false" customHeight="true" outlineLevel="0" collapsed="false">
      <c r="A35" s="194" t="str">
        <f aca="false">IF(C35="","",$C$2&amp;"."&amp;COUNTA($C$8:C35)&amp;"")</f>
        <v>TC_08.24</v>
      </c>
      <c r="B35" s="194" t="s">
        <v>508</v>
      </c>
      <c r="C35" s="194" t="s">
        <v>2066</v>
      </c>
      <c r="D35" s="194" t="s">
        <v>40</v>
      </c>
      <c r="E35" s="194" t="s">
        <v>156</v>
      </c>
      <c r="F35" s="195" t="s">
        <v>2165</v>
      </c>
      <c r="G35" s="195" t="s">
        <v>1874</v>
      </c>
      <c r="H35" s="195" t="s">
        <v>2166</v>
      </c>
      <c r="I35" s="195" t="s">
        <v>2158</v>
      </c>
      <c r="J35" s="194" t="s">
        <v>637</v>
      </c>
      <c r="K35" s="194" t="s">
        <v>241</v>
      </c>
      <c r="L35" s="194" t="s">
        <v>638</v>
      </c>
      <c r="M35" s="194"/>
      <c r="N35" s="196"/>
      <c r="O35" s="196"/>
      <c r="P35" s="196"/>
      <c r="Q35" s="196"/>
      <c r="R35" s="196"/>
      <c r="S35" s="196"/>
      <c r="T35" s="196"/>
      <c r="U35" s="196"/>
      <c r="V35" s="196"/>
      <c r="W35" s="196"/>
      <c r="X35" s="196"/>
      <c r="Y35" s="196"/>
      <c r="Z35" s="196"/>
      <c r="AA35" s="196"/>
      <c r="AB35" s="197"/>
      <c r="AC35" s="197"/>
      <c r="AD35" s="197"/>
      <c r="AE35" s="197"/>
      <c r="AF35" s="197"/>
      <c r="AG35" s="197"/>
      <c r="AH35" s="197"/>
      <c r="AI35" s="197"/>
      <c r="AJ35" s="197"/>
      <c r="AK35" s="197"/>
      <c r="AL35" s="197"/>
      <c r="AM35" s="198"/>
      <c r="AN35" s="198"/>
      <c r="AO35" s="198"/>
      <c r="AP35" s="199" t="s">
        <v>2167</v>
      </c>
    </row>
    <row r="36" customFormat="false" ht="19.5" hidden="false" customHeight="true" outlineLevel="0" collapsed="false">
      <c r="A36" s="194"/>
      <c r="B36" s="200" t="s">
        <v>2168</v>
      </c>
      <c r="C36" s="200"/>
      <c r="D36" s="200"/>
      <c r="E36" s="200"/>
      <c r="F36" s="200"/>
      <c r="G36" s="200"/>
      <c r="H36" s="200"/>
      <c r="I36" s="200"/>
      <c r="J36" s="194"/>
      <c r="K36" s="194"/>
      <c r="L36" s="194"/>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c r="AN36" s="198"/>
      <c r="AO36" s="198"/>
      <c r="AP36" s="199"/>
    </row>
    <row r="37" customFormat="false" ht="60" hidden="false" customHeight="true" outlineLevel="0" collapsed="false">
      <c r="A37" s="194" t="str">
        <f aca="false">IF(C37="","",$C$2&amp;"."&amp;COUNTA($C$8:C37)&amp;"")</f>
        <v>TC_08.25</v>
      </c>
      <c r="B37" s="194" t="s">
        <v>602</v>
      </c>
      <c r="C37" s="194" t="s">
        <v>2169</v>
      </c>
      <c r="D37" s="194" t="s">
        <v>40</v>
      </c>
      <c r="E37" s="194" t="s">
        <v>156</v>
      </c>
      <c r="F37" s="195" t="s">
        <v>2170</v>
      </c>
      <c r="G37" s="195" t="s">
        <v>2171</v>
      </c>
      <c r="H37" s="195" t="s">
        <v>2140</v>
      </c>
      <c r="I37" s="195" t="s">
        <v>2172</v>
      </c>
      <c r="J37" s="194" t="s">
        <v>637</v>
      </c>
      <c r="K37" s="194" t="s">
        <v>241</v>
      </c>
      <c r="L37" s="194" t="s">
        <v>638</v>
      </c>
      <c r="M37" s="194"/>
      <c r="N37" s="196"/>
      <c r="O37" s="196"/>
      <c r="P37" s="196"/>
      <c r="Q37" s="196"/>
      <c r="R37" s="196"/>
      <c r="S37" s="196"/>
      <c r="T37" s="196"/>
      <c r="U37" s="196"/>
      <c r="V37" s="196"/>
      <c r="W37" s="196"/>
      <c r="X37" s="196"/>
      <c r="Y37" s="196"/>
      <c r="Z37" s="196"/>
      <c r="AA37" s="196"/>
      <c r="AB37" s="197"/>
      <c r="AC37" s="197"/>
      <c r="AD37" s="197"/>
      <c r="AE37" s="197"/>
      <c r="AF37" s="197"/>
      <c r="AG37" s="197"/>
      <c r="AH37" s="197"/>
      <c r="AI37" s="197"/>
      <c r="AJ37" s="197"/>
      <c r="AK37" s="197"/>
      <c r="AL37" s="197"/>
      <c r="AM37" s="198" t="str">
        <f aca="false">IF($A36="","",IF(OR($N36="Yes",$S36="Yes",$X36="Yes",$AC36="Yes",$AH36="Yes"),"Yes","No"))</f>
        <v/>
      </c>
      <c r="AN37" s="198" t="str">
        <f aca="false">IF($A36="","",IFERROR(IF($AI36&lt;&gt;"",$AI36,IF($AD36&lt;&gt;"",$AD36,IF($Y36&lt;&gt;"",$Y36,IF($T36&lt;&gt;"",$T36,IF($O36&lt;&gt;"",$O36,""))))),""))</f>
        <v/>
      </c>
      <c r="AO37" s="198" t="str">
        <f aca="false">IFERROR(IF($AJ36&lt;&gt;"",$AJ36,IF($AE36&lt;&gt;"",$AE36,IF($Z36&lt;&gt;"",$Z36,IF($U36&lt;&gt;"",$U36,IF($P36&lt;&gt;"",$P36,""))))),"")</f>
        <v/>
      </c>
      <c r="AP37" s="199" t="s">
        <v>2173</v>
      </c>
    </row>
    <row r="38" customFormat="false" ht="60" hidden="false" customHeight="true" outlineLevel="0" collapsed="false">
      <c r="A38" s="194" t="str">
        <f aca="false">IF(C38="","",$C$2&amp;"."&amp;COUNTA($C$8:C38)&amp;"")</f>
        <v>TC_08.26</v>
      </c>
      <c r="B38" s="194" t="s">
        <v>602</v>
      </c>
      <c r="C38" s="194" t="s">
        <v>2169</v>
      </c>
      <c r="D38" s="194" t="s">
        <v>40</v>
      </c>
      <c r="E38" s="194" t="s">
        <v>157</v>
      </c>
      <c r="F38" s="195" t="s">
        <v>2174</v>
      </c>
      <c r="G38" s="195" t="s">
        <v>2175</v>
      </c>
      <c r="H38" s="195" t="s">
        <v>2176</v>
      </c>
      <c r="I38" s="195" t="s">
        <v>2177</v>
      </c>
      <c r="J38" s="194" t="s">
        <v>637</v>
      </c>
      <c r="K38" s="194" t="s">
        <v>241</v>
      </c>
      <c r="L38" s="194" t="s">
        <v>638</v>
      </c>
      <c r="M38" s="194"/>
      <c r="N38" s="196"/>
      <c r="O38" s="196"/>
      <c r="P38" s="196"/>
      <c r="Q38" s="196"/>
      <c r="R38" s="196"/>
      <c r="S38" s="196"/>
      <c r="T38" s="196"/>
      <c r="U38" s="196"/>
      <c r="V38" s="196"/>
      <c r="W38" s="196"/>
      <c r="X38" s="196"/>
      <c r="Y38" s="196"/>
      <c r="Z38" s="196"/>
      <c r="AA38" s="196"/>
      <c r="AB38" s="197"/>
      <c r="AC38" s="197"/>
      <c r="AD38" s="197"/>
      <c r="AE38" s="197"/>
      <c r="AF38" s="197"/>
      <c r="AG38" s="197"/>
      <c r="AH38" s="197"/>
      <c r="AI38" s="197"/>
      <c r="AJ38" s="197"/>
      <c r="AK38" s="197"/>
      <c r="AL38" s="197"/>
      <c r="AM38" s="198" t="str">
        <f aca="false">IF($A37="","",IF(OR($N37="Yes",$S37="Yes",$X37="Yes",$AC37="Yes",$AH37="Yes"),"Yes","No"))</f>
        <v>No</v>
      </c>
      <c r="AN38" s="198" t="str">
        <f aca="false">IF($A37="","",IFERROR(IF($AI37&lt;&gt;"",$AI37,IF($AD37&lt;&gt;"",$AD37,IF($Y37&lt;&gt;"",$Y37,IF($T37&lt;&gt;"",$T37,IF($O37&lt;&gt;"",$O37,""))))),""))</f>
        <v/>
      </c>
      <c r="AO38" s="198" t="str">
        <f aca="false">IFERROR(IF($AJ37&lt;&gt;"",$AJ37,IF($AE37&lt;&gt;"",$AE37,IF($Z37&lt;&gt;"",$Z37,IF($U37&lt;&gt;"",$U37,IF($P37&lt;&gt;"",$P37,""))))),"")</f>
        <v/>
      </c>
      <c r="AP38" s="199"/>
    </row>
    <row r="39" customFormat="false" ht="19.5" hidden="false" customHeight="true" outlineLevel="0" collapsed="false">
      <c r="A39" s="194"/>
      <c r="B39" s="200" t="s">
        <v>2178</v>
      </c>
      <c r="C39" s="200"/>
      <c r="D39" s="200"/>
      <c r="E39" s="200"/>
      <c r="F39" s="200"/>
      <c r="G39" s="200"/>
      <c r="H39" s="200"/>
      <c r="I39" s="200"/>
      <c r="J39" s="194"/>
      <c r="K39" s="194"/>
      <c r="L39" s="194"/>
      <c r="M39" s="194"/>
      <c r="N39" s="196"/>
      <c r="O39" s="196"/>
      <c r="P39" s="196"/>
      <c r="Q39" s="196"/>
      <c r="R39" s="196"/>
      <c r="S39" s="196"/>
      <c r="T39" s="196"/>
      <c r="U39" s="196"/>
      <c r="V39" s="196"/>
      <c r="W39" s="196"/>
      <c r="X39" s="196"/>
      <c r="Y39" s="196"/>
      <c r="Z39" s="196"/>
      <c r="AA39" s="196"/>
      <c r="AB39" s="197"/>
      <c r="AC39" s="197"/>
      <c r="AD39" s="197"/>
      <c r="AE39" s="197"/>
      <c r="AF39" s="197"/>
      <c r="AG39" s="197"/>
      <c r="AH39" s="197"/>
      <c r="AI39" s="197"/>
      <c r="AJ39" s="197"/>
      <c r="AK39" s="197"/>
      <c r="AL39" s="197"/>
      <c r="AM39" s="198"/>
      <c r="AN39" s="198"/>
      <c r="AO39" s="198"/>
      <c r="AP39" s="199"/>
    </row>
    <row r="40" customFormat="false" ht="60" hidden="false" customHeight="true" outlineLevel="0" collapsed="false">
      <c r="A40" s="194" t="str">
        <f aca="false">IF(C40="","",$C$2&amp;"."&amp;COUNTA($C$8:C40)&amp;"")</f>
        <v>TC_08.27</v>
      </c>
      <c r="B40" s="194" t="s">
        <v>605</v>
      </c>
      <c r="C40" s="194" t="s">
        <v>2179</v>
      </c>
      <c r="D40" s="194" t="s">
        <v>40</v>
      </c>
      <c r="E40" s="194" t="s">
        <v>156</v>
      </c>
      <c r="F40" s="195" t="s">
        <v>2180</v>
      </c>
      <c r="G40" s="195" t="s">
        <v>2181</v>
      </c>
      <c r="H40" s="195" t="s">
        <v>2182</v>
      </c>
      <c r="I40" s="195" t="s">
        <v>2183</v>
      </c>
      <c r="J40" s="194" t="s">
        <v>637</v>
      </c>
      <c r="K40" s="194" t="s">
        <v>241</v>
      </c>
      <c r="L40" s="194" t="s">
        <v>638</v>
      </c>
      <c r="M40" s="194"/>
      <c r="N40" s="196"/>
      <c r="O40" s="196"/>
      <c r="P40" s="196"/>
      <c r="Q40" s="196"/>
      <c r="R40" s="196"/>
      <c r="S40" s="196"/>
      <c r="T40" s="196"/>
      <c r="U40" s="196"/>
      <c r="V40" s="196"/>
      <c r="W40" s="196"/>
      <c r="X40" s="196"/>
      <c r="Y40" s="196"/>
      <c r="Z40" s="196"/>
      <c r="AA40" s="196"/>
      <c r="AB40" s="197"/>
      <c r="AC40" s="197"/>
      <c r="AD40" s="197"/>
      <c r="AE40" s="197"/>
      <c r="AF40" s="197"/>
      <c r="AG40" s="197"/>
      <c r="AH40" s="197"/>
      <c r="AI40" s="197"/>
      <c r="AJ40" s="197"/>
      <c r="AK40" s="197"/>
      <c r="AL40" s="197"/>
      <c r="AM40" s="198" t="str">
        <f aca="false">IF($A39="","",IF(OR($N39="Yes",$S39="Yes",$X39="Yes",$AC39="Yes",$AH39="Yes"),"Yes","No"))</f>
        <v/>
      </c>
      <c r="AN40" s="198" t="str">
        <f aca="false">IF($A39="","",IFERROR(IF($AI39&lt;&gt;"",$AI39,IF($AD39&lt;&gt;"",$AD39,IF($Y39&lt;&gt;"",$Y39,IF($T39&lt;&gt;"",$T39,IF($O39&lt;&gt;"",$O39,""))))),""))</f>
        <v/>
      </c>
      <c r="AO40" s="198" t="str">
        <f aca="false">IFERROR(IF($AJ39&lt;&gt;"",$AJ39,IF($AE39&lt;&gt;"",$AE39,IF($Z39&lt;&gt;"",$Z39,IF($U39&lt;&gt;"",$U39,IF($P39&lt;&gt;"",$P39,""))))),"")</f>
        <v/>
      </c>
      <c r="AP40" s="199" t="s">
        <v>2184</v>
      </c>
    </row>
    <row r="41" customFormat="false" ht="60" hidden="false" customHeight="true" outlineLevel="0" collapsed="false">
      <c r="A41" s="194" t="str">
        <f aca="false">IF(C41="","",$C$2&amp;"."&amp;COUNTA($C$8:C41)&amp;"")</f>
        <v>TC_08.28</v>
      </c>
      <c r="B41" s="194" t="s">
        <v>605</v>
      </c>
      <c r="C41" s="194" t="s">
        <v>2179</v>
      </c>
      <c r="D41" s="194" t="s">
        <v>40</v>
      </c>
      <c r="E41" s="194" t="s">
        <v>156</v>
      </c>
      <c r="F41" s="195" t="s">
        <v>2185</v>
      </c>
      <c r="G41" s="195" t="s">
        <v>2186</v>
      </c>
      <c r="H41" s="195" t="s">
        <v>2187</v>
      </c>
      <c r="I41" s="195" t="s">
        <v>2188</v>
      </c>
      <c r="J41" s="194" t="s">
        <v>637</v>
      </c>
      <c r="K41" s="194" t="s">
        <v>241</v>
      </c>
      <c r="L41" s="194" t="s">
        <v>638</v>
      </c>
      <c r="M41" s="194"/>
      <c r="N41" s="196"/>
      <c r="O41" s="196"/>
      <c r="P41" s="196"/>
      <c r="Q41" s="196"/>
      <c r="R41" s="196"/>
      <c r="S41" s="196"/>
      <c r="T41" s="196"/>
      <c r="U41" s="196"/>
      <c r="V41" s="196"/>
      <c r="W41" s="196"/>
      <c r="X41" s="196"/>
      <c r="Y41" s="196"/>
      <c r="Z41" s="196"/>
      <c r="AA41" s="196"/>
      <c r="AB41" s="197"/>
      <c r="AC41" s="197"/>
      <c r="AD41" s="197"/>
      <c r="AE41" s="197"/>
      <c r="AF41" s="197"/>
      <c r="AG41" s="197"/>
      <c r="AH41" s="197"/>
      <c r="AI41" s="197"/>
      <c r="AJ41" s="197"/>
      <c r="AK41" s="197"/>
      <c r="AL41" s="197"/>
      <c r="AM41" s="198" t="str">
        <f aca="false">IF($A40="","",IF(OR($N40="Yes",$S40="Yes",$X40="Yes",$AC40="Yes",$AH40="Yes"),"Yes","No"))</f>
        <v>No</v>
      </c>
      <c r="AN41" s="198" t="str">
        <f aca="false">IF($A40="","",IFERROR(IF($AI40&lt;&gt;"",$AI40,IF($AD40&lt;&gt;"",$AD40,IF($Y40&lt;&gt;"",$Y40,IF($T40&lt;&gt;"",$T40,IF($O40&lt;&gt;"",$O40,""))))),""))</f>
        <v/>
      </c>
      <c r="AO41" s="198" t="str">
        <f aca="false">IFERROR(IF($AJ40&lt;&gt;"",$AJ40,IF($AE40&lt;&gt;"",$AE40,IF($Z40&lt;&gt;"",$Z40,IF($U40&lt;&gt;"",$U40,IF($P40&lt;&gt;"",$P40,""))))),"")</f>
        <v/>
      </c>
      <c r="AP41" s="199" t="s">
        <v>2189</v>
      </c>
    </row>
    <row r="42" customFormat="false" ht="15" hidden="false" customHeight="true" outlineLevel="0" collapsed="false">
      <c r="A42" s="194"/>
      <c r="B42" s="194"/>
      <c r="C42" s="194"/>
      <c r="D42" s="194"/>
      <c r="E42" s="194"/>
      <c r="F42" s="195"/>
      <c r="G42" s="195"/>
      <c r="H42" s="195"/>
      <c r="I42" s="195"/>
      <c r="J42" s="194"/>
      <c r="K42" s="194"/>
      <c r="L42" s="194"/>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c r="AN42" s="198"/>
      <c r="AO42" s="198"/>
      <c r="AP42" s="199"/>
    </row>
    <row r="43" customFormat="false" ht="15" hidden="false" customHeight="true" outlineLevel="0" collapsed="false">
      <c r="A43" s="194"/>
      <c r="B43" s="194"/>
      <c r="C43" s="194"/>
      <c r="D43" s="194"/>
      <c r="E43" s="194"/>
      <c r="F43" s="195"/>
      <c r="G43" s="195"/>
      <c r="H43" s="195"/>
      <c r="I43" s="195"/>
      <c r="J43" s="194"/>
      <c r="K43" s="194"/>
      <c r="L43" s="194"/>
      <c r="M43" s="194"/>
      <c r="N43" s="196"/>
      <c r="O43" s="196"/>
      <c r="P43" s="196"/>
      <c r="Q43" s="196"/>
      <c r="R43" s="196"/>
      <c r="S43" s="196"/>
      <c r="T43" s="196"/>
      <c r="U43" s="196"/>
      <c r="V43" s="196"/>
      <c r="W43" s="196"/>
      <c r="X43" s="196"/>
      <c r="Y43" s="196"/>
      <c r="Z43" s="196"/>
      <c r="AA43" s="196"/>
      <c r="AB43" s="197"/>
      <c r="AC43" s="197"/>
      <c r="AD43" s="197"/>
      <c r="AE43" s="197"/>
      <c r="AF43" s="197"/>
      <c r="AG43" s="197"/>
      <c r="AH43" s="197"/>
      <c r="AI43" s="197"/>
      <c r="AJ43" s="197"/>
      <c r="AK43" s="197"/>
      <c r="AL43" s="197"/>
      <c r="AM43" s="198"/>
      <c r="AN43" s="198"/>
      <c r="AO43" s="198"/>
      <c r="AP43" s="199"/>
    </row>
    <row r="44" customFormat="false" ht="15" hidden="false" customHeight="true" outlineLevel="0" collapsed="false">
      <c r="A44" s="194"/>
      <c r="B44" s="194"/>
      <c r="C44" s="194"/>
      <c r="D44" s="194"/>
      <c r="E44" s="194"/>
      <c r="F44" s="195"/>
      <c r="G44" s="195"/>
      <c r="H44" s="195"/>
      <c r="I44" s="195"/>
      <c r="J44" s="194"/>
      <c r="K44" s="194"/>
      <c r="L44" s="194"/>
      <c r="M44" s="194"/>
      <c r="N44" s="196"/>
      <c r="O44" s="196"/>
      <c r="P44" s="196"/>
      <c r="Q44" s="196"/>
      <c r="R44" s="196"/>
      <c r="S44" s="196"/>
      <c r="T44" s="196"/>
      <c r="U44" s="196"/>
      <c r="V44" s="196"/>
      <c r="W44" s="196"/>
      <c r="X44" s="196"/>
      <c r="Y44" s="196"/>
      <c r="Z44" s="196"/>
      <c r="AA44" s="196"/>
      <c r="AB44" s="197"/>
      <c r="AC44" s="197"/>
      <c r="AD44" s="197"/>
      <c r="AE44" s="197"/>
      <c r="AF44" s="197"/>
      <c r="AG44" s="197"/>
      <c r="AH44" s="197"/>
      <c r="AI44" s="197"/>
      <c r="AJ44" s="197"/>
      <c r="AK44" s="197"/>
      <c r="AL44" s="197"/>
      <c r="AM44" s="198"/>
      <c r="AN44" s="198"/>
      <c r="AO44" s="198"/>
      <c r="AP44" s="199"/>
    </row>
    <row r="45" customFormat="false" ht="15" hidden="false" customHeight="true" outlineLevel="0" collapsed="false">
      <c r="A45" s="194"/>
      <c r="B45" s="194"/>
      <c r="C45" s="194"/>
      <c r="D45" s="194"/>
      <c r="E45" s="194"/>
      <c r="F45" s="195"/>
      <c r="G45" s="195"/>
      <c r="H45" s="195"/>
      <c r="I45" s="195"/>
      <c r="J45" s="194"/>
      <c r="K45" s="194"/>
      <c r="L45" s="194"/>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c r="AN45" s="198"/>
      <c r="AO45" s="198"/>
      <c r="AP45" s="199"/>
    </row>
    <row r="46" customFormat="false" ht="15" hidden="false" customHeight="true" outlineLevel="0" collapsed="false">
      <c r="A46" s="194"/>
      <c r="B46" s="194"/>
      <c r="C46" s="194"/>
      <c r="D46" s="194"/>
      <c r="E46" s="194"/>
      <c r="F46" s="195"/>
      <c r="G46" s="195"/>
      <c r="H46" s="195"/>
      <c r="I46" s="195"/>
      <c r="J46" s="194"/>
      <c r="K46" s="194"/>
      <c r="L46" s="194"/>
      <c r="M46" s="194"/>
      <c r="N46" s="196"/>
      <c r="O46" s="196"/>
      <c r="P46" s="196"/>
      <c r="Q46" s="196"/>
      <c r="R46" s="196"/>
      <c r="S46" s="196"/>
      <c r="T46" s="196"/>
      <c r="U46" s="196"/>
      <c r="V46" s="196"/>
      <c r="W46" s="196"/>
      <c r="X46" s="196"/>
      <c r="Y46" s="196"/>
      <c r="Z46" s="196"/>
      <c r="AA46" s="196"/>
      <c r="AB46" s="197"/>
      <c r="AC46" s="197"/>
      <c r="AD46" s="197"/>
      <c r="AE46" s="197"/>
      <c r="AF46" s="197"/>
      <c r="AG46" s="197"/>
      <c r="AH46" s="197"/>
      <c r="AI46" s="197"/>
      <c r="AJ46" s="197"/>
      <c r="AK46" s="197"/>
      <c r="AL46" s="197"/>
      <c r="AM46" s="198"/>
      <c r="AN46" s="198"/>
      <c r="AO46" s="198"/>
      <c r="AP46" s="199"/>
    </row>
    <row r="47" customFormat="false" ht="15" hidden="false" customHeight="true" outlineLevel="0" collapsed="false">
      <c r="A47" s="194"/>
      <c r="B47" s="194"/>
      <c r="C47" s="194"/>
      <c r="D47" s="194"/>
      <c r="E47" s="194"/>
      <c r="F47" s="195"/>
      <c r="G47" s="195"/>
      <c r="H47" s="195"/>
      <c r="I47" s="195"/>
      <c r="J47" s="194"/>
      <c r="K47" s="194"/>
      <c r="L47" s="194"/>
      <c r="M47" s="194"/>
      <c r="N47" s="196"/>
      <c r="O47" s="196"/>
      <c r="P47" s="196"/>
      <c r="Q47" s="196"/>
      <c r="R47" s="196"/>
      <c r="S47" s="196"/>
      <c r="T47" s="196"/>
      <c r="U47" s="196"/>
      <c r="V47" s="196"/>
      <c r="W47" s="196"/>
      <c r="X47" s="196"/>
      <c r="Y47" s="196"/>
      <c r="Z47" s="196"/>
      <c r="AA47" s="196"/>
      <c r="AB47" s="197"/>
      <c r="AC47" s="197"/>
      <c r="AD47" s="197"/>
      <c r="AE47" s="197"/>
      <c r="AF47" s="197"/>
      <c r="AG47" s="197"/>
      <c r="AH47" s="197"/>
      <c r="AI47" s="197"/>
      <c r="AJ47" s="197"/>
      <c r="AK47" s="197"/>
      <c r="AL47" s="197"/>
      <c r="AM47" s="198"/>
      <c r="AN47" s="198"/>
      <c r="AO47" s="198"/>
      <c r="AP47" s="199"/>
    </row>
    <row r="48" customFormat="false" ht="15" hidden="false" customHeight="true" outlineLevel="0" collapsed="false">
      <c r="A48" s="194"/>
      <c r="B48" s="194"/>
      <c r="C48" s="194"/>
      <c r="D48" s="194"/>
      <c r="E48" s="194"/>
      <c r="F48" s="195"/>
      <c r="G48" s="195"/>
      <c r="H48" s="195"/>
      <c r="I48" s="195"/>
      <c r="J48" s="194"/>
      <c r="K48" s="194"/>
      <c r="L48" s="194"/>
      <c r="M48" s="194"/>
      <c r="N48" s="196"/>
      <c r="O48" s="196"/>
      <c r="P48" s="196"/>
      <c r="Q48" s="196"/>
      <c r="R48" s="196"/>
      <c r="S48" s="196"/>
      <c r="T48" s="196"/>
      <c r="U48" s="196"/>
      <c r="V48" s="196"/>
      <c r="W48" s="196"/>
      <c r="X48" s="196"/>
      <c r="Y48" s="196"/>
      <c r="Z48" s="196"/>
      <c r="AA48" s="196"/>
      <c r="AB48" s="197"/>
      <c r="AC48" s="197"/>
      <c r="AD48" s="197"/>
      <c r="AE48" s="197"/>
      <c r="AF48" s="197"/>
      <c r="AG48" s="197"/>
      <c r="AH48" s="197"/>
      <c r="AI48" s="197"/>
      <c r="AJ48" s="197"/>
      <c r="AK48" s="197"/>
      <c r="AL48" s="197"/>
      <c r="AM48" s="198"/>
      <c r="AN48" s="198"/>
      <c r="AO48" s="198"/>
      <c r="AP48" s="199"/>
    </row>
    <row r="49" customFormat="false" ht="15" hidden="false" customHeight="true" outlineLevel="0" collapsed="false">
      <c r="A49" s="194"/>
      <c r="B49" s="194"/>
      <c r="C49" s="194"/>
      <c r="D49" s="194"/>
      <c r="E49" s="194"/>
      <c r="F49" s="195"/>
      <c r="G49" s="195"/>
      <c r="H49" s="195"/>
      <c r="I49" s="195"/>
      <c r="J49" s="194"/>
      <c r="K49" s="194"/>
      <c r="L49" s="194"/>
      <c r="M49" s="194"/>
      <c r="N49" s="196"/>
      <c r="O49" s="196"/>
      <c r="P49" s="196"/>
      <c r="Q49" s="196"/>
      <c r="R49" s="196"/>
      <c r="S49" s="196"/>
      <c r="T49" s="196"/>
      <c r="U49" s="196"/>
      <c r="V49" s="196"/>
      <c r="W49" s="196"/>
      <c r="X49" s="196"/>
      <c r="Y49" s="196"/>
      <c r="Z49" s="196"/>
      <c r="AA49" s="196"/>
      <c r="AB49" s="197"/>
      <c r="AC49" s="197"/>
      <c r="AD49" s="197"/>
      <c r="AE49" s="197"/>
      <c r="AF49" s="197"/>
      <c r="AG49" s="197"/>
      <c r="AH49" s="197"/>
      <c r="AI49" s="197"/>
      <c r="AJ49" s="197"/>
      <c r="AK49" s="197"/>
      <c r="AL49" s="197"/>
      <c r="AM49" s="198"/>
      <c r="AN49" s="198"/>
      <c r="AO49" s="198"/>
      <c r="AP49" s="199"/>
    </row>
    <row r="50" customFormat="false" ht="15" hidden="false" customHeight="true" outlineLevel="0" collapsed="false">
      <c r="A50" s="194"/>
      <c r="B50" s="194"/>
      <c r="C50" s="194"/>
      <c r="D50" s="194"/>
      <c r="E50" s="194"/>
      <c r="F50" s="195"/>
      <c r="G50" s="195"/>
      <c r="H50" s="195"/>
      <c r="I50" s="195"/>
      <c r="J50" s="194"/>
      <c r="K50" s="194"/>
      <c r="L50" s="194"/>
      <c r="M50" s="194"/>
      <c r="N50" s="196"/>
      <c r="O50" s="196"/>
      <c r="P50" s="196"/>
      <c r="Q50" s="196"/>
      <c r="R50" s="196"/>
      <c r="S50" s="196"/>
      <c r="T50" s="196"/>
      <c r="U50" s="196"/>
      <c r="V50" s="196"/>
      <c r="W50" s="196"/>
      <c r="X50" s="196"/>
      <c r="Y50" s="196"/>
      <c r="Z50" s="196"/>
      <c r="AA50" s="196"/>
      <c r="AB50" s="197"/>
      <c r="AC50" s="197"/>
      <c r="AD50" s="197"/>
      <c r="AE50" s="197"/>
      <c r="AF50" s="197"/>
      <c r="AG50" s="197"/>
      <c r="AH50" s="197"/>
      <c r="AI50" s="197"/>
      <c r="AJ50" s="197"/>
      <c r="AK50" s="197"/>
      <c r="AL50" s="197"/>
      <c r="AM50" s="198"/>
      <c r="AN50" s="198"/>
      <c r="AO50" s="198"/>
      <c r="AP50" s="199"/>
    </row>
    <row r="51" customFormat="false" ht="15" hidden="false" customHeight="true" outlineLevel="0" collapsed="false">
      <c r="A51" s="194"/>
      <c r="B51" s="194"/>
      <c r="C51" s="194"/>
      <c r="D51" s="194"/>
      <c r="E51" s="194"/>
      <c r="F51" s="195"/>
      <c r="G51" s="195"/>
      <c r="H51" s="195"/>
      <c r="I51" s="195"/>
      <c r="J51" s="194"/>
      <c r="K51" s="194"/>
      <c r="L51" s="194"/>
      <c r="M51" s="194"/>
      <c r="N51" s="196"/>
      <c r="O51" s="196"/>
      <c r="P51" s="196"/>
      <c r="Q51" s="196"/>
      <c r="R51" s="196"/>
      <c r="S51" s="196"/>
      <c r="T51" s="196"/>
      <c r="U51" s="196"/>
      <c r="V51" s="196"/>
      <c r="W51" s="196"/>
      <c r="X51" s="196"/>
      <c r="Y51" s="196"/>
      <c r="Z51" s="196"/>
      <c r="AA51" s="196"/>
      <c r="AB51" s="197"/>
      <c r="AC51" s="197"/>
      <c r="AD51" s="197"/>
      <c r="AE51" s="197"/>
      <c r="AF51" s="197"/>
      <c r="AG51" s="197"/>
      <c r="AH51" s="197"/>
      <c r="AI51" s="197"/>
      <c r="AJ51" s="197"/>
      <c r="AK51" s="197"/>
      <c r="AL51" s="197"/>
      <c r="AM51" s="198"/>
      <c r="AN51" s="198"/>
      <c r="AO51" s="198"/>
      <c r="AP51" s="199"/>
    </row>
    <row r="52" customFormat="false" ht="15" hidden="false" customHeight="true" outlineLevel="0" collapsed="false">
      <c r="A52" s="194"/>
      <c r="B52" s="194"/>
      <c r="C52" s="194"/>
      <c r="D52" s="194"/>
      <c r="E52" s="194"/>
      <c r="F52" s="195"/>
      <c r="G52" s="195"/>
      <c r="H52" s="195"/>
      <c r="I52" s="195"/>
      <c r="J52" s="194"/>
      <c r="K52" s="194"/>
      <c r="L52" s="194"/>
      <c r="M52" s="194"/>
      <c r="N52" s="196"/>
      <c r="O52" s="196"/>
      <c r="P52" s="196"/>
      <c r="Q52" s="196"/>
      <c r="R52" s="196"/>
      <c r="S52" s="196"/>
      <c r="T52" s="196"/>
      <c r="U52" s="196"/>
      <c r="V52" s="196"/>
      <c r="W52" s="196"/>
      <c r="X52" s="196"/>
      <c r="Y52" s="196"/>
      <c r="Z52" s="196"/>
      <c r="AA52" s="196"/>
      <c r="AB52" s="197"/>
      <c r="AC52" s="197"/>
      <c r="AD52" s="197"/>
      <c r="AE52" s="197"/>
      <c r="AF52" s="197"/>
      <c r="AG52" s="197"/>
      <c r="AH52" s="197"/>
      <c r="AI52" s="197"/>
      <c r="AJ52" s="197"/>
      <c r="AK52" s="197"/>
      <c r="AL52" s="197"/>
      <c r="AM52" s="198"/>
      <c r="AN52" s="198"/>
      <c r="AO52" s="198"/>
      <c r="AP52" s="199"/>
    </row>
    <row r="53" customFormat="false" ht="15" hidden="false" customHeight="true" outlineLevel="0" collapsed="false">
      <c r="A53" s="194"/>
      <c r="B53" s="194"/>
      <c r="C53" s="194"/>
      <c r="D53" s="194"/>
      <c r="E53" s="194"/>
      <c r="F53" s="195"/>
      <c r="G53" s="195"/>
      <c r="H53" s="195"/>
      <c r="I53" s="195"/>
      <c r="J53" s="194"/>
      <c r="K53" s="194"/>
      <c r="L53" s="194"/>
      <c r="M53" s="194"/>
      <c r="N53" s="196"/>
      <c r="O53" s="196"/>
      <c r="P53" s="196"/>
      <c r="Q53" s="196"/>
      <c r="R53" s="196"/>
      <c r="S53" s="196"/>
      <c r="T53" s="196"/>
      <c r="U53" s="196"/>
      <c r="V53" s="196"/>
      <c r="W53" s="196"/>
      <c r="X53" s="196"/>
      <c r="Y53" s="196"/>
      <c r="Z53" s="196"/>
      <c r="AA53" s="196"/>
      <c r="AB53" s="197"/>
      <c r="AC53" s="197"/>
      <c r="AD53" s="197"/>
      <c r="AE53" s="197"/>
      <c r="AF53" s="197"/>
      <c r="AG53" s="197"/>
      <c r="AH53" s="197"/>
      <c r="AI53" s="197"/>
      <c r="AJ53" s="197"/>
      <c r="AK53" s="197"/>
      <c r="AL53" s="197"/>
      <c r="AM53" s="198"/>
      <c r="AN53" s="198"/>
      <c r="AO53" s="198"/>
      <c r="AP53" s="199"/>
    </row>
    <row r="54" customFormat="false" ht="15" hidden="false" customHeight="true" outlineLevel="0" collapsed="false">
      <c r="A54" s="194"/>
      <c r="B54" s="194"/>
      <c r="C54" s="194"/>
      <c r="D54" s="194"/>
      <c r="E54" s="194"/>
      <c r="F54" s="195"/>
      <c r="G54" s="195"/>
      <c r="H54" s="195"/>
      <c r="I54" s="195"/>
      <c r="J54" s="194"/>
      <c r="K54" s="194"/>
      <c r="L54" s="194"/>
      <c r="M54" s="194"/>
      <c r="N54" s="196"/>
      <c r="O54" s="196"/>
      <c r="P54" s="196"/>
      <c r="Q54" s="196"/>
      <c r="R54" s="196"/>
      <c r="S54" s="196"/>
      <c r="T54" s="196"/>
      <c r="U54" s="196"/>
      <c r="V54" s="196"/>
      <c r="W54" s="196"/>
      <c r="X54" s="196"/>
      <c r="Y54" s="196"/>
      <c r="Z54" s="196"/>
      <c r="AA54" s="196"/>
      <c r="AB54" s="197"/>
      <c r="AC54" s="197"/>
      <c r="AD54" s="197"/>
      <c r="AE54" s="197"/>
      <c r="AF54" s="197"/>
      <c r="AG54" s="197"/>
      <c r="AH54" s="197"/>
      <c r="AI54" s="197"/>
      <c r="AJ54" s="197"/>
      <c r="AK54" s="197"/>
      <c r="AL54" s="197"/>
      <c r="AM54" s="198"/>
      <c r="AN54" s="198"/>
      <c r="AO54" s="198"/>
      <c r="AP54" s="199"/>
    </row>
    <row r="55" customFormat="false" ht="15" hidden="false" customHeight="true" outlineLevel="0" collapsed="false">
      <c r="A55" s="194"/>
      <c r="B55" s="194"/>
      <c r="C55" s="194"/>
      <c r="D55" s="194"/>
      <c r="E55" s="194"/>
      <c r="F55" s="195"/>
      <c r="G55" s="195"/>
      <c r="H55" s="195"/>
      <c r="I55" s="195"/>
      <c r="J55" s="194"/>
      <c r="K55" s="194"/>
      <c r="L55" s="194"/>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c r="AN55" s="198"/>
      <c r="AO55" s="198"/>
      <c r="AP55" s="199"/>
    </row>
    <row r="56" customFormat="false" ht="15" hidden="false" customHeight="true" outlineLevel="0" collapsed="false">
      <c r="A56" s="194"/>
      <c r="B56" s="194"/>
      <c r="C56" s="194"/>
      <c r="D56" s="194"/>
      <c r="E56" s="194"/>
      <c r="F56" s="195"/>
      <c r="G56" s="195"/>
      <c r="H56" s="195"/>
      <c r="I56" s="195"/>
      <c r="J56" s="194"/>
      <c r="K56" s="194"/>
      <c r="L56" s="194"/>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c r="AN56" s="198"/>
      <c r="AO56" s="198"/>
      <c r="AP56" s="199"/>
    </row>
    <row r="57" customFormat="false" ht="15" hidden="false" customHeight="true" outlineLevel="0" collapsed="false">
      <c r="A57" s="194"/>
      <c r="B57" s="194"/>
      <c r="C57" s="194"/>
      <c r="D57" s="194"/>
      <c r="E57" s="194"/>
      <c r="F57" s="195"/>
      <c r="G57" s="195"/>
      <c r="H57" s="195"/>
      <c r="I57" s="195"/>
      <c r="J57" s="194"/>
      <c r="K57" s="194"/>
      <c r="L57" s="194"/>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c r="AN57" s="198"/>
      <c r="AO57" s="198"/>
      <c r="AP57" s="199"/>
    </row>
    <row r="58" customFormat="false" ht="15" hidden="false" customHeight="true" outlineLevel="0" collapsed="false">
      <c r="A58" s="194"/>
      <c r="B58" s="194"/>
      <c r="C58" s="194"/>
      <c r="D58" s="194"/>
      <c r="E58" s="194"/>
      <c r="F58" s="194"/>
      <c r="G58" s="194"/>
      <c r="H58" s="194"/>
      <c r="I58" s="194"/>
      <c r="J58" s="194"/>
      <c r="K58" s="194"/>
      <c r="L58" s="194"/>
      <c r="M58" s="194"/>
      <c r="N58" s="194"/>
      <c r="O58" s="194"/>
      <c r="P58" s="194"/>
      <c r="Q58" s="194"/>
      <c r="R58" s="201"/>
      <c r="S58" s="201"/>
      <c r="T58" s="201"/>
      <c r="U58" s="201"/>
      <c r="V58" s="201"/>
      <c r="W58" s="201"/>
      <c r="X58" s="201"/>
      <c r="Y58" s="201"/>
      <c r="Z58" s="201"/>
      <c r="AA58" s="201"/>
      <c r="AM58" s="202"/>
      <c r="AN58" s="202"/>
    </row>
    <row r="59" customFormat="false" ht="15" hidden="false" customHeight="true" outlineLevel="0" collapsed="false">
      <c r="A59" s="194"/>
      <c r="B59" s="194"/>
      <c r="C59" s="194"/>
      <c r="D59" s="194"/>
      <c r="E59" s="194"/>
      <c r="F59" s="194"/>
      <c r="G59" s="194"/>
      <c r="H59" s="194"/>
      <c r="I59" s="194"/>
      <c r="J59" s="194"/>
      <c r="K59" s="194"/>
      <c r="L59" s="194"/>
      <c r="M59" s="194"/>
      <c r="N59" s="194"/>
      <c r="O59" s="194"/>
      <c r="P59" s="194"/>
      <c r="Q59" s="194"/>
      <c r="R59" s="201"/>
      <c r="S59" s="201"/>
      <c r="T59" s="201"/>
      <c r="U59" s="201"/>
      <c r="V59" s="201"/>
      <c r="W59" s="201"/>
      <c r="X59" s="201"/>
      <c r="Y59" s="201"/>
      <c r="Z59" s="201"/>
      <c r="AA59" s="201"/>
      <c r="AM59" s="202"/>
      <c r="AN59" s="202"/>
    </row>
    <row r="60" customFormat="false" ht="15" hidden="false" customHeight="true" outlineLevel="0" collapsed="false">
      <c r="A60" s="194"/>
      <c r="B60" s="194"/>
      <c r="C60" s="194"/>
      <c r="D60" s="194"/>
      <c r="E60" s="194"/>
      <c r="F60" s="194"/>
      <c r="G60" s="194"/>
      <c r="H60" s="194"/>
      <c r="I60" s="194"/>
      <c r="J60" s="194"/>
      <c r="K60" s="194"/>
      <c r="L60" s="194"/>
      <c r="M60" s="194"/>
      <c r="N60" s="194"/>
      <c r="O60" s="194"/>
      <c r="P60" s="194"/>
      <c r="Q60" s="194"/>
      <c r="R60" s="201"/>
      <c r="S60" s="201"/>
      <c r="T60" s="201"/>
      <c r="U60" s="201"/>
      <c r="V60" s="201"/>
      <c r="W60" s="201"/>
      <c r="X60" s="201"/>
      <c r="Y60" s="201"/>
      <c r="Z60" s="201"/>
      <c r="AA60" s="201"/>
      <c r="AM60" s="202"/>
      <c r="AN60" s="202"/>
    </row>
    <row r="61" customFormat="false" ht="15" hidden="false" customHeight="true" outlineLevel="0" collapsed="false">
      <c r="A61" s="194"/>
      <c r="B61" s="194"/>
      <c r="C61" s="194"/>
      <c r="D61" s="194"/>
      <c r="E61" s="194"/>
      <c r="F61" s="194"/>
      <c r="G61" s="194"/>
      <c r="H61" s="194"/>
      <c r="I61" s="194"/>
      <c r="J61" s="194"/>
      <c r="K61" s="194"/>
      <c r="L61" s="194"/>
      <c r="M61" s="194"/>
      <c r="N61" s="194"/>
      <c r="O61" s="194"/>
      <c r="P61" s="194"/>
      <c r="Q61" s="194"/>
      <c r="R61" s="201"/>
      <c r="S61" s="201"/>
      <c r="T61" s="201"/>
      <c r="U61" s="201"/>
      <c r="V61" s="201"/>
      <c r="W61" s="201"/>
      <c r="X61" s="201"/>
      <c r="Y61" s="201"/>
      <c r="Z61" s="201"/>
      <c r="AA61" s="201"/>
      <c r="AM61" s="202"/>
      <c r="AN61" s="202"/>
    </row>
    <row r="62" customFormat="false" ht="15" hidden="false" customHeight="true" outlineLevel="0" collapsed="false">
      <c r="A62" s="194"/>
      <c r="B62" s="194"/>
      <c r="C62" s="194"/>
      <c r="D62" s="194"/>
      <c r="E62" s="194"/>
      <c r="F62" s="194"/>
      <c r="G62" s="194"/>
      <c r="H62" s="194"/>
      <c r="I62" s="194"/>
      <c r="J62" s="194"/>
      <c r="K62" s="194"/>
      <c r="L62" s="194"/>
      <c r="M62" s="194"/>
      <c r="N62" s="194"/>
      <c r="O62" s="194"/>
      <c r="P62" s="194"/>
      <c r="Q62" s="194"/>
      <c r="R62" s="201"/>
      <c r="S62" s="201"/>
      <c r="T62" s="201"/>
      <c r="U62" s="201"/>
      <c r="V62" s="201"/>
      <c r="W62" s="201"/>
      <c r="X62" s="201"/>
      <c r="Y62" s="201"/>
      <c r="Z62" s="201"/>
      <c r="AA62" s="201"/>
      <c r="AM62" s="202"/>
      <c r="AN62" s="202"/>
    </row>
    <row r="63" customFormat="false" ht="15" hidden="false" customHeight="true" outlineLevel="0" collapsed="false">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Q63" s="1"/>
    </row>
    <row r="64" customFormat="false" ht="15" hidden="false" customHeight="true" outlineLevel="0" collapsed="false">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Q64" s="1"/>
    </row>
    <row r="65" customFormat="false" ht="15" hidden="false" customHeight="true" outlineLevel="0" collapsed="false">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Q65" s="1"/>
    </row>
    <row r="66" customFormat="false" ht="15" hidden="false" customHeight="true" outlineLevel="0" collapsed="false">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Q66" s="1"/>
    </row>
    <row r="67" customFormat="false" ht="15" hidden="false" customHeight="true" outlineLevel="0" collapsed="false">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Q67" s="1"/>
    </row>
    <row r="68" customFormat="false" ht="15" hidden="false" customHeight="true" outlineLevel="0" collapsed="false">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Q68" s="1"/>
    </row>
    <row r="69" customFormat="false" ht="15" hidden="false" customHeight="true" outlineLevel="0" collapsed="false">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Q69" s="1"/>
    </row>
    <row r="70" customFormat="false" ht="15" hidden="false" customHeight="true" outlineLevel="0" collapsed="false">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Q70" s="1"/>
    </row>
    <row r="71" customFormat="false" ht="15" hidden="false" customHeight="true" outlineLevel="0" collapsed="false">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Q71" s="1"/>
    </row>
    <row r="72" customFormat="false" ht="15" hidden="false" customHeight="true" outlineLevel="0" collapsed="false">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Q72" s="1"/>
    </row>
    <row r="73" customFormat="false" ht="15" hidden="false" customHeight="true" outlineLevel="0" collapsed="false">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Q73" s="1"/>
    </row>
    <row r="74" customFormat="false" ht="15" hidden="false" customHeight="true" outlineLevel="0" collapsed="false">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Q74" s="1"/>
    </row>
    <row r="75" customFormat="false" ht="15" hidden="false" customHeight="true" outlineLevel="0" collapsed="false">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Q75" s="1"/>
    </row>
    <row r="76" customFormat="false" ht="15" hidden="false" customHeight="true" outlineLevel="0" collapsed="false">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Q76" s="1"/>
    </row>
    <row r="77" customFormat="false" ht="15" hidden="false" customHeight="true" outlineLevel="0" collapsed="false">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Q77" s="1"/>
    </row>
    <row r="78" customFormat="false" ht="15" hidden="false" customHeight="true" outlineLevel="0" collapsed="false">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Q78" s="1"/>
    </row>
    <row r="79" customFormat="false" ht="15" hidden="false" customHeight="true" outlineLevel="0" collapsed="false">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Q79" s="1"/>
    </row>
    <row r="80" customFormat="false" ht="15" hidden="false" customHeight="true" outlineLevel="0" collapsed="false">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Q80" s="1"/>
    </row>
    <row r="81" customFormat="false" ht="15" hidden="false" customHeight="true" outlineLevel="0" collapsed="false">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Q81" s="1"/>
    </row>
    <row r="82" customFormat="false" ht="15" hidden="false" customHeight="true" outlineLevel="0" collapsed="false">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Q82" s="1"/>
    </row>
    <row r="83" customFormat="false" ht="15" hidden="false" customHeight="true" outlineLevel="0" collapsed="false">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Q83" s="1"/>
    </row>
    <row r="84" customFormat="false" ht="15" hidden="false" customHeight="true" outlineLevel="0" collapsed="false">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Q84" s="1"/>
    </row>
    <row r="85" customFormat="false" ht="15" hidden="false" customHeight="true" outlineLevel="0" collapsed="false">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Q85" s="1"/>
    </row>
    <row r="86" customFormat="false" ht="15" hidden="false" customHeight="true" outlineLevel="0" collapsed="false">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Q86" s="1"/>
    </row>
    <row r="87" customFormat="false" ht="15" hidden="false" customHeight="true" outlineLevel="0" collapsed="false">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Q87" s="1"/>
    </row>
    <row r="88" customFormat="false" ht="15" hidden="false" customHeight="true" outlineLevel="0" collapsed="false">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Q88" s="1"/>
    </row>
    <row r="89" customFormat="false" ht="15" hidden="false" customHeight="true" outlineLevel="0" collapsed="false">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Q89" s="1"/>
    </row>
    <row r="90" customFormat="false" ht="15" hidden="false" customHeight="true" outlineLevel="0" collapsed="false">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Q90" s="1"/>
    </row>
    <row r="91" customFormat="false" ht="15" hidden="false" customHeight="true" outlineLevel="0" collapsed="false">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Q91" s="1"/>
    </row>
    <row r="92" customFormat="false" ht="15" hidden="false" customHeight="true" outlineLevel="0" collapsed="false">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Q92" s="1"/>
    </row>
    <row r="93" customFormat="false" ht="15" hidden="false" customHeight="true" outlineLevel="0" collapsed="false">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Q93" s="1"/>
    </row>
    <row r="94" customFormat="false" ht="15" hidden="false" customHeight="true" outlineLevel="0" collapsed="false">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Q94" s="1"/>
    </row>
    <row r="95" customFormat="false" ht="15" hidden="false" customHeight="true" outlineLevel="0" collapsed="false">
      <c r="AQ95" s="1"/>
    </row>
    <row r="96" customFormat="false" ht="15" hidden="false" customHeight="true" outlineLevel="0" collapsed="false">
      <c r="AQ96" s="1"/>
    </row>
    <row r="97" customFormat="false" ht="15" hidden="false" customHeight="true" outlineLevel="0" collapsed="false">
      <c r="AQ97" s="1"/>
    </row>
    <row r="98" customFormat="false" ht="15" hidden="false" customHeight="true" outlineLevel="0" collapsed="false">
      <c r="AQ98" s="1"/>
    </row>
    <row r="99" customFormat="false" ht="15" hidden="false" customHeight="true" outlineLevel="0" collapsed="false">
      <c r="AQ99" s="1"/>
    </row>
    <row r="100" customFormat="false" ht="15" hidden="false" customHeight="true" outlineLevel="0" collapsed="false">
      <c r="AQ100" s="1"/>
    </row>
    <row r="101" customFormat="false" ht="15" hidden="false" customHeight="true" outlineLevel="0" collapsed="false">
      <c r="AQ101" s="1"/>
    </row>
    <row r="102" customFormat="false" ht="15" hidden="false" customHeight="true" outlineLevel="0" collapsed="false">
      <c r="AQ102" s="1"/>
    </row>
    <row r="103" customFormat="false" ht="15" hidden="false" customHeight="true" outlineLevel="0" collapsed="false">
      <c r="AQ103" s="1"/>
    </row>
    <row r="104" customFormat="false" ht="15" hidden="false" customHeight="true" outlineLevel="0" collapsed="false">
      <c r="AQ104" s="1"/>
    </row>
    <row r="105" customFormat="false" ht="15" hidden="false" customHeight="true" outlineLevel="0" collapsed="false">
      <c r="AQ105" s="1"/>
    </row>
    <row r="106" customFormat="false" ht="15" hidden="false" customHeight="true" outlineLevel="0" collapsed="false">
      <c r="AQ106" s="1"/>
    </row>
    <row r="107" customFormat="false" ht="15" hidden="false" customHeight="true" outlineLevel="0" collapsed="false">
      <c r="AQ107" s="1"/>
    </row>
    <row r="108" customFormat="false" ht="15" hidden="false" customHeight="true" outlineLevel="0" collapsed="false">
      <c r="AQ108" s="1"/>
    </row>
    <row r="109" customFormat="false" ht="15" hidden="false" customHeight="true" outlineLevel="0" collapsed="false">
      <c r="AQ109" s="1"/>
    </row>
    <row r="110" customFormat="false" ht="15" hidden="false" customHeight="true" outlineLevel="0" collapsed="false">
      <c r="AQ110" s="1"/>
    </row>
    <row r="111" customFormat="false" ht="15" hidden="false" customHeight="true" outlineLevel="0" collapsed="false">
      <c r="AQ111" s="1"/>
    </row>
    <row r="112" customFormat="false" ht="15" hidden="false" customHeight="true" outlineLevel="0" collapsed="false">
      <c r="AQ112" s="1"/>
    </row>
    <row r="113" customFormat="false" ht="15" hidden="false" customHeight="true" outlineLevel="0" collapsed="false">
      <c r="AQ113" s="1"/>
    </row>
    <row r="114" customFormat="false" ht="15" hidden="false" customHeight="true" outlineLevel="0" collapsed="false">
      <c r="AQ114" s="1"/>
    </row>
    <row r="115" customFormat="false" ht="15" hidden="false" customHeight="true" outlineLevel="0" collapsed="false">
      <c r="AQ115" s="1"/>
    </row>
    <row r="116" customFormat="false" ht="15" hidden="false" customHeight="true" outlineLevel="0" collapsed="false">
      <c r="AQ116" s="1"/>
    </row>
    <row r="117" customFormat="false" ht="15" hidden="false" customHeight="true" outlineLevel="0" collapsed="false">
      <c r="AQ117" s="1"/>
    </row>
    <row r="118" customFormat="false" ht="15" hidden="false" customHeight="true" outlineLevel="0" collapsed="false">
      <c r="AQ118" s="1"/>
    </row>
    <row r="119" customFormat="false" ht="15" hidden="false" customHeight="true" outlineLevel="0" collapsed="false">
      <c r="AQ119" s="1"/>
    </row>
    <row r="120" customFormat="false" ht="15" hidden="false" customHeight="true" outlineLevel="0" collapsed="false">
      <c r="AQ120" s="1"/>
    </row>
    <row r="121" customFormat="false" ht="15" hidden="false" customHeight="true" outlineLevel="0" collapsed="false">
      <c r="AQ121" s="1"/>
    </row>
    <row r="122" customFormat="false" ht="15" hidden="false" customHeight="true" outlineLevel="0" collapsed="false">
      <c r="AQ122" s="1"/>
    </row>
    <row r="123" customFormat="false" ht="15" hidden="false" customHeight="true" outlineLevel="0" collapsed="false">
      <c r="AQ123" s="1"/>
    </row>
    <row r="124" customFormat="false" ht="15" hidden="false" customHeight="true" outlineLevel="0" collapsed="false">
      <c r="AQ124" s="1"/>
    </row>
    <row r="125" customFormat="false" ht="15" hidden="false" customHeight="true" outlineLevel="0" collapsed="false">
      <c r="AQ125" s="1"/>
    </row>
    <row r="126" customFormat="false" ht="15" hidden="false" customHeight="true" outlineLevel="0" collapsed="false">
      <c r="AQ126" s="1"/>
    </row>
    <row r="127" customFormat="false" ht="15" hidden="false" customHeight="true" outlineLevel="0" collapsed="false">
      <c r="AQ127" s="1"/>
    </row>
    <row r="128" customFormat="false" ht="15" hidden="false" customHeight="true" outlineLevel="0" collapsed="false">
      <c r="AQ128" s="1"/>
    </row>
    <row r="129" customFormat="false" ht="15" hidden="false" customHeight="true" outlineLevel="0" collapsed="false">
      <c r="AQ129" s="1"/>
    </row>
    <row r="130" customFormat="false" ht="15" hidden="false" customHeight="true" outlineLevel="0" collapsed="false">
      <c r="AQ130" s="1"/>
    </row>
    <row r="131" customFormat="false" ht="15" hidden="false" customHeight="true" outlineLevel="0" collapsed="false">
      <c r="AQ131" s="1"/>
    </row>
    <row r="132" customFormat="false" ht="15" hidden="false" customHeight="true" outlineLevel="0" collapsed="false">
      <c r="AQ132" s="1"/>
    </row>
    <row r="133" customFormat="false" ht="15" hidden="false" customHeight="true" outlineLevel="0" collapsed="false">
      <c r="AQ133" s="1"/>
    </row>
    <row r="134" customFormat="false" ht="15" hidden="false" customHeight="true" outlineLevel="0" collapsed="false">
      <c r="AQ134" s="1"/>
    </row>
    <row r="135" customFormat="false" ht="15" hidden="false" customHeight="true" outlineLevel="0" collapsed="false">
      <c r="AQ135" s="1"/>
    </row>
    <row r="136" customFormat="false" ht="15" hidden="false" customHeight="true" outlineLevel="0" collapsed="false">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217" customFormat="false" ht="15" hidden="false" customHeight="true" outlineLevel="0" collapsed="false">
      <c r="AQ217" s="1"/>
    </row>
    <row r="218" customFormat="false" ht="15" hidden="false" customHeight="true" outlineLevel="0" collapsed="false">
      <c r="AQ218" s="1"/>
    </row>
    <row r="219" customFormat="false" ht="15" hidden="false" customHeight="true" outlineLevel="0" collapsed="false">
      <c r="AQ219" s="1"/>
    </row>
    <row r="220" customFormat="false" ht="15" hidden="false" customHeight="true" outlineLevel="0" collapsed="false">
      <c r="AQ220" s="1"/>
    </row>
    <row r="221" customFormat="false" ht="15" hidden="false" customHeight="true" outlineLevel="0" collapsed="false">
      <c r="AQ221" s="1"/>
    </row>
    <row r="222" customFormat="false" ht="15" hidden="false" customHeight="true" outlineLevel="0" collapsed="false">
      <c r="AQ222"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26">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8:I8"/>
    <mergeCell ref="B15:I15"/>
    <mergeCell ref="B19:I19"/>
    <mergeCell ref="B27:I27"/>
    <mergeCell ref="B36:I36"/>
    <mergeCell ref="B39:I39"/>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4.43359375" defaultRowHeight="15" customHeight="true" zeroHeight="false" outlineLevelRow="0" outlineLevelCol="0"/>
  <cols>
    <col collapsed="false" customWidth="true" hidden="false" outlineLevel="0" max="1" min="1" style="1" width="17.95"/>
    <col collapsed="false" customWidth="true" hidden="false" outlineLevel="0" max="2" min="2"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9"/>
    <col collapsed="false" customWidth="true" hidden="false" outlineLevel="0" max="20" min="20" style="1" width="10"/>
    <col collapsed="false" customWidth="true" hidden="false" outlineLevel="0" max="21" min="21" style="1" width="9"/>
    <col collapsed="false" customWidth="true" hidden="false" outlineLevel="0" max="22" min="22" style="1" width="13"/>
    <col collapsed="false" customWidth="true" hidden="false" outlineLevel="0" max="23" min="23" style="1" width="11"/>
    <col collapsed="false" customWidth="true" hidden="false" outlineLevel="0" max="24" min="24" style="1" width="9"/>
    <col collapsed="false" customWidth="true" hidden="false" outlineLevel="0" max="25" min="25" style="1" width="10"/>
    <col collapsed="false" customWidth="true" hidden="false" outlineLevel="0" max="26" min="26" style="1" width="9"/>
    <col collapsed="false" customWidth="true" hidden="false" outlineLevel="0" max="27" min="27" style="1" width="13"/>
    <col collapsed="false" customWidth="true" hidden="false" outlineLevel="0" max="28" min="28" style="1" width="11"/>
    <col collapsed="false" customWidth="true" hidden="false" outlineLevel="0" max="29" min="29" style="1" width="9"/>
    <col collapsed="false" customWidth="true" hidden="false" outlineLevel="0" max="30" min="30" style="1" width="10"/>
    <col collapsed="false" customWidth="true" hidden="false" outlineLevel="0" max="31" min="31" style="1" width="9"/>
    <col collapsed="false" customWidth="true" hidden="false" outlineLevel="0" max="32" min="32" style="1" width="13"/>
    <col collapsed="false" customWidth="true" hidden="false" outlineLevel="0" max="33" min="33" style="1" width="11"/>
    <col collapsed="false" customWidth="true" hidden="false" outlineLevel="0" max="34" min="34" style="1" width="9"/>
    <col collapsed="false" customWidth="true" hidden="false" outlineLevel="0" max="35" min="35" style="1" width="10"/>
    <col collapsed="false" customWidth="true" hidden="false" outlineLevel="0" max="36" min="36" style="1" width="9"/>
    <col collapsed="false" customWidth="true" hidden="false" outlineLevel="0" max="37" min="37" style="1" width="13"/>
    <col collapsed="false" customWidth="true" hidden="false" outlineLevel="0" max="38" min="38" style="1" width="11"/>
    <col collapsed="false" customWidth="true" hidden="false" outlineLevel="0" max="39" min="39" style="1" width="12"/>
    <col collapsed="false" customWidth="true" hidden="false" outlineLevel="0" max="40" min="40" style="1" width="14"/>
    <col collapsed="false" customWidth="true" hidden="false" outlineLevel="0" max="41" min="41" style="1" width="11"/>
    <col collapsed="false" customWidth="true" hidden="false" outlineLevel="0" max="42" min="42" style="1" width="24"/>
  </cols>
  <sheetData>
    <row r="1" customFormat="false" ht="15" hidden="false" customHeight="true" outlineLevel="0" collapsed="false">
      <c r="A1" s="174"/>
    </row>
    <row r="2" customFormat="false" ht="15" hidden="false" customHeight="true" outlineLevel="0" collapsed="false">
      <c r="A2" s="182" t="s">
        <v>609</v>
      </c>
      <c r="B2" s="182"/>
      <c r="C2" s="183" t="s">
        <v>212</v>
      </c>
      <c r="D2" s="183"/>
      <c r="E2" s="183"/>
    </row>
    <row r="3" customFormat="false" ht="15" hidden="false" customHeight="true" outlineLevel="0" collapsed="false">
      <c r="A3" s="182" t="s">
        <v>610</v>
      </c>
      <c r="B3" s="182"/>
      <c r="C3" s="183" t="s">
        <v>213</v>
      </c>
      <c r="D3" s="183"/>
      <c r="E3" s="183"/>
      <c r="G3" s="182" t="s">
        <v>79</v>
      </c>
      <c r="H3" s="182"/>
      <c r="I3" s="39" t="str">
        <f aca="false">Summary!$C$8</f>
        <v>v1.0</v>
      </c>
      <c r="J3" s="39"/>
    </row>
    <row r="4" customFormat="false" ht="15" hidden="false" customHeight="true" outlineLevel="0" collapsed="false">
      <c r="A4" s="182" t="s">
        <v>143</v>
      </c>
      <c r="B4" s="182"/>
      <c r="C4" s="39" t="str">
        <f aca="false">TEXT(Summary!$C$10,"DD/MM/YYYY")&amp;"  →  "&amp;TEXT(Summary!$C$11,"DD/MM/YYYY")</f>
        <v>28/07/2026  →  28/07/2026</v>
      </c>
      <c r="D4" s="39"/>
      <c r="E4" s="39"/>
      <c r="G4" s="182" t="s">
        <v>102</v>
      </c>
      <c r="H4" s="182"/>
      <c r="I4" s="39" t="s">
        <v>399</v>
      </c>
      <c r="J4" s="39"/>
    </row>
    <row r="5" customFormat="false" ht="15" hidden="false" customHeight="true" outlineLevel="0" collapsed="false">
      <c r="A5" s="184" t="s">
        <v>611</v>
      </c>
      <c r="B5" s="184"/>
      <c r="C5" s="184"/>
      <c r="D5" s="118" t="s">
        <v>612</v>
      </c>
      <c r="E5" s="118"/>
      <c r="F5" s="118"/>
      <c r="G5" s="118"/>
      <c r="H5" s="118"/>
      <c r="I5" s="118"/>
      <c r="J5" s="136" t="s">
        <v>55</v>
      </c>
      <c r="K5" s="136"/>
      <c r="L5" s="136"/>
      <c r="M5" s="136"/>
      <c r="N5" s="185" t="s">
        <v>613</v>
      </c>
      <c r="O5" s="185"/>
      <c r="P5" s="185"/>
      <c r="Q5" s="185"/>
      <c r="R5" s="185"/>
      <c r="S5" s="186" t="s">
        <v>614</v>
      </c>
      <c r="T5" s="186"/>
      <c r="U5" s="186"/>
      <c r="V5" s="186"/>
      <c r="W5" s="186"/>
      <c r="X5" s="185" t="s">
        <v>615</v>
      </c>
      <c r="Y5" s="185"/>
      <c r="Z5" s="185"/>
      <c r="AA5" s="185"/>
      <c r="AB5" s="185"/>
      <c r="AC5" s="186" t="s">
        <v>616</v>
      </c>
      <c r="AD5" s="186"/>
      <c r="AE5" s="186"/>
      <c r="AF5" s="186"/>
      <c r="AG5" s="186"/>
      <c r="AH5" s="185" t="s">
        <v>617</v>
      </c>
      <c r="AI5" s="185"/>
      <c r="AJ5" s="185"/>
      <c r="AK5" s="185"/>
      <c r="AL5" s="185"/>
      <c r="AM5" s="187" t="s">
        <v>618</v>
      </c>
      <c r="AN5" s="187"/>
      <c r="AO5" s="187"/>
      <c r="AP5" s="187"/>
    </row>
    <row r="6" customFormat="false" ht="30" hidden="false" customHeight="true" outlineLevel="0" collapsed="false">
      <c r="A6" s="188" t="s">
        <v>619</v>
      </c>
      <c r="B6" s="188" t="s">
        <v>483</v>
      </c>
      <c r="C6" s="188" t="s">
        <v>620</v>
      </c>
      <c r="D6" s="125" t="s">
        <v>39</v>
      </c>
      <c r="E6" s="125" t="s">
        <v>31</v>
      </c>
      <c r="F6" s="125" t="s">
        <v>621</v>
      </c>
      <c r="G6" s="125" t="s">
        <v>622</v>
      </c>
      <c r="H6" s="125" t="s">
        <v>623</v>
      </c>
      <c r="I6" s="125" t="s">
        <v>624</v>
      </c>
      <c r="J6" s="178" t="s">
        <v>625</v>
      </c>
      <c r="K6" s="178" t="s">
        <v>59</v>
      </c>
      <c r="L6" s="178" t="s">
        <v>61</v>
      </c>
      <c r="M6" s="178" t="s">
        <v>63</v>
      </c>
      <c r="N6" s="189" t="s">
        <v>65</v>
      </c>
      <c r="O6" s="189" t="s">
        <v>67</v>
      </c>
      <c r="P6" s="189" t="s">
        <v>626</v>
      </c>
      <c r="Q6" s="189" t="s">
        <v>627</v>
      </c>
      <c r="R6" s="189" t="s">
        <v>628</v>
      </c>
      <c r="S6" s="189" t="s">
        <v>65</v>
      </c>
      <c r="T6" s="189" t="s">
        <v>67</v>
      </c>
      <c r="U6" s="189" t="s">
        <v>626</v>
      </c>
      <c r="V6" s="189" t="s">
        <v>627</v>
      </c>
      <c r="W6" s="189" t="s">
        <v>628</v>
      </c>
      <c r="X6" s="189" t="s">
        <v>65</v>
      </c>
      <c r="Y6" s="189" t="s">
        <v>67</v>
      </c>
      <c r="Z6" s="189" t="s">
        <v>626</v>
      </c>
      <c r="AA6" s="189" t="s">
        <v>627</v>
      </c>
      <c r="AB6" s="189" t="s">
        <v>628</v>
      </c>
      <c r="AC6" s="189" t="s">
        <v>65</v>
      </c>
      <c r="AD6" s="189" t="s">
        <v>67</v>
      </c>
      <c r="AE6" s="189" t="s">
        <v>626</v>
      </c>
      <c r="AF6" s="189" t="s">
        <v>627</v>
      </c>
      <c r="AG6" s="189" t="s">
        <v>628</v>
      </c>
      <c r="AH6" s="189" t="s">
        <v>65</v>
      </c>
      <c r="AI6" s="189" t="s">
        <v>67</v>
      </c>
      <c r="AJ6" s="189" t="s">
        <v>626</v>
      </c>
      <c r="AK6" s="189" t="s">
        <v>627</v>
      </c>
      <c r="AL6" s="189" t="s">
        <v>628</v>
      </c>
      <c r="AM6" s="190" t="s">
        <v>629</v>
      </c>
      <c r="AN6" s="190" t="s">
        <v>630</v>
      </c>
      <c r="AO6" s="190" t="s">
        <v>49</v>
      </c>
      <c r="AP6" s="190" t="s">
        <v>631</v>
      </c>
    </row>
    <row r="7" customFormat="false" ht="30" hidden="false" customHeight="true" outlineLevel="0" collapsed="false">
      <c r="A7" s="191" t="s">
        <v>213</v>
      </c>
      <c r="B7" s="191"/>
      <c r="C7" s="191"/>
      <c r="D7" s="191"/>
      <c r="E7" s="191"/>
      <c r="F7" s="191"/>
      <c r="G7" s="191"/>
      <c r="H7" s="191"/>
      <c r="I7" s="191"/>
      <c r="J7" s="192"/>
      <c r="K7" s="192"/>
      <c r="L7" s="192"/>
      <c r="M7" s="192"/>
      <c r="N7" s="193"/>
      <c r="O7" s="193"/>
      <c r="P7" s="193"/>
      <c r="Q7" s="193"/>
      <c r="R7" s="193"/>
      <c r="S7" s="193"/>
      <c r="T7" s="193"/>
      <c r="U7" s="193"/>
      <c r="V7" s="193"/>
      <c r="W7" s="193"/>
      <c r="X7" s="193"/>
      <c r="Y7" s="193"/>
      <c r="Z7" s="193"/>
      <c r="AA7" s="193"/>
      <c r="AB7" s="189"/>
      <c r="AC7" s="189"/>
      <c r="AD7" s="189"/>
      <c r="AE7" s="189"/>
      <c r="AF7" s="189"/>
      <c r="AG7" s="189"/>
      <c r="AH7" s="189"/>
      <c r="AI7" s="189"/>
      <c r="AJ7" s="189"/>
      <c r="AK7" s="189"/>
      <c r="AL7" s="189"/>
      <c r="AM7" s="190"/>
      <c r="AN7" s="190"/>
      <c r="AO7" s="190"/>
      <c r="AP7" s="190"/>
    </row>
    <row r="8" customFormat="false" ht="19.5" hidden="false" customHeight="true" outlineLevel="0" collapsed="false">
      <c r="A8" s="194"/>
      <c r="B8" s="200" t="s">
        <v>2190</v>
      </c>
      <c r="C8" s="200"/>
      <c r="D8" s="200"/>
      <c r="E8" s="200"/>
      <c r="F8" s="200"/>
      <c r="G8" s="200"/>
      <c r="H8" s="200"/>
      <c r="I8" s="200"/>
      <c r="J8" s="194"/>
      <c r="K8" s="194"/>
      <c r="L8" s="194"/>
      <c r="M8" s="194"/>
      <c r="N8" s="196"/>
      <c r="O8" s="196"/>
      <c r="P8" s="196"/>
      <c r="Q8" s="196"/>
      <c r="R8" s="196"/>
      <c r="S8" s="196"/>
      <c r="T8" s="196"/>
      <c r="U8" s="196"/>
      <c r="V8" s="196"/>
      <c r="W8" s="196"/>
      <c r="X8" s="196"/>
      <c r="Y8" s="196"/>
      <c r="Z8" s="196"/>
      <c r="AA8" s="196"/>
      <c r="AB8" s="197"/>
      <c r="AC8" s="197"/>
      <c r="AD8" s="197"/>
      <c r="AE8" s="197"/>
      <c r="AF8" s="197"/>
      <c r="AG8" s="197"/>
      <c r="AH8" s="197"/>
      <c r="AI8" s="197"/>
      <c r="AJ8" s="197"/>
      <c r="AK8" s="197"/>
      <c r="AL8" s="197"/>
      <c r="AM8" s="198"/>
      <c r="AN8" s="198"/>
      <c r="AO8" s="198"/>
      <c r="AP8" s="199"/>
    </row>
    <row r="9" customFormat="false" ht="60" hidden="false" customHeight="true" outlineLevel="0" collapsed="false">
      <c r="A9" s="194" t="str">
        <f aca="false">IF(C9="","",$C$2&amp;"."&amp;COUNTA($C$8:C9)&amp;"")</f>
        <v>TC_09.1</v>
      </c>
      <c r="B9" s="194" t="s">
        <v>599</v>
      </c>
      <c r="C9" s="194" t="s">
        <v>601</v>
      </c>
      <c r="D9" s="194" t="s">
        <v>42</v>
      </c>
      <c r="E9" s="194" t="s">
        <v>157</v>
      </c>
      <c r="F9" s="195" t="s">
        <v>2191</v>
      </c>
      <c r="G9" s="195" t="s">
        <v>2192</v>
      </c>
      <c r="H9" s="195" t="s">
        <v>2193</v>
      </c>
      <c r="I9" s="195" t="s">
        <v>2194</v>
      </c>
      <c r="J9" s="194" t="s">
        <v>637</v>
      </c>
      <c r="K9" s="194" t="s">
        <v>241</v>
      </c>
      <c r="L9" s="194" t="s">
        <v>638</v>
      </c>
      <c r="M9" s="194"/>
      <c r="N9" s="196"/>
      <c r="O9" s="196"/>
      <c r="P9" s="196"/>
      <c r="Q9" s="196"/>
      <c r="R9" s="196"/>
      <c r="S9" s="196"/>
      <c r="T9" s="196"/>
      <c r="U9" s="196"/>
      <c r="V9" s="196"/>
      <c r="W9" s="196"/>
      <c r="X9" s="196"/>
      <c r="Y9" s="196"/>
      <c r="Z9" s="196"/>
      <c r="AA9" s="196"/>
      <c r="AB9" s="197"/>
      <c r="AC9" s="197"/>
      <c r="AD9" s="197"/>
      <c r="AE9" s="197"/>
      <c r="AF9" s="197"/>
      <c r="AG9" s="197"/>
      <c r="AH9" s="197"/>
      <c r="AI9" s="197"/>
      <c r="AJ9" s="197"/>
      <c r="AK9" s="197"/>
      <c r="AL9" s="197"/>
      <c r="AM9" s="198" t="str">
        <f aca="false">IF($A9="","",IF(OR($N9="Yes",$S9="Yes",$X9="Yes",$AC9="Yes",$AH9="Yes"),"Yes","No"))</f>
        <v>No</v>
      </c>
      <c r="AN9" s="198" t="str">
        <f aca="false">IF($A9="","",IFERROR(IF($AI9&lt;&gt;"",$AI9,IF($AD9&lt;&gt;"",$AD9,IF($Y9&lt;&gt;"",$Y9,IF($T9&lt;&gt;"",$T9,IF($O9&lt;&gt;"",$O9,""))))),""))</f>
        <v/>
      </c>
      <c r="AO9" s="198" t="str">
        <f aca="false">IFERROR(IF($AJ9&lt;&gt;"",$AJ9,IF($AE9&lt;&gt;"",$AE9,IF($Z9&lt;&gt;"",$Z9,IF($U9&lt;&gt;"",$U9,IF($P9&lt;&gt;"",$P9,""))))),"")</f>
        <v/>
      </c>
      <c r="AP9" s="199" t="s">
        <v>2195</v>
      </c>
    </row>
    <row r="10" customFormat="false" ht="60" hidden="false" customHeight="true" outlineLevel="0" collapsed="false">
      <c r="A10" s="194" t="str">
        <f aca="false">IF(C10="","",$C$2&amp;"."&amp;COUNTA($C$8:C10)&amp;"")</f>
        <v>TC_09.2</v>
      </c>
      <c r="B10" s="194" t="s">
        <v>599</v>
      </c>
      <c r="C10" s="194" t="s">
        <v>601</v>
      </c>
      <c r="D10" s="194" t="s">
        <v>40</v>
      </c>
      <c r="E10" s="194" t="s">
        <v>157</v>
      </c>
      <c r="F10" s="195" t="s">
        <v>2196</v>
      </c>
      <c r="G10" s="195" t="s">
        <v>2197</v>
      </c>
      <c r="H10" s="195" t="s">
        <v>2198</v>
      </c>
      <c r="I10" s="195" t="s">
        <v>2199</v>
      </c>
      <c r="J10" s="194" t="s">
        <v>637</v>
      </c>
      <c r="K10" s="194" t="s">
        <v>241</v>
      </c>
      <c r="L10" s="194" t="s">
        <v>638</v>
      </c>
      <c r="M10" s="194"/>
      <c r="N10" s="196"/>
      <c r="O10" s="196"/>
      <c r="P10" s="196"/>
      <c r="Q10" s="196"/>
      <c r="R10" s="196"/>
      <c r="S10" s="196"/>
      <c r="T10" s="196"/>
      <c r="U10" s="196"/>
      <c r="V10" s="196"/>
      <c r="W10" s="196"/>
      <c r="X10" s="196"/>
      <c r="Y10" s="196"/>
      <c r="Z10" s="196"/>
      <c r="AA10" s="196"/>
      <c r="AB10" s="197"/>
      <c r="AC10" s="197"/>
      <c r="AD10" s="197"/>
      <c r="AE10" s="197"/>
      <c r="AF10" s="197"/>
      <c r="AG10" s="197"/>
      <c r="AH10" s="197"/>
      <c r="AI10" s="197"/>
      <c r="AJ10" s="197"/>
      <c r="AK10" s="197"/>
      <c r="AL10" s="197"/>
      <c r="AM10" s="198" t="str">
        <f aca="false">IF($A10="","",IF(OR($N10="Yes",$S10="Yes",$X10="Yes",$AC10="Yes",$AH10="Yes"),"Yes","No"))</f>
        <v>No</v>
      </c>
      <c r="AN10" s="198" t="str">
        <f aca="false">IF($A10="","",IFERROR(IF($AI10&lt;&gt;"",$AI10,IF($AD10&lt;&gt;"",$AD10,IF($Y10&lt;&gt;"",$Y10,IF($T10&lt;&gt;"",$T10,IF($O10&lt;&gt;"",$O10,""))))),""))</f>
        <v/>
      </c>
      <c r="AO10" s="198" t="str">
        <f aca="false">IFERROR(IF($AJ10&lt;&gt;"",$AJ10,IF($AE10&lt;&gt;"",$AE10,IF($Z10&lt;&gt;"",$Z10,IF($U10&lt;&gt;"",$U10,IF($P10&lt;&gt;"",$P10,""))))),"")</f>
        <v/>
      </c>
      <c r="AP10" s="199"/>
    </row>
    <row r="11" customFormat="false" ht="19.5" hidden="false" customHeight="true" outlineLevel="0" collapsed="false">
      <c r="A11" s="194"/>
      <c r="B11" s="200" t="s">
        <v>2200</v>
      </c>
      <c r="C11" s="200"/>
      <c r="D11" s="200"/>
      <c r="E11" s="200"/>
      <c r="F11" s="200"/>
      <c r="G11" s="200"/>
      <c r="H11" s="200"/>
      <c r="I11" s="200"/>
      <c r="J11" s="194"/>
      <c r="K11" s="194"/>
      <c r="L11" s="194"/>
      <c r="M11" s="194"/>
      <c r="N11" s="196"/>
      <c r="O11" s="196"/>
      <c r="P11" s="196"/>
      <c r="Q11" s="196"/>
      <c r="R11" s="196"/>
      <c r="S11" s="196"/>
      <c r="T11" s="196"/>
      <c r="U11" s="196"/>
      <c r="V11" s="196"/>
      <c r="W11" s="196"/>
      <c r="X11" s="196"/>
      <c r="Y11" s="196"/>
      <c r="Z11" s="196"/>
      <c r="AA11" s="196"/>
      <c r="AB11" s="197"/>
      <c r="AC11" s="197"/>
      <c r="AD11" s="197"/>
      <c r="AE11" s="197"/>
      <c r="AF11" s="197"/>
      <c r="AG11" s="197"/>
      <c r="AH11" s="197"/>
      <c r="AI11" s="197"/>
      <c r="AJ11" s="197"/>
      <c r="AK11" s="197"/>
      <c r="AL11" s="197"/>
      <c r="AM11" s="198"/>
      <c r="AN11" s="198"/>
      <c r="AO11" s="198"/>
      <c r="AP11" s="199"/>
    </row>
    <row r="12" customFormat="false" ht="60" hidden="false" customHeight="true" outlineLevel="0" collapsed="false">
      <c r="A12" s="194" t="str">
        <f aca="false">IF(C12="","",$C$2&amp;"."&amp;COUNTA($C$8:C12)&amp;"")</f>
        <v>TC_09.3</v>
      </c>
      <c r="B12" s="194" t="s">
        <v>505</v>
      </c>
      <c r="C12" s="194" t="s">
        <v>713</v>
      </c>
      <c r="D12" s="194" t="s">
        <v>42</v>
      </c>
      <c r="E12" s="194" t="s">
        <v>158</v>
      </c>
      <c r="F12" s="195" t="s">
        <v>2201</v>
      </c>
      <c r="G12" s="195" t="s">
        <v>2202</v>
      </c>
      <c r="H12" s="195" t="s">
        <v>2203</v>
      </c>
      <c r="I12" s="195" t="s">
        <v>2204</v>
      </c>
      <c r="J12" s="194" t="s">
        <v>637</v>
      </c>
      <c r="K12" s="194" t="s">
        <v>241</v>
      </c>
      <c r="L12" s="194" t="s">
        <v>638</v>
      </c>
      <c r="M12" s="194"/>
      <c r="N12" s="196"/>
      <c r="O12" s="196"/>
      <c r="P12" s="196"/>
      <c r="Q12" s="196"/>
      <c r="R12" s="196"/>
      <c r="S12" s="196"/>
      <c r="T12" s="196"/>
      <c r="U12" s="196"/>
      <c r="V12" s="196"/>
      <c r="W12" s="196"/>
      <c r="X12" s="196"/>
      <c r="Y12" s="196"/>
      <c r="Z12" s="196"/>
      <c r="AA12" s="196"/>
      <c r="AB12" s="197"/>
      <c r="AC12" s="197"/>
      <c r="AD12" s="197"/>
      <c r="AE12" s="197"/>
      <c r="AF12" s="197"/>
      <c r="AG12" s="197"/>
      <c r="AH12" s="197"/>
      <c r="AI12" s="197"/>
      <c r="AJ12" s="197"/>
      <c r="AK12" s="197"/>
      <c r="AL12" s="197"/>
      <c r="AM12" s="198" t="str">
        <f aca="false">IF($A10="","",IF(OR($N10="Yes",$S10="Yes",$X10="Yes",$AC10="Yes",$AH10="Yes"),"Yes","No"))</f>
        <v>No</v>
      </c>
      <c r="AN12" s="198" t="str">
        <f aca="false">IF($A10="","",IFERROR(IF($AI10&lt;&gt;"",$AI10,IF($AD10&lt;&gt;"",$AD10,IF($Y10&lt;&gt;"",$Y10,IF($T10&lt;&gt;"",$T10,IF($O10&lt;&gt;"",$O10,""))))),""))</f>
        <v/>
      </c>
      <c r="AO12" s="198" t="str">
        <f aca="false">IFERROR(IF($AJ10&lt;&gt;"",$AJ10,IF($AE10&lt;&gt;"",$AE10,IF($Z10&lt;&gt;"",$Z10,IF($U10&lt;&gt;"",$U10,IF($P10&lt;&gt;"",$P10,""))))),"")</f>
        <v/>
      </c>
      <c r="AP12" s="199" t="s">
        <v>926</v>
      </c>
    </row>
    <row r="13" customFormat="false" ht="60" hidden="false" customHeight="true" outlineLevel="0" collapsed="false">
      <c r="A13" s="194" t="str">
        <f aca="false">IF(C13="","",$C$2&amp;"."&amp;COUNTA($C$8:C13)&amp;"")</f>
        <v>TC_09.4</v>
      </c>
      <c r="B13" s="194" t="s">
        <v>505</v>
      </c>
      <c r="C13" s="194" t="s">
        <v>2205</v>
      </c>
      <c r="D13" s="194" t="s">
        <v>42</v>
      </c>
      <c r="E13" s="194" t="s">
        <v>157</v>
      </c>
      <c r="F13" s="195" t="s">
        <v>2206</v>
      </c>
      <c r="G13" s="195" t="s">
        <v>2207</v>
      </c>
      <c r="H13" s="195" t="s">
        <v>2208</v>
      </c>
      <c r="I13" s="195" t="s">
        <v>2209</v>
      </c>
      <c r="J13" s="194" t="s">
        <v>637</v>
      </c>
      <c r="K13" s="194" t="s">
        <v>241</v>
      </c>
      <c r="L13" s="194" t="s">
        <v>638</v>
      </c>
      <c r="M13" s="194"/>
      <c r="N13" s="196"/>
      <c r="O13" s="196"/>
      <c r="P13" s="196"/>
      <c r="Q13" s="196"/>
      <c r="R13" s="196"/>
      <c r="S13" s="196"/>
      <c r="T13" s="196"/>
      <c r="U13" s="196"/>
      <c r="V13" s="196"/>
      <c r="W13" s="196"/>
      <c r="X13" s="196"/>
      <c r="Y13" s="196"/>
      <c r="Z13" s="196"/>
      <c r="AA13" s="196"/>
      <c r="AB13" s="197"/>
      <c r="AC13" s="197"/>
      <c r="AD13" s="197"/>
      <c r="AE13" s="197"/>
      <c r="AF13" s="197"/>
      <c r="AG13" s="197"/>
      <c r="AH13" s="197"/>
      <c r="AI13" s="197"/>
      <c r="AJ13" s="197"/>
      <c r="AK13" s="197"/>
      <c r="AL13" s="197"/>
      <c r="AM13" s="198" t="str">
        <f aca="false">IF($A12="","",IF(OR($N12="Yes",$S12="Yes",$X12="Yes",$AC12="Yes",$AH12="Yes"),"Yes","No"))</f>
        <v>No</v>
      </c>
      <c r="AN13" s="198" t="str">
        <f aca="false">IF($A12="","",IFERROR(IF($AI12&lt;&gt;"",$AI12,IF($AD12&lt;&gt;"",$AD12,IF($Y12&lt;&gt;"",$Y12,IF($T12&lt;&gt;"",$T12,IF($O12&lt;&gt;"",$O12,""))))),""))</f>
        <v/>
      </c>
      <c r="AO13" s="198" t="str">
        <f aca="false">IFERROR(IF($AJ12&lt;&gt;"",$AJ12,IF($AE12&lt;&gt;"",$AE12,IF($Z12&lt;&gt;"",$Z12,IF($U12&lt;&gt;"",$U12,IF($P12&lt;&gt;"",$P12,""))))),"")</f>
        <v/>
      </c>
      <c r="AP13" s="199" t="s">
        <v>2210</v>
      </c>
    </row>
    <row r="14" customFormat="false" ht="60" hidden="false" customHeight="true" outlineLevel="0" collapsed="false">
      <c r="A14" s="194" t="str">
        <f aca="false">IF(C14="","",$C$2&amp;"."&amp;COUNTA($C$8:C14)&amp;"")</f>
        <v>TC_09.5</v>
      </c>
      <c r="B14" s="194" t="s">
        <v>505</v>
      </c>
      <c r="C14" s="194" t="s">
        <v>2205</v>
      </c>
      <c r="D14" s="194" t="s">
        <v>42</v>
      </c>
      <c r="E14" s="194" t="s">
        <v>157</v>
      </c>
      <c r="F14" s="195" t="s">
        <v>2211</v>
      </c>
      <c r="G14" s="195" t="s">
        <v>2212</v>
      </c>
      <c r="H14" s="195" t="s">
        <v>2213</v>
      </c>
      <c r="I14" s="195" t="s">
        <v>2214</v>
      </c>
      <c r="J14" s="194" t="s">
        <v>637</v>
      </c>
      <c r="K14" s="194" t="s">
        <v>241</v>
      </c>
      <c r="L14" s="194" t="s">
        <v>638</v>
      </c>
      <c r="M14" s="194"/>
      <c r="N14" s="196"/>
      <c r="O14" s="196"/>
      <c r="P14" s="196"/>
      <c r="Q14" s="196"/>
      <c r="R14" s="196"/>
      <c r="S14" s="196"/>
      <c r="T14" s="196"/>
      <c r="U14" s="196"/>
      <c r="V14" s="196"/>
      <c r="W14" s="196"/>
      <c r="X14" s="196"/>
      <c r="Y14" s="196"/>
      <c r="Z14" s="196"/>
      <c r="AA14" s="196"/>
      <c r="AB14" s="197"/>
      <c r="AC14" s="197"/>
      <c r="AD14" s="197"/>
      <c r="AE14" s="197"/>
      <c r="AF14" s="197"/>
      <c r="AG14" s="197"/>
      <c r="AH14" s="197"/>
      <c r="AI14" s="197"/>
      <c r="AJ14" s="197"/>
      <c r="AK14" s="197"/>
      <c r="AL14" s="197"/>
      <c r="AM14" s="198" t="str">
        <f aca="false">IF($A13="","",IF(OR($N13="Yes",$S13="Yes",$X13="Yes",$AC13="Yes",$AH13="Yes"),"Yes","No"))</f>
        <v>No</v>
      </c>
      <c r="AN14" s="198" t="str">
        <f aca="false">IF($A13="","",IFERROR(IF($AI13&lt;&gt;"",$AI13,IF($AD13&lt;&gt;"",$AD13,IF($Y13&lt;&gt;"",$Y13,IF($T13&lt;&gt;"",$T13,IF($O13&lt;&gt;"",$O13,""))))),""))</f>
        <v/>
      </c>
      <c r="AO14" s="198" t="str">
        <f aca="false">IFERROR(IF($AJ13&lt;&gt;"",$AJ13,IF($AE13&lt;&gt;"",$AE13,IF($Z13&lt;&gt;"",$Z13,IF($U13&lt;&gt;"",$U13,IF($P13&lt;&gt;"",$P13,""))))),"")</f>
        <v/>
      </c>
      <c r="AP14" s="199" t="s">
        <v>675</v>
      </c>
    </row>
    <row r="15" customFormat="false" ht="60" hidden="false" customHeight="true" outlineLevel="0" collapsed="false">
      <c r="A15" s="194" t="str">
        <f aca="false">IF(C15="","",$C$2&amp;"."&amp;COUNTA($C$8:C15)&amp;"")</f>
        <v>TC_09.6</v>
      </c>
      <c r="B15" s="194" t="s">
        <v>505</v>
      </c>
      <c r="C15" s="194" t="s">
        <v>2205</v>
      </c>
      <c r="D15" s="194" t="s">
        <v>40</v>
      </c>
      <c r="E15" s="194" t="s">
        <v>157</v>
      </c>
      <c r="F15" s="195" t="s">
        <v>2215</v>
      </c>
      <c r="G15" s="195" t="s">
        <v>2216</v>
      </c>
      <c r="H15" s="195" t="s">
        <v>2217</v>
      </c>
      <c r="I15" s="195" t="s">
        <v>2218</v>
      </c>
      <c r="J15" s="194" t="s">
        <v>637</v>
      </c>
      <c r="K15" s="194" t="s">
        <v>241</v>
      </c>
      <c r="L15" s="194" t="s">
        <v>638</v>
      </c>
      <c r="M15" s="194"/>
      <c r="N15" s="196"/>
      <c r="O15" s="196"/>
      <c r="P15" s="196"/>
      <c r="Q15" s="196"/>
      <c r="R15" s="196"/>
      <c r="S15" s="196"/>
      <c r="T15" s="196"/>
      <c r="U15" s="196"/>
      <c r="V15" s="196"/>
      <c r="W15" s="196"/>
      <c r="X15" s="196"/>
      <c r="Y15" s="196"/>
      <c r="Z15" s="196"/>
      <c r="AA15" s="196"/>
      <c r="AB15" s="197"/>
      <c r="AC15" s="197"/>
      <c r="AD15" s="197"/>
      <c r="AE15" s="197"/>
      <c r="AF15" s="197"/>
      <c r="AG15" s="197"/>
      <c r="AH15" s="197"/>
      <c r="AI15" s="197"/>
      <c r="AJ15" s="197"/>
      <c r="AK15" s="197"/>
      <c r="AL15" s="197"/>
      <c r="AM15" s="198" t="str">
        <f aca="false">IF($A14="","",IF(OR($N14="Yes",$S14="Yes",$X14="Yes",$AC14="Yes",$AH14="Yes"),"Yes","No"))</f>
        <v>No</v>
      </c>
      <c r="AN15" s="198" t="str">
        <f aca="false">IF($A14="","",IFERROR(IF($AI14&lt;&gt;"",$AI14,IF($AD14&lt;&gt;"",$AD14,IF($Y14&lt;&gt;"",$Y14,IF($T14&lt;&gt;"",$T14,IF($O14&lt;&gt;"",$O14,""))))),""))</f>
        <v/>
      </c>
      <c r="AO15" s="198" t="str">
        <f aca="false">IFERROR(IF($AJ14&lt;&gt;"",$AJ14,IF($AE14&lt;&gt;"",$AE14,IF($Z14&lt;&gt;"",$Z14,IF($U14&lt;&gt;"",$U14,IF($P14&lt;&gt;"",$P14,""))))),"")</f>
        <v/>
      </c>
      <c r="AP15" s="199" t="s">
        <v>2219</v>
      </c>
    </row>
    <row r="16" customFormat="false" ht="60" hidden="false" customHeight="true" outlineLevel="0" collapsed="false">
      <c r="A16" s="194" t="str">
        <f aca="false">IF(C16="","",$C$2&amp;"."&amp;COUNTA($C$8:C16)&amp;"")</f>
        <v>TC_09.7</v>
      </c>
      <c r="B16" s="194" t="s">
        <v>505</v>
      </c>
      <c r="C16" s="194" t="s">
        <v>2205</v>
      </c>
      <c r="D16" s="194" t="s">
        <v>40</v>
      </c>
      <c r="E16" s="194" t="s">
        <v>157</v>
      </c>
      <c r="F16" s="195" t="s">
        <v>2220</v>
      </c>
      <c r="G16" s="195" t="s">
        <v>2216</v>
      </c>
      <c r="H16" s="195" t="s">
        <v>2221</v>
      </c>
      <c r="I16" s="195" t="s">
        <v>2222</v>
      </c>
      <c r="J16" s="194" t="s">
        <v>637</v>
      </c>
      <c r="K16" s="194" t="s">
        <v>241</v>
      </c>
      <c r="L16" s="194" t="s">
        <v>638</v>
      </c>
      <c r="M16" s="194"/>
      <c r="N16" s="196"/>
      <c r="O16" s="196"/>
      <c r="P16" s="196"/>
      <c r="Q16" s="196"/>
      <c r="R16" s="196"/>
      <c r="S16" s="196"/>
      <c r="T16" s="196"/>
      <c r="U16" s="196"/>
      <c r="V16" s="196"/>
      <c r="W16" s="196"/>
      <c r="X16" s="196"/>
      <c r="Y16" s="196"/>
      <c r="Z16" s="196"/>
      <c r="AA16" s="196"/>
      <c r="AB16" s="197"/>
      <c r="AC16" s="197"/>
      <c r="AD16" s="197"/>
      <c r="AE16" s="197"/>
      <c r="AF16" s="197"/>
      <c r="AG16" s="197"/>
      <c r="AH16" s="197"/>
      <c r="AI16" s="197"/>
      <c r="AJ16" s="197"/>
      <c r="AK16" s="197"/>
      <c r="AL16" s="197"/>
      <c r="AM16" s="198" t="str">
        <f aca="false">IF($A15="","",IF(OR($N15="Yes",$S15="Yes",$X15="Yes",$AC15="Yes",$AH15="Yes"),"Yes","No"))</f>
        <v>No</v>
      </c>
      <c r="AN16" s="198" t="str">
        <f aca="false">IF($A15="","",IFERROR(IF($AI15&lt;&gt;"",$AI15,IF($AD15&lt;&gt;"",$AD15,IF($Y15&lt;&gt;"",$Y15,IF($T15&lt;&gt;"",$T15,IF($O15&lt;&gt;"",$O15,""))))),""))</f>
        <v/>
      </c>
      <c r="AO16" s="198" t="str">
        <f aca="false">IFERROR(IF($AJ15&lt;&gt;"",$AJ15,IF($AE15&lt;&gt;"",$AE15,IF($Z15&lt;&gt;"",$Z15,IF($U15&lt;&gt;"",$U15,IF($P15&lt;&gt;"",$P15,""))))),"")</f>
        <v/>
      </c>
      <c r="AP16" s="199" t="s">
        <v>2223</v>
      </c>
    </row>
    <row r="17" customFormat="false" ht="60" hidden="false" customHeight="true" outlineLevel="0" collapsed="false">
      <c r="A17" s="194" t="str">
        <f aca="false">IF(C17="","",$C$2&amp;"."&amp;COUNTA($C$8:C17)&amp;"")</f>
        <v>TC_09.8</v>
      </c>
      <c r="B17" s="194" t="s">
        <v>505</v>
      </c>
      <c r="C17" s="194" t="s">
        <v>2205</v>
      </c>
      <c r="D17" s="194" t="s">
        <v>40</v>
      </c>
      <c r="E17" s="194" t="s">
        <v>157</v>
      </c>
      <c r="F17" s="195" t="s">
        <v>2224</v>
      </c>
      <c r="G17" s="195" t="s">
        <v>2216</v>
      </c>
      <c r="H17" s="195" t="s">
        <v>2225</v>
      </c>
      <c r="I17" s="195" t="s">
        <v>2226</v>
      </c>
      <c r="J17" s="194" t="s">
        <v>637</v>
      </c>
      <c r="K17" s="194" t="s">
        <v>241</v>
      </c>
      <c r="L17" s="194" t="s">
        <v>638</v>
      </c>
      <c r="M17" s="194"/>
      <c r="N17" s="196"/>
      <c r="O17" s="196"/>
      <c r="P17" s="196"/>
      <c r="Q17" s="196"/>
      <c r="R17" s="196"/>
      <c r="S17" s="196"/>
      <c r="T17" s="196"/>
      <c r="U17" s="196"/>
      <c r="V17" s="196"/>
      <c r="W17" s="196"/>
      <c r="X17" s="196"/>
      <c r="Y17" s="196"/>
      <c r="Z17" s="196"/>
      <c r="AA17" s="196"/>
      <c r="AB17" s="197"/>
      <c r="AC17" s="197"/>
      <c r="AD17" s="197"/>
      <c r="AE17" s="197"/>
      <c r="AF17" s="197"/>
      <c r="AG17" s="197"/>
      <c r="AH17" s="197"/>
      <c r="AI17" s="197"/>
      <c r="AJ17" s="197"/>
      <c r="AK17" s="197"/>
      <c r="AL17" s="197"/>
      <c r="AM17" s="198" t="str">
        <f aca="false">IF($A16="","",IF(OR($N16="Yes",$S16="Yes",$X16="Yes",$AC16="Yes",$AH16="Yes"),"Yes","No"))</f>
        <v>No</v>
      </c>
      <c r="AN17" s="198" t="str">
        <f aca="false">IF($A16="","",IFERROR(IF($AI16&lt;&gt;"",$AI16,IF($AD16&lt;&gt;"",$AD16,IF($Y16&lt;&gt;"",$Y16,IF($T16&lt;&gt;"",$T16,IF($O16&lt;&gt;"",$O16,""))))),""))</f>
        <v/>
      </c>
      <c r="AO17" s="198" t="str">
        <f aca="false">IFERROR(IF($AJ16&lt;&gt;"",$AJ16,IF($AE16&lt;&gt;"",$AE16,IF($Z16&lt;&gt;"",$Z16,IF($U16&lt;&gt;"",$U16,IF($P16&lt;&gt;"",$P16,""))))),"")</f>
        <v/>
      </c>
      <c r="AP17" s="199" t="s">
        <v>2227</v>
      </c>
    </row>
    <row r="18" customFormat="false" ht="60" hidden="false" customHeight="true" outlineLevel="0" collapsed="false">
      <c r="A18" s="194" t="str">
        <f aca="false">IF(C18="","",$C$2&amp;"."&amp;COUNTA($C$8:C18)&amp;"")</f>
        <v>TC_09.9</v>
      </c>
      <c r="B18" s="194" t="s">
        <v>505</v>
      </c>
      <c r="C18" s="194" t="s">
        <v>2205</v>
      </c>
      <c r="D18" s="194" t="s">
        <v>40</v>
      </c>
      <c r="E18" s="194" t="s">
        <v>157</v>
      </c>
      <c r="F18" s="195" t="s">
        <v>2228</v>
      </c>
      <c r="G18" s="195" t="s">
        <v>2216</v>
      </c>
      <c r="H18" s="195" t="s">
        <v>2229</v>
      </c>
      <c r="I18" s="195" t="s">
        <v>2230</v>
      </c>
      <c r="J18" s="194" t="s">
        <v>637</v>
      </c>
      <c r="K18" s="194" t="s">
        <v>241</v>
      </c>
      <c r="L18" s="194" t="s">
        <v>638</v>
      </c>
      <c r="M18" s="194"/>
      <c r="N18" s="196"/>
      <c r="O18" s="196"/>
      <c r="P18" s="196"/>
      <c r="Q18" s="196"/>
      <c r="R18" s="196"/>
      <c r="S18" s="196"/>
      <c r="T18" s="196"/>
      <c r="U18" s="196"/>
      <c r="V18" s="196"/>
      <c r="W18" s="196"/>
      <c r="X18" s="196"/>
      <c r="Y18" s="196"/>
      <c r="Z18" s="196"/>
      <c r="AA18" s="196"/>
      <c r="AB18" s="197"/>
      <c r="AC18" s="197"/>
      <c r="AD18" s="197"/>
      <c r="AE18" s="197"/>
      <c r="AF18" s="197"/>
      <c r="AG18" s="197"/>
      <c r="AH18" s="197"/>
      <c r="AI18" s="197"/>
      <c r="AJ18" s="197"/>
      <c r="AK18" s="197"/>
      <c r="AL18" s="197"/>
      <c r="AM18" s="198" t="str">
        <f aca="false">IF($A17="","",IF(OR($N17="Yes",$S17="Yes",$X17="Yes",$AC17="Yes",$AH17="Yes"),"Yes","No"))</f>
        <v>No</v>
      </c>
      <c r="AN18" s="198" t="str">
        <f aca="false">IF($A17="","",IFERROR(IF($AI17&lt;&gt;"",$AI17,IF($AD17&lt;&gt;"",$AD17,IF($Y17&lt;&gt;"",$Y17,IF($T17&lt;&gt;"",$T17,IF($O17&lt;&gt;"",$O17,""))))),""))</f>
        <v/>
      </c>
      <c r="AO18" s="198" t="str">
        <f aca="false">IFERROR(IF($AJ17&lt;&gt;"",$AJ17,IF($AE17&lt;&gt;"",$AE17,IF($Z17&lt;&gt;"",$Z17,IF($U17&lt;&gt;"",$U17,IF($P17&lt;&gt;"",$P17,""))))),"")</f>
        <v/>
      </c>
      <c r="AP18" s="199" t="s">
        <v>2231</v>
      </c>
    </row>
    <row r="19" customFormat="false" ht="60" hidden="false" customHeight="true" outlineLevel="0" collapsed="false">
      <c r="A19" s="194" t="str">
        <f aca="false">IF(C19="","",$C$2&amp;"."&amp;COUNTA($C$8:C19)&amp;"")</f>
        <v>TC_09.10</v>
      </c>
      <c r="B19" s="194" t="s">
        <v>505</v>
      </c>
      <c r="C19" s="194" t="s">
        <v>2205</v>
      </c>
      <c r="D19" s="194" t="s">
        <v>40</v>
      </c>
      <c r="E19" s="194" t="s">
        <v>157</v>
      </c>
      <c r="F19" s="195" t="s">
        <v>2232</v>
      </c>
      <c r="G19" s="195" t="s">
        <v>2233</v>
      </c>
      <c r="H19" s="195" t="s">
        <v>2234</v>
      </c>
      <c r="I19" s="195" t="s">
        <v>2235</v>
      </c>
      <c r="J19" s="194" t="s">
        <v>637</v>
      </c>
      <c r="K19" s="194" t="s">
        <v>241</v>
      </c>
      <c r="L19" s="194" t="s">
        <v>638</v>
      </c>
      <c r="M19" s="194"/>
      <c r="N19" s="196"/>
      <c r="O19" s="196"/>
      <c r="P19" s="196"/>
      <c r="Q19" s="196"/>
      <c r="R19" s="196"/>
      <c r="S19" s="196"/>
      <c r="T19" s="196"/>
      <c r="U19" s="196"/>
      <c r="V19" s="196"/>
      <c r="W19" s="196"/>
      <c r="X19" s="196"/>
      <c r="Y19" s="196"/>
      <c r="Z19" s="196"/>
      <c r="AA19" s="196"/>
      <c r="AB19" s="197"/>
      <c r="AC19" s="197"/>
      <c r="AD19" s="197"/>
      <c r="AE19" s="197"/>
      <c r="AF19" s="197"/>
      <c r="AG19" s="197"/>
      <c r="AH19" s="197"/>
      <c r="AI19" s="197"/>
      <c r="AJ19" s="197"/>
      <c r="AK19" s="197"/>
      <c r="AL19" s="197"/>
      <c r="AM19" s="198" t="str">
        <f aca="false">IF($A18="","",IF(OR($N18="Yes",$S18="Yes",$X18="Yes",$AC18="Yes",$AH18="Yes"),"Yes","No"))</f>
        <v>No</v>
      </c>
      <c r="AN19" s="198" t="str">
        <f aca="false">IF($A18="","",IFERROR(IF($AI18&lt;&gt;"",$AI18,IF($AD18&lt;&gt;"",$AD18,IF($Y18&lt;&gt;"",$Y18,IF($T18&lt;&gt;"",$T18,IF($O18&lt;&gt;"",$O18,""))))),""))</f>
        <v/>
      </c>
      <c r="AO19" s="198" t="str">
        <f aca="false">IFERROR(IF($AJ18&lt;&gt;"",$AJ18,IF($AE18&lt;&gt;"",$AE18,IF($Z18&lt;&gt;"",$Z18,IF($U18&lt;&gt;"",$U18,IF($P18&lt;&gt;"",$P18,""))))),"")</f>
        <v/>
      </c>
      <c r="AP19" s="199" t="s">
        <v>2236</v>
      </c>
    </row>
    <row r="20" customFormat="false" ht="60" hidden="false" customHeight="true" outlineLevel="0" collapsed="false">
      <c r="A20" s="194" t="str">
        <f aca="false">IF(C20="","",$C$2&amp;"."&amp;COUNTA($C$8:C20)&amp;"")</f>
        <v>TC_09.11</v>
      </c>
      <c r="B20" s="194" t="s">
        <v>505</v>
      </c>
      <c r="C20" s="194" t="s">
        <v>2205</v>
      </c>
      <c r="D20" s="194" t="s">
        <v>40</v>
      </c>
      <c r="E20" s="194" t="s">
        <v>157</v>
      </c>
      <c r="F20" s="195" t="s">
        <v>2237</v>
      </c>
      <c r="G20" s="195" t="s">
        <v>2238</v>
      </c>
      <c r="H20" s="195" t="s">
        <v>2239</v>
      </c>
      <c r="I20" s="195" t="s">
        <v>2240</v>
      </c>
      <c r="J20" s="194" t="s">
        <v>637</v>
      </c>
      <c r="K20" s="194" t="s">
        <v>241</v>
      </c>
      <c r="L20" s="194" t="s">
        <v>638</v>
      </c>
      <c r="M20" s="194"/>
      <c r="N20" s="196"/>
      <c r="O20" s="196"/>
      <c r="P20" s="196"/>
      <c r="Q20" s="196"/>
      <c r="R20" s="196"/>
      <c r="S20" s="196"/>
      <c r="T20" s="196"/>
      <c r="U20" s="196"/>
      <c r="V20" s="196"/>
      <c r="W20" s="196"/>
      <c r="X20" s="196"/>
      <c r="Y20" s="196"/>
      <c r="Z20" s="196"/>
      <c r="AA20" s="196"/>
      <c r="AB20" s="197"/>
      <c r="AC20" s="197"/>
      <c r="AD20" s="197"/>
      <c r="AE20" s="197"/>
      <c r="AF20" s="197"/>
      <c r="AG20" s="197"/>
      <c r="AH20" s="197"/>
      <c r="AI20" s="197"/>
      <c r="AJ20" s="197"/>
      <c r="AK20" s="197"/>
      <c r="AL20" s="197"/>
      <c r="AM20" s="198" t="str">
        <f aca="false">IF($A19="","",IF(OR($N19="Yes",$S19="Yes",$X19="Yes",$AC19="Yes",$AH19="Yes"),"Yes","No"))</f>
        <v>No</v>
      </c>
      <c r="AN20" s="198" t="str">
        <f aca="false">IF($A19="","",IFERROR(IF($AI19&lt;&gt;"",$AI19,IF($AD19&lt;&gt;"",$AD19,IF($Y19&lt;&gt;"",$Y19,IF($T19&lt;&gt;"",$T19,IF($O19&lt;&gt;"",$O19,""))))),""))</f>
        <v/>
      </c>
      <c r="AO20" s="198" t="str">
        <f aca="false">IFERROR(IF($AJ19&lt;&gt;"",$AJ19,IF($AE19&lt;&gt;"",$AE19,IF($Z19&lt;&gt;"",$Z19,IF($U19&lt;&gt;"",$U19,IF($P19&lt;&gt;"",$P19,""))))),"")</f>
        <v/>
      </c>
      <c r="AP20" s="199" t="s">
        <v>2241</v>
      </c>
    </row>
    <row r="21" customFormat="false" ht="19.5" hidden="false" customHeight="true" outlineLevel="0" collapsed="false">
      <c r="A21" s="194"/>
      <c r="B21" s="200" t="s">
        <v>2242</v>
      </c>
      <c r="C21" s="200"/>
      <c r="D21" s="200"/>
      <c r="E21" s="200"/>
      <c r="F21" s="200"/>
      <c r="G21" s="200"/>
      <c r="H21" s="200"/>
      <c r="I21" s="200"/>
      <c r="J21" s="194"/>
      <c r="K21" s="194"/>
      <c r="L21" s="194"/>
      <c r="M21" s="194"/>
      <c r="N21" s="196"/>
      <c r="O21" s="196"/>
      <c r="P21" s="196"/>
      <c r="Q21" s="196"/>
      <c r="R21" s="196"/>
      <c r="S21" s="196"/>
      <c r="T21" s="196"/>
      <c r="U21" s="196"/>
      <c r="V21" s="196"/>
      <c r="W21" s="196"/>
      <c r="X21" s="196"/>
      <c r="Y21" s="196"/>
      <c r="Z21" s="196"/>
      <c r="AA21" s="196"/>
      <c r="AB21" s="197"/>
      <c r="AC21" s="197"/>
      <c r="AD21" s="197"/>
      <c r="AE21" s="197"/>
      <c r="AF21" s="197"/>
      <c r="AG21" s="197"/>
      <c r="AH21" s="197"/>
      <c r="AI21" s="197"/>
      <c r="AJ21" s="197"/>
      <c r="AK21" s="197"/>
      <c r="AL21" s="197"/>
      <c r="AM21" s="198"/>
      <c r="AN21" s="198"/>
      <c r="AO21" s="198"/>
      <c r="AP21" s="199"/>
    </row>
    <row r="22" customFormat="false" ht="60" hidden="false" customHeight="true" outlineLevel="0" collapsed="false">
      <c r="A22" s="194" t="str">
        <f aca="false">IF(C22="","",$C$2&amp;"."&amp;COUNTA($C$8:C22)&amp;"")</f>
        <v>TC_09.12</v>
      </c>
      <c r="B22" s="194" t="s">
        <v>505</v>
      </c>
      <c r="C22" s="194" t="s">
        <v>2205</v>
      </c>
      <c r="D22" s="194" t="s">
        <v>40</v>
      </c>
      <c r="E22" s="194" t="s">
        <v>157</v>
      </c>
      <c r="F22" s="195" t="s">
        <v>2243</v>
      </c>
      <c r="G22" s="195" t="s">
        <v>2244</v>
      </c>
      <c r="H22" s="195" t="s">
        <v>2245</v>
      </c>
      <c r="I22" s="195" t="s">
        <v>2246</v>
      </c>
      <c r="J22" s="194" t="s">
        <v>637</v>
      </c>
      <c r="K22" s="194" t="s">
        <v>241</v>
      </c>
      <c r="L22" s="194" t="s">
        <v>638</v>
      </c>
      <c r="M22" s="194"/>
      <c r="N22" s="196"/>
      <c r="O22" s="196"/>
      <c r="P22" s="196"/>
      <c r="Q22" s="196"/>
      <c r="R22" s="196"/>
      <c r="S22" s="196"/>
      <c r="T22" s="196"/>
      <c r="U22" s="196"/>
      <c r="V22" s="196"/>
      <c r="W22" s="196"/>
      <c r="X22" s="196"/>
      <c r="Y22" s="196"/>
      <c r="Z22" s="196"/>
      <c r="AA22" s="196"/>
      <c r="AB22" s="197"/>
      <c r="AC22" s="197"/>
      <c r="AD22" s="197"/>
      <c r="AE22" s="197"/>
      <c r="AF22" s="197"/>
      <c r="AG22" s="197"/>
      <c r="AH22" s="197"/>
      <c r="AI22" s="197"/>
      <c r="AJ22" s="197"/>
      <c r="AK22" s="197"/>
      <c r="AL22" s="197"/>
      <c r="AM22" s="198" t="str">
        <f aca="false">IF($A21="","",IF(OR($N21="Yes",$S21="Yes",$X21="Yes",$AC21="Yes",$AH21="Yes"),"Yes","No"))</f>
        <v/>
      </c>
      <c r="AN22" s="198" t="str">
        <f aca="false">IF($A21="","",IFERROR(IF($AI21&lt;&gt;"",$AI21,IF($AD21&lt;&gt;"",$AD21,IF($Y21&lt;&gt;"",$Y21,IF($T21&lt;&gt;"",$T21,IF($O21&lt;&gt;"",$O21,""))))),""))</f>
        <v/>
      </c>
      <c r="AO22" s="198" t="str">
        <f aca="false">IFERROR(IF($AJ21&lt;&gt;"",$AJ21,IF($AE21&lt;&gt;"",$AE21,IF($Z21&lt;&gt;"",$Z21,IF($U21&lt;&gt;"",$U21,IF($P21&lt;&gt;"",$P21,""))))),"")</f>
        <v/>
      </c>
      <c r="AP22" s="199"/>
    </row>
    <row r="23" customFormat="false" ht="60" hidden="false" customHeight="true" outlineLevel="0" collapsed="false">
      <c r="A23" s="194" t="str">
        <f aca="false">IF(C23="","",$C$2&amp;"."&amp;COUNTA($C$8:C23)&amp;"")</f>
        <v>TC_09.13</v>
      </c>
      <c r="B23" s="194" t="s">
        <v>505</v>
      </c>
      <c r="C23" s="194" t="s">
        <v>2205</v>
      </c>
      <c r="D23" s="194" t="s">
        <v>42</v>
      </c>
      <c r="E23" s="194" t="s">
        <v>157</v>
      </c>
      <c r="F23" s="195" t="s">
        <v>2247</v>
      </c>
      <c r="G23" s="195" t="s">
        <v>2248</v>
      </c>
      <c r="H23" s="195" t="s">
        <v>2249</v>
      </c>
      <c r="I23" s="195" t="s">
        <v>2250</v>
      </c>
      <c r="J23" s="194" t="s">
        <v>637</v>
      </c>
      <c r="K23" s="194" t="s">
        <v>241</v>
      </c>
      <c r="L23" s="194" t="s">
        <v>638</v>
      </c>
      <c r="M23" s="194"/>
      <c r="N23" s="196"/>
      <c r="O23" s="196"/>
      <c r="P23" s="196"/>
      <c r="Q23" s="196"/>
      <c r="R23" s="196"/>
      <c r="S23" s="196"/>
      <c r="T23" s="196"/>
      <c r="U23" s="196"/>
      <c r="V23" s="196"/>
      <c r="W23" s="196"/>
      <c r="X23" s="196"/>
      <c r="Y23" s="196"/>
      <c r="Z23" s="196"/>
      <c r="AA23" s="196"/>
      <c r="AB23" s="197"/>
      <c r="AC23" s="197"/>
      <c r="AD23" s="197"/>
      <c r="AE23" s="197"/>
      <c r="AF23" s="197"/>
      <c r="AG23" s="197"/>
      <c r="AH23" s="197"/>
      <c r="AI23" s="197"/>
      <c r="AJ23" s="197"/>
      <c r="AK23" s="197"/>
      <c r="AL23" s="197"/>
      <c r="AM23" s="198" t="str">
        <f aca="false">IF($A22="","",IF(OR($N22="Yes",$S22="Yes",$X22="Yes",$AC22="Yes",$AH22="Yes"),"Yes","No"))</f>
        <v>No</v>
      </c>
      <c r="AN23" s="198" t="str">
        <f aca="false">IF($A22="","",IFERROR(IF($AI22&lt;&gt;"",$AI22,IF($AD22&lt;&gt;"",$AD22,IF($Y22&lt;&gt;"",$Y22,IF($T22&lt;&gt;"",$T22,IF($O22&lt;&gt;"",$O22,""))))),""))</f>
        <v/>
      </c>
      <c r="AO23" s="198" t="str">
        <f aca="false">IFERROR(IF($AJ22&lt;&gt;"",$AJ22,IF($AE22&lt;&gt;"",$AE22,IF($Z22&lt;&gt;"",$Z22,IF($U22&lt;&gt;"",$U22,IF($P22&lt;&gt;"",$P22,""))))),"")</f>
        <v/>
      </c>
      <c r="AP23" s="199" t="s">
        <v>2251</v>
      </c>
    </row>
    <row r="24" customFormat="false" ht="60" hidden="false" customHeight="true" outlineLevel="0" collapsed="false">
      <c r="A24" s="194" t="str">
        <f aca="false">IF(C24="","",$C$2&amp;"."&amp;COUNTA($C$8:C24)&amp;"")</f>
        <v>TC_09.14</v>
      </c>
      <c r="B24" s="194" t="s">
        <v>505</v>
      </c>
      <c r="C24" s="194" t="s">
        <v>2205</v>
      </c>
      <c r="D24" s="194" t="s">
        <v>40</v>
      </c>
      <c r="E24" s="194" t="s">
        <v>158</v>
      </c>
      <c r="F24" s="195" t="s">
        <v>2252</v>
      </c>
      <c r="G24" s="195" t="s">
        <v>2253</v>
      </c>
      <c r="H24" s="195" t="s">
        <v>2254</v>
      </c>
      <c r="I24" s="195" t="s">
        <v>2255</v>
      </c>
      <c r="J24" s="194" t="s">
        <v>637</v>
      </c>
      <c r="K24" s="194" t="s">
        <v>241</v>
      </c>
      <c r="L24" s="194" t="s">
        <v>638</v>
      </c>
      <c r="M24" s="194"/>
      <c r="N24" s="196"/>
      <c r="O24" s="196"/>
      <c r="P24" s="196"/>
      <c r="Q24" s="196"/>
      <c r="R24" s="196"/>
      <c r="S24" s="196"/>
      <c r="T24" s="196"/>
      <c r="U24" s="196"/>
      <c r="V24" s="196"/>
      <c r="W24" s="196"/>
      <c r="X24" s="196"/>
      <c r="Y24" s="196"/>
      <c r="Z24" s="196"/>
      <c r="AA24" s="196"/>
      <c r="AB24" s="197"/>
      <c r="AC24" s="197"/>
      <c r="AD24" s="197"/>
      <c r="AE24" s="197"/>
      <c r="AF24" s="197"/>
      <c r="AG24" s="197"/>
      <c r="AH24" s="197"/>
      <c r="AI24" s="197"/>
      <c r="AJ24" s="197"/>
      <c r="AK24" s="197"/>
      <c r="AL24" s="197"/>
      <c r="AM24" s="198" t="str">
        <f aca="false">IF($A23="","",IF(OR($N23="Yes",$S23="Yes",$X23="Yes",$AC23="Yes",$AH23="Yes"),"Yes","No"))</f>
        <v>No</v>
      </c>
      <c r="AN24" s="198" t="str">
        <f aca="false">IF($A23="","",IFERROR(IF($AI23&lt;&gt;"",$AI23,IF($AD23&lt;&gt;"",$AD23,IF($Y23&lt;&gt;"",$Y23,IF($T23&lt;&gt;"",$T23,IF($O23&lt;&gt;"",$O23,""))))),""))</f>
        <v/>
      </c>
      <c r="AO24" s="198" t="str">
        <f aca="false">IFERROR(IF($AJ23&lt;&gt;"",$AJ23,IF($AE23&lt;&gt;"",$AE23,IF($Z23&lt;&gt;"",$Z23,IF($U23&lt;&gt;"",$U23,IF($P23&lt;&gt;"",$P23,""))))),"")</f>
        <v/>
      </c>
      <c r="AP24" s="199"/>
    </row>
    <row r="25" customFormat="false" ht="60" hidden="false" customHeight="true" outlineLevel="0" collapsed="false">
      <c r="A25" s="194" t="str">
        <f aca="false">IF(C25="","",$C$2&amp;"."&amp;COUNTA($C$8:C25)&amp;"")</f>
        <v>TC_09.15</v>
      </c>
      <c r="B25" s="194" t="s">
        <v>505</v>
      </c>
      <c r="C25" s="194" t="s">
        <v>2205</v>
      </c>
      <c r="D25" s="194" t="s">
        <v>44</v>
      </c>
      <c r="E25" s="194" t="s">
        <v>157</v>
      </c>
      <c r="F25" s="195" t="s">
        <v>2256</v>
      </c>
      <c r="G25" s="195" t="s">
        <v>2257</v>
      </c>
      <c r="H25" s="195" t="s">
        <v>2258</v>
      </c>
      <c r="I25" s="195" t="s">
        <v>2259</v>
      </c>
      <c r="J25" s="194" t="s">
        <v>637</v>
      </c>
      <c r="K25" s="194" t="s">
        <v>241</v>
      </c>
      <c r="L25" s="194" t="s">
        <v>638</v>
      </c>
      <c r="M25" s="194"/>
      <c r="N25" s="196"/>
      <c r="O25" s="196"/>
      <c r="P25" s="196"/>
      <c r="Q25" s="196"/>
      <c r="R25" s="196"/>
      <c r="S25" s="196"/>
      <c r="T25" s="196"/>
      <c r="U25" s="196"/>
      <c r="V25" s="196"/>
      <c r="W25" s="196"/>
      <c r="X25" s="196"/>
      <c r="Y25" s="196"/>
      <c r="Z25" s="196"/>
      <c r="AA25" s="196"/>
      <c r="AB25" s="197"/>
      <c r="AC25" s="197"/>
      <c r="AD25" s="197"/>
      <c r="AE25" s="197"/>
      <c r="AF25" s="197"/>
      <c r="AG25" s="197"/>
      <c r="AH25" s="197"/>
      <c r="AI25" s="197"/>
      <c r="AJ25" s="197"/>
      <c r="AK25" s="197"/>
      <c r="AL25" s="197"/>
      <c r="AM25" s="198" t="str">
        <f aca="false">IF($A24="","",IF(OR($N24="Yes",$S24="Yes",$X24="Yes",$AC24="Yes",$AH24="Yes"),"Yes","No"))</f>
        <v>No</v>
      </c>
      <c r="AN25" s="198" t="str">
        <f aca="false">IF($A24="","",IFERROR(IF($AI24&lt;&gt;"",$AI24,IF($AD24&lt;&gt;"",$AD24,IF($Y24&lt;&gt;"",$Y24,IF($T24&lt;&gt;"",$T24,IF($O24&lt;&gt;"",$O24,""))))),""))</f>
        <v/>
      </c>
      <c r="AO25" s="198" t="str">
        <f aca="false">IFERROR(IF($AJ24&lt;&gt;"",$AJ24,IF($AE24&lt;&gt;"",$AE24,IF($Z24&lt;&gt;"",$Z24,IF($U24&lt;&gt;"",$U24,IF($P24&lt;&gt;"",$P24,""))))),"")</f>
        <v/>
      </c>
      <c r="AP25" s="199" t="s">
        <v>2260</v>
      </c>
    </row>
    <row r="26" customFormat="false" ht="19.5" hidden="false" customHeight="true" outlineLevel="0" collapsed="false">
      <c r="A26" s="194"/>
      <c r="B26" s="200" t="s">
        <v>2261</v>
      </c>
      <c r="C26" s="200"/>
      <c r="D26" s="200"/>
      <c r="E26" s="200"/>
      <c r="F26" s="200"/>
      <c r="G26" s="200"/>
      <c r="H26" s="200"/>
      <c r="I26" s="200"/>
      <c r="J26" s="194"/>
      <c r="K26" s="194"/>
      <c r="L26" s="194"/>
      <c r="M26" s="194"/>
      <c r="N26" s="196"/>
      <c r="O26" s="196"/>
      <c r="P26" s="196"/>
      <c r="Q26" s="196"/>
      <c r="R26" s="196"/>
      <c r="S26" s="196"/>
      <c r="T26" s="196"/>
      <c r="U26" s="196"/>
      <c r="V26" s="196"/>
      <c r="W26" s="196"/>
      <c r="X26" s="196"/>
      <c r="Y26" s="196"/>
      <c r="Z26" s="196"/>
      <c r="AA26" s="196"/>
      <c r="AB26" s="197"/>
      <c r="AC26" s="197"/>
      <c r="AD26" s="197"/>
      <c r="AE26" s="197"/>
      <c r="AF26" s="197"/>
      <c r="AG26" s="197"/>
      <c r="AH26" s="197"/>
      <c r="AI26" s="197"/>
      <c r="AJ26" s="197"/>
      <c r="AK26" s="197"/>
      <c r="AL26" s="197"/>
      <c r="AM26" s="198"/>
      <c r="AN26" s="198"/>
      <c r="AO26" s="198"/>
      <c r="AP26" s="199"/>
    </row>
    <row r="27" customFormat="false" ht="60" hidden="false" customHeight="true" outlineLevel="0" collapsed="false">
      <c r="A27" s="194" t="str">
        <f aca="false">IF(C27="","",$C$2&amp;"."&amp;COUNTA($C$8:C27)&amp;"")</f>
        <v>TC_09.16</v>
      </c>
      <c r="B27" s="194" t="s">
        <v>599</v>
      </c>
      <c r="C27" s="194" t="s">
        <v>601</v>
      </c>
      <c r="D27" s="194" t="s">
        <v>40</v>
      </c>
      <c r="E27" s="194" t="s">
        <v>157</v>
      </c>
      <c r="F27" s="195" t="s">
        <v>2262</v>
      </c>
      <c r="G27" s="195" t="s">
        <v>2263</v>
      </c>
      <c r="H27" s="195" t="s">
        <v>2264</v>
      </c>
      <c r="I27" s="195" t="s">
        <v>2265</v>
      </c>
      <c r="J27" s="194" t="s">
        <v>637</v>
      </c>
      <c r="K27" s="194" t="s">
        <v>241</v>
      </c>
      <c r="L27" s="194" t="s">
        <v>638</v>
      </c>
      <c r="M27" s="194"/>
      <c r="N27" s="196"/>
      <c r="O27" s="196"/>
      <c r="P27" s="196"/>
      <c r="Q27" s="196"/>
      <c r="R27" s="196"/>
      <c r="S27" s="196"/>
      <c r="T27" s="196"/>
      <c r="U27" s="196"/>
      <c r="V27" s="196"/>
      <c r="W27" s="196"/>
      <c r="X27" s="196"/>
      <c r="Y27" s="196"/>
      <c r="Z27" s="196"/>
      <c r="AA27" s="196"/>
      <c r="AB27" s="197"/>
      <c r="AC27" s="197"/>
      <c r="AD27" s="197"/>
      <c r="AE27" s="197"/>
      <c r="AF27" s="197"/>
      <c r="AG27" s="197"/>
      <c r="AH27" s="197"/>
      <c r="AI27" s="197"/>
      <c r="AJ27" s="197"/>
      <c r="AK27" s="197"/>
      <c r="AL27" s="197"/>
      <c r="AM27" s="198" t="str">
        <f aca="false">IF($A26="","",IF(OR($N26="Yes",$S26="Yes",$X26="Yes",$AC26="Yes",$AH26="Yes"),"Yes","No"))</f>
        <v/>
      </c>
      <c r="AN27" s="198" t="str">
        <f aca="false">IF($A26="","",IFERROR(IF($AI26&lt;&gt;"",$AI26,IF($AD26&lt;&gt;"",$AD26,IF($Y26&lt;&gt;"",$Y26,IF($T26&lt;&gt;"",$T26,IF($O26&lt;&gt;"",$O26,""))))),""))</f>
        <v/>
      </c>
      <c r="AO27" s="198" t="str">
        <f aca="false">IFERROR(IF($AJ26&lt;&gt;"",$AJ26,IF($AE26&lt;&gt;"",$AE26,IF($Z26&lt;&gt;"",$Z26,IF($U26&lt;&gt;"",$U26,IF($P26&lt;&gt;"",$P26,""))))),"")</f>
        <v/>
      </c>
      <c r="AP27" s="199" t="s">
        <v>2266</v>
      </c>
    </row>
    <row r="28" customFormat="false" ht="60" hidden="false" customHeight="true" outlineLevel="0" collapsed="false">
      <c r="A28" s="194" t="str">
        <f aca="false">IF(C28="","",$C$2&amp;"."&amp;COUNTA($C$8:C28)&amp;"")</f>
        <v>TC_09.17</v>
      </c>
      <c r="B28" s="194" t="s">
        <v>599</v>
      </c>
      <c r="C28" s="194" t="s">
        <v>601</v>
      </c>
      <c r="D28" s="194" t="s">
        <v>40</v>
      </c>
      <c r="E28" s="194" t="s">
        <v>157</v>
      </c>
      <c r="F28" s="195" t="s">
        <v>2267</v>
      </c>
      <c r="G28" s="195" t="s">
        <v>2268</v>
      </c>
      <c r="H28" s="195" t="s">
        <v>2269</v>
      </c>
      <c r="I28" s="195" t="s">
        <v>2270</v>
      </c>
      <c r="J28" s="194" t="s">
        <v>637</v>
      </c>
      <c r="K28" s="194" t="s">
        <v>241</v>
      </c>
      <c r="L28" s="194" t="s">
        <v>638</v>
      </c>
      <c r="M28" s="194"/>
      <c r="N28" s="196"/>
      <c r="O28" s="196"/>
      <c r="P28" s="196"/>
      <c r="Q28" s="196"/>
      <c r="R28" s="196"/>
      <c r="S28" s="196"/>
      <c r="T28" s="196"/>
      <c r="U28" s="196"/>
      <c r="V28" s="196"/>
      <c r="W28" s="196"/>
      <c r="X28" s="196"/>
      <c r="Y28" s="196"/>
      <c r="Z28" s="196"/>
      <c r="AA28" s="196"/>
      <c r="AB28" s="197"/>
      <c r="AC28" s="197"/>
      <c r="AD28" s="197"/>
      <c r="AE28" s="197"/>
      <c r="AF28" s="197"/>
      <c r="AG28" s="197"/>
      <c r="AH28" s="197"/>
      <c r="AI28" s="197"/>
      <c r="AJ28" s="197"/>
      <c r="AK28" s="197"/>
      <c r="AL28" s="197"/>
      <c r="AM28" s="198" t="str">
        <f aca="false">IF($A27="","",IF(OR($N27="Yes",$S27="Yes",$X27="Yes",$AC27="Yes",$AH27="Yes"),"Yes","No"))</f>
        <v>No</v>
      </c>
      <c r="AN28" s="198" t="str">
        <f aca="false">IF($A27="","",IFERROR(IF($AI27&lt;&gt;"",$AI27,IF($AD27&lt;&gt;"",$AD27,IF($Y27&lt;&gt;"",$Y27,IF($T27&lt;&gt;"",$T27,IF($O27&lt;&gt;"",$O27,""))))),""))</f>
        <v/>
      </c>
      <c r="AO28" s="198" t="str">
        <f aca="false">IFERROR(IF($AJ27&lt;&gt;"",$AJ27,IF($AE27&lt;&gt;"",$AE27,IF($Z27&lt;&gt;"",$Z27,IF($U27&lt;&gt;"",$U27,IF($P27&lt;&gt;"",$P27,""))))),"")</f>
        <v/>
      </c>
      <c r="AP28" s="199" t="s">
        <v>2271</v>
      </c>
    </row>
    <row r="29" customFormat="false" ht="15" hidden="false" customHeight="true" outlineLevel="0" collapsed="false">
      <c r="A29" s="194"/>
      <c r="B29" s="206"/>
      <c r="F29" s="207"/>
      <c r="G29" s="207"/>
      <c r="H29" s="207"/>
      <c r="I29" s="207"/>
      <c r="J29" s="194"/>
      <c r="K29" s="194"/>
      <c r="L29" s="194"/>
      <c r="M29" s="194"/>
      <c r="N29" s="196"/>
      <c r="O29" s="196"/>
      <c r="P29" s="196"/>
      <c r="Q29" s="196"/>
      <c r="R29" s="196"/>
      <c r="S29" s="196"/>
      <c r="T29" s="196"/>
      <c r="U29" s="196"/>
      <c r="V29" s="196"/>
      <c r="W29" s="196"/>
      <c r="X29" s="196"/>
      <c r="Y29" s="196"/>
      <c r="Z29" s="196"/>
      <c r="AA29" s="196"/>
      <c r="AB29" s="197"/>
      <c r="AC29" s="197"/>
      <c r="AD29" s="197"/>
      <c r="AE29" s="197"/>
      <c r="AF29" s="197"/>
      <c r="AG29" s="197"/>
      <c r="AH29" s="197"/>
      <c r="AI29" s="197"/>
      <c r="AJ29" s="197"/>
      <c r="AK29" s="197"/>
      <c r="AL29" s="197"/>
      <c r="AM29" s="198"/>
      <c r="AN29" s="198"/>
      <c r="AO29" s="198"/>
      <c r="AP29" s="199"/>
    </row>
    <row r="30" customFormat="false" ht="15" hidden="false" customHeight="true" outlineLevel="0" collapsed="false">
      <c r="A30" s="194"/>
      <c r="B30" s="194"/>
      <c r="C30" s="194"/>
      <c r="D30" s="194"/>
      <c r="E30" s="194"/>
      <c r="F30" s="195"/>
      <c r="G30" s="195"/>
      <c r="H30" s="195"/>
      <c r="I30" s="195"/>
      <c r="J30" s="194"/>
      <c r="K30" s="194"/>
      <c r="L30" s="194"/>
      <c r="M30" s="194"/>
      <c r="N30" s="196"/>
      <c r="O30" s="196"/>
      <c r="P30" s="196"/>
      <c r="Q30" s="196"/>
      <c r="R30" s="196"/>
      <c r="S30" s="196"/>
      <c r="T30" s="196"/>
      <c r="U30" s="196"/>
      <c r="V30" s="196"/>
      <c r="W30" s="196"/>
      <c r="X30" s="196"/>
      <c r="Y30" s="196"/>
      <c r="Z30" s="196"/>
      <c r="AA30" s="196"/>
      <c r="AB30" s="197"/>
      <c r="AC30" s="197"/>
      <c r="AD30" s="197"/>
      <c r="AE30" s="197"/>
      <c r="AF30" s="197"/>
      <c r="AG30" s="197"/>
      <c r="AH30" s="197"/>
      <c r="AI30" s="197"/>
      <c r="AJ30" s="197"/>
      <c r="AK30" s="197"/>
      <c r="AL30" s="197"/>
      <c r="AM30" s="198"/>
      <c r="AN30" s="198"/>
      <c r="AO30" s="198"/>
      <c r="AP30" s="199"/>
    </row>
    <row r="31" customFormat="false" ht="15" hidden="false" customHeight="true" outlineLevel="0" collapsed="false">
      <c r="A31" s="194"/>
      <c r="B31" s="194"/>
      <c r="C31" s="194"/>
      <c r="D31" s="194"/>
      <c r="E31" s="194"/>
      <c r="F31" s="195"/>
      <c r="G31" s="195"/>
      <c r="H31" s="195"/>
      <c r="I31" s="195"/>
      <c r="J31" s="194"/>
      <c r="K31" s="194"/>
      <c r="L31" s="194"/>
      <c r="M31" s="194"/>
      <c r="N31" s="196"/>
      <c r="O31" s="196"/>
      <c r="P31" s="196"/>
      <c r="Q31" s="196"/>
      <c r="R31" s="196"/>
      <c r="S31" s="196"/>
      <c r="T31" s="196"/>
      <c r="U31" s="196"/>
      <c r="V31" s="196"/>
      <c r="W31" s="196"/>
      <c r="X31" s="196"/>
      <c r="Y31" s="196"/>
      <c r="Z31" s="196"/>
      <c r="AA31" s="196"/>
      <c r="AB31" s="197"/>
      <c r="AC31" s="197"/>
      <c r="AD31" s="197"/>
      <c r="AE31" s="197"/>
      <c r="AF31" s="197"/>
      <c r="AG31" s="197"/>
      <c r="AH31" s="197"/>
      <c r="AI31" s="197"/>
      <c r="AJ31" s="197"/>
      <c r="AK31" s="197"/>
      <c r="AL31" s="197"/>
      <c r="AM31" s="198"/>
      <c r="AN31" s="198"/>
      <c r="AO31" s="198"/>
      <c r="AP31" s="199"/>
    </row>
    <row r="32" customFormat="false" ht="15" hidden="false" customHeight="true" outlineLevel="0" collapsed="false">
      <c r="A32" s="194"/>
      <c r="B32" s="194"/>
      <c r="C32" s="194"/>
      <c r="D32" s="194"/>
      <c r="E32" s="194"/>
      <c r="F32" s="195"/>
      <c r="G32" s="195"/>
      <c r="H32" s="195"/>
      <c r="I32" s="195"/>
      <c r="J32" s="194"/>
      <c r="K32" s="194"/>
      <c r="L32" s="194"/>
      <c r="M32" s="194"/>
      <c r="N32" s="196"/>
      <c r="O32" s="196"/>
      <c r="P32" s="196"/>
      <c r="Q32" s="196"/>
      <c r="R32" s="196"/>
      <c r="S32" s="196"/>
      <c r="T32" s="196"/>
      <c r="U32" s="196"/>
      <c r="V32" s="196"/>
      <c r="W32" s="196"/>
      <c r="X32" s="196"/>
      <c r="Y32" s="196"/>
      <c r="Z32" s="196"/>
      <c r="AA32" s="196"/>
      <c r="AB32" s="197"/>
      <c r="AC32" s="197"/>
      <c r="AD32" s="197"/>
      <c r="AE32" s="197"/>
      <c r="AF32" s="197"/>
      <c r="AG32" s="197"/>
      <c r="AH32" s="197"/>
      <c r="AI32" s="197"/>
      <c r="AJ32" s="197"/>
      <c r="AK32" s="197"/>
      <c r="AL32" s="197"/>
      <c r="AM32" s="198"/>
      <c r="AN32" s="198"/>
      <c r="AO32" s="198"/>
      <c r="AP32" s="199"/>
    </row>
    <row r="33" customFormat="false" ht="15" hidden="false" customHeight="true" outlineLevel="0" collapsed="false">
      <c r="A33" s="194"/>
      <c r="B33" s="194"/>
      <c r="C33" s="194"/>
      <c r="D33" s="194"/>
      <c r="E33" s="194"/>
      <c r="F33" s="195"/>
      <c r="G33" s="195"/>
      <c r="H33" s="195"/>
      <c r="I33" s="195"/>
      <c r="J33" s="194"/>
      <c r="K33" s="194"/>
      <c r="L33" s="194"/>
      <c r="M33" s="194"/>
      <c r="N33" s="196"/>
      <c r="O33" s="196"/>
      <c r="P33" s="196"/>
      <c r="Q33" s="196"/>
      <c r="R33" s="196"/>
      <c r="S33" s="196"/>
      <c r="T33" s="196"/>
      <c r="U33" s="196"/>
      <c r="V33" s="196"/>
      <c r="W33" s="196"/>
      <c r="X33" s="196"/>
      <c r="Y33" s="196"/>
      <c r="Z33" s="196"/>
      <c r="AA33" s="196"/>
      <c r="AB33" s="197"/>
      <c r="AC33" s="197"/>
      <c r="AD33" s="197"/>
      <c r="AE33" s="197"/>
      <c r="AF33" s="197"/>
      <c r="AG33" s="197"/>
      <c r="AH33" s="197"/>
      <c r="AI33" s="197"/>
      <c r="AJ33" s="197"/>
      <c r="AK33" s="197"/>
      <c r="AL33" s="197"/>
      <c r="AM33" s="198"/>
      <c r="AN33" s="198"/>
      <c r="AO33" s="198"/>
      <c r="AP33" s="199"/>
    </row>
    <row r="34" customFormat="false" ht="15" hidden="false" customHeight="true" outlineLevel="0" collapsed="false">
      <c r="A34" s="194"/>
      <c r="B34" s="194"/>
      <c r="C34" s="194"/>
      <c r="D34" s="194"/>
      <c r="E34" s="194"/>
      <c r="F34" s="195"/>
      <c r="G34" s="195"/>
      <c r="H34" s="195"/>
      <c r="I34" s="195"/>
      <c r="J34" s="194"/>
      <c r="K34" s="194"/>
      <c r="L34" s="194"/>
      <c r="M34" s="194"/>
      <c r="N34" s="196"/>
      <c r="O34" s="196"/>
      <c r="P34" s="196"/>
      <c r="Q34" s="196"/>
      <c r="R34" s="196"/>
      <c r="S34" s="196"/>
      <c r="T34" s="196"/>
      <c r="U34" s="196"/>
      <c r="V34" s="196"/>
      <c r="W34" s="196"/>
      <c r="X34" s="196"/>
      <c r="Y34" s="196"/>
      <c r="Z34" s="196"/>
      <c r="AA34" s="196"/>
      <c r="AB34" s="197"/>
      <c r="AC34" s="197"/>
      <c r="AD34" s="197"/>
      <c r="AE34" s="197"/>
      <c r="AF34" s="197"/>
      <c r="AG34" s="197"/>
      <c r="AH34" s="197"/>
      <c r="AI34" s="197"/>
      <c r="AJ34" s="197"/>
      <c r="AK34" s="197"/>
      <c r="AL34" s="197"/>
      <c r="AM34" s="198"/>
      <c r="AN34" s="198"/>
      <c r="AO34" s="198"/>
      <c r="AP34" s="199"/>
    </row>
    <row r="35" customFormat="false" ht="15" hidden="false" customHeight="true" outlineLevel="0" collapsed="false">
      <c r="A35" s="194"/>
      <c r="B35" s="194"/>
      <c r="C35" s="194"/>
      <c r="D35" s="194"/>
      <c r="E35" s="194"/>
      <c r="F35" s="195"/>
      <c r="G35" s="195"/>
      <c r="H35" s="195"/>
      <c r="I35" s="195"/>
      <c r="J35" s="194"/>
      <c r="K35" s="194"/>
      <c r="L35" s="194"/>
      <c r="M35" s="194"/>
      <c r="N35" s="196"/>
      <c r="O35" s="196"/>
      <c r="P35" s="196"/>
      <c r="Q35" s="196"/>
      <c r="R35" s="196"/>
      <c r="S35" s="196"/>
      <c r="T35" s="196"/>
      <c r="U35" s="196"/>
      <c r="V35" s="196"/>
      <c r="W35" s="196"/>
      <c r="X35" s="196"/>
      <c r="Y35" s="196"/>
      <c r="Z35" s="196"/>
      <c r="AA35" s="196"/>
      <c r="AB35" s="197"/>
      <c r="AC35" s="197"/>
      <c r="AD35" s="197"/>
      <c r="AE35" s="197"/>
      <c r="AF35" s="197"/>
      <c r="AG35" s="197"/>
      <c r="AH35" s="197"/>
      <c r="AI35" s="197"/>
      <c r="AJ35" s="197"/>
      <c r="AK35" s="197"/>
      <c r="AL35" s="197"/>
      <c r="AM35" s="198"/>
      <c r="AN35" s="198"/>
      <c r="AO35" s="198"/>
      <c r="AP35" s="199"/>
    </row>
    <row r="36" customFormat="false" ht="15" hidden="false" customHeight="true" outlineLevel="0" collapsed="false">
      <c r="A36" s="194"/>
      <c r="B36" s="194"/>
      <c r="C36" s="194"/>
      <c r="D36" s="194"/>
      <c r="E36" s="194"/>
      <c r="F36" s="195"/>
      <c r="G36" s="195"/>
      <c r="H36" s="195"/>
      <c r="I36" s="195"/>
      <c r="J36" s="194"/>
      <c r="K36" s="194"/>
      <c r="L36" s="194"/>
      <c r="M36" s="194"/>
      <c r="N36" s="196"/>
      <c r="O36" s="196"/>
      <c r="P36" s="196"/>
      <c r="Q36" s="196"/>
      <c r="R36" s="196"/>
      <c r="S36" s="196"/>
      <c r="T36" s="196"/>
      <c r="U36" s="196"/>
      <c r="V36" s="196"/>
      <c r="W36" s="196"/>
      <c r="X36" s="196"/>
      <c r="Y36" s="196"/>
      <c r="Z36" s="196"/>
      <c r="AA36" s="196"/>
      <c r="AB36" s="197"/>
      <c r="AC36" s="197"/>
      <c r="AD36" s="197"/>
      <c r="AE36" s="197"/>
      <c r="AF36" s="197"/>
      <c r="AG36" s="197"/>
      <c r="AH36" s="197"/>
      <c r="AI36" s="197"/>
      <c r="AJ36" s="197"/>
      <c r="AK36" s="197"/>
      <c r="AL36" s="197"/>
      <c r="AM36" s="198"/>
      <c r="AN36" s="198"/>
      <c r="AO36" s="198"/>
      <c r="AP36" s="199"/>
    </row>
    <row r="37" customFormat="false" ht="15" hidden="false" customHeight="true" outlineLevel="0" collapsed="false">
      <c r="A37" s="194"/>
      <c r="B37" s="194"/>
      <c r="C37" s="194"/>
      <c r="D37" s="194"/>
      <c r="E37" s="194"/>
      <c r="F37" s="195"/>
      <c r="G37" s="195"/>
      <c r="H37" s="195"/>
      <c r="I37" s="195"/>
      <c r="J37" s="194"/>
      <c r="K37" s="194"/>
      <c r="L37" s="194"/>
      <c r="M37" s="194"/>
      <c r="N37" s="196"/>
      <c r="O37" s="196"/>
      <c r="P37" s="196"/>
      <c r="Q37" s="196"/>
      <c r="R37" s="196"/>
      <c r="S37" s="196"/>
      <c r="T37" s="196"/>
      <c r="U37" s="196"/>
      <c r="V37" s="196"/>
      <c r="W37" s="196"/>
      <c r="X37" s="196"/>
      <c r="Y37" s="196"/>
      <c r="Z37" s="196"/>
      <c r="AA37" s="196"/>
      <c r="AB37" s="197"/>
      <c r="AC37" s="197"/>
      <c r="AD37" s="197"/>
      <c r="AE37" s="197"/>
      <c r="AF37" s="197"/>
      <c r="AG37" s="197"/>
      <c r="AH37" s="197"/>
      <c r="AI37" s="197"/>
      <c r="AJ37" s="197"/>
      <c r="AK37" s="197"/>
      <c r="AL37" s="197"/>
      <c r="AM37" s="198"/>
      <c r="AN37" s="198"/>
      <c r="AO37" s="198"/>
      <c r="AP37" s="199"/>
    </row>
    <row r="38" customFormat="false" ht="15" hidden="false" customHeight="true" outlineLevel="0" collapsed="false">
      <c r="A38" s="194"/>
      <c r="B38" s="194"/>
      <c r="C38" s="194"/>
      <c r="D38" s="194"/>
      <c r="E38" s="194"/>
      <c r="F38" s="195"/>
      <c r="G38" s="195"/>
      <c r="H38" s="195"/>
      <c r="I38" s="195"/>
      <c r="J38" s="194"/>
      <c r="K38" s="194"/>
      <c r="L38" s="194"/>
      <c r="M38" s="194"/>
      <c r="N38" s="196"/>
      <c r="O38" s="196"/>
      <c r="P38" s="196"/>
      <c r="Q38" s="196"/>
      <c r="R38" s="196"/>
      <c r="S38" s="196"/>
      <c r="T38" s="196"/>
      <c r="U38" s="196"/>
      <c r="V38" s="196"/>
      <c r="W38" s="196"/>
      <c r="X38" s="196"/>
      <c r="Y38" s="196"/>
      <c r="Z38" s="196"/>
      <c r="AA38" s="196"/>
      <c r="AB38" s="197"/>
      <c r="AC38" s="197"/>
      <c r="AD38" s="197"/>
      <c r="AE38" s="197"/>
      <c r="AF38" s="197"/>
      <c r="AG38" s="197"/>
      <c r="AH38" s="197"/>
      <c r="AI38" s="197"/>
      <c r="AJ38" s="197"/>
      <c r="AK38" s="197"/>
      <c r="AL38" s="197"/>
      <c r="AM38" s="198"/>
      <c r="AN38" s="198"/>
      <c r="AO38" s="198"/>
      <c r="AP38" s="199"/>
    </row>
    <row r="39" customFormat="false" ht="15" hidden="false" customHeight="true" outlineLevel="0" collapsed="false">
      <c r="A39" s="194"/>
      <c r="B39" s="194"/>
      <c r="C39" s="194"/>
      <c r="D39" s="194"/>
      <c r="E39" s="194"/>
      <c r="F39" s="195"/>
      <c r="G39" s="195"/>
      <c r="H39" s="195"/>
      <c r="I39" s="195"/>
      <c r="J39" s="194"/>
      <c r="K39" s="194"/>
      <c r="L39" s="194"/>
      <c r="M39" s="194"/>
      <c r="N39" s="196"/>
      <c r="O39" s="196"/>
      <c r="P39" s="196"/>
      <c r="Q39" s="196"/>
      <c r="R39" s="196"/>
      <c r="S39" s="196"/>
      <c r="T39" s="196"/>
      <c r="U39" s="196"/>
      <c r="V39" s="196"/>
      <c r="W39" s="196"/>
      <c r="X39" s="196"/>
      <c r="Y39" s="196"/>
      <c r="Z39" s="196"/>
      <c r="AA39" s="196"/>
      <c r="AB39" s="197"/>
      <c r="AC39" s="197"/>
      <c r="AD39" s="197"/>
      <c r="AE39" s="197"/>
      <c r="AF39" s="197"/>
      <c r="AG39" s="197"/>
      <c r="AH39" s="197"/>
      <c r="AI39" s="197"/>
      <c r="AJ39" s="197"/>
      <c r="AK39" s="197"/>
      <c r="AL39" s="197"/>
      <c r="AM39" s="198"/>
      <c r="AN39" s="198"/>
      <c r="AO39" s="198"/>
      <c r="AP39" s="199"/>
    </row>
    <row r="40" customFormat="false" ht="15" hidden="false" customHeight="true" outlineLevel="0" collapsed="false">
      <c r="A40" s="194"/>
      <c r="B40" s="194"/>
      <c r="C40" s="194"/>
      <c r="D40" s="194"/>
      <c r="E40" s="194"/>
      <c r="F40" s="195"/>
      <c r="G40" s="195"/>
      <c r="H40" s="195"/>
      <c r="I40" s="195"/>
      <c r="J40" s="194"/>
      <c r="K40" s="194"/>
      <c r="L40" s="194"/>
      <c r="M40" s="194"/>
      <c r="N40" s="196"/>
      <c r="O40" s="196"/>
      <c r="P40" s="196"/>
      <c r="Q40" s="196"/>
      <c r="R40" s="196"/>
      <c r="S40" s="196"/>
      <c r="T40" s="196"/>
      <c r="U40" s="196"/>
      <c r="V40" s="196"/>
      <c r="W40" s="196"/>
      <c r="X40" s="196"/>
      <c r="Y40" s="196"/>
      <c r="Z40" s="196"/>
      <c r="AA40" s="196"/>
      <c r="AB40" s="197"/>
      <c r="AC40" s="197"/>
      <c r="AD40" s="197"/>
      <c r="AE40" s="197"/>
      <c r="AF40" s="197"/>
      <c r="AG40" s="197"/>
      <c r="AH40" s="197"/>
      <c r="AI40" s="197"/>
      <c r="AJ40" s="197"/>
      <c r="AK40" s="197"/>
      <c r="AL40" s="197"/>
      <c r="AM40" s="198"/>
      <c r="AN40" s="198"/>
      <c r="AO40" s="198"/>
      <c r="AP40" s="199"/>
    </row>
    <row r="41" customFormat="false" ht="15" hidden="false" customHeight="true" outlineLevel="0" collapsed="false">
      <c r="A41" s="194"/>
      <c r="B41" s="194"/>
      <c r="C41" s="194"/>
      <c r="D41" s="194"/>
      <c r="E41" s="194"/>
      <c r="F41" s="195"/>
      <c r="G41" s="195"/>
      <c r="H41" s="195"/>
      <c r="I41" s="195"/>
      <c r="J41" s="194"/>
      <c r="K41" s="194"/>
      <c r="L41" s="194"/>
      <c r="M41" s="194"/>
      <c r="N41" s="196"/>
      <c r="O41" s="196"/>
      <c r="P41" s="196"/>
      <c r="Q41" s="196"/>
      <c r="R41" s="196"/>
      <c r="S41" s="196"/>
      <c r="T41" s="196"/>
      <c r="U41" s="196"/>
      <c r="V41" s="196"/>
      <c r="W41" s="196"/>
      <c r="X41" s="196"/>
      <c r="Y41" s="196"/>
      <c r="Z41" s="196"/>
      <c r="AA41" s="196"/>
      <c r="AB41" s="197"/>
      <c r="AC41" s="197"/>
      <c r="AD41" s="197"/>
      <c r="AE41" s="197"/>
      <c r="AF41" s="197"/>
      <c r="AG41" s="197"/>
      <c r="AH41" s="197"/>
      <c r="AI41" s="197"/>
      <c r="AJ41" s="197"/>
      <c r="AK41" s="197"/>
      <c r="AL41" s="197"/>
      <c r="AM41" s="198"/>
      <c r="AN41" s="198"/>
      <c r="AO41" s="198"/>
      <c r="AP41" s="199"/>
    </row>
    <row r="42" customFormat="false" ht="15" hidden="false" customHeight="true" outlineLevel="0" collapsed="false">
      <c r="A42" s="194"/>
      <c r="B42" s="194"/>
      <c r="C42" s="194"/>
      <c r="D42" s="194"/>
      <c r="E42" s="194"/>
      <c r="F42" s="195"/>
      <c r="G42" s="195"/>
      <c r="H42" s="195"/>
      <c r="I42" s="195"/>
      <c r="J42" s="194"/>
      <c r="K42" s="194"/>
      <c r="L42" s="194"/>
      <c r="M42" s="194"/>
      <c r="N42" s="196"/>
      <c r="O42" s="196"/>
      <c r="P42" s="196"/>
      <c r="Q42" s="196"/>
      <c r="R42" s="196"/>
      <c r="S42" s="196"/>
      <c r="T42" s="196"/>
      <c r="U42" s="196"/>
      <c r="V42" s="196"/>
      <c r="W42" s="196"/>
      <c r="X42" s="196"/>
      <c r="Y42" s="196"/>
      <c r="Z42" s="196"/>
      <c r="AA42" s="196"/>
      <c r="AB42" s="197"/>
      <c r="AC42" s="197"/>
      <c r="AD42" s="197"/>
      <c r="AE42" s="197"/>
      <c r="AF42" s="197"/>
      <c r="AG42" s="197"/>
      <c r="AH42" s="197"/>
      <c r="AI42" s="197"/>
      <c r="AJ42" s="197"/>
      <c r="AK42" s="197"/>
      <c r="AL42" s="197"/>
      <c r="AM42" s="198"/>
      <c r="AN42" s="198"/>
      <c r="AO42" s="198"/>
      <c r="AP42" s="199"/>
    </row>
    <row r="43" customFormat="false" ht="15" hidden="false" customHeight="true" outlineLevel="0" collapsed="false">
      <c r="A43" s="194"/>
      <c r="B43" s="194"/>
      <c r="C43" s="194"/>
      <c r="D43" s="194"/>
      <c r="E43" s="194"/>
      <c r="F43" s="195"/>
      <c r="G43" s="195"/>
      <c r="H43" s="195"/>
      <c r="I43" s="195"/>
      <c r="J43" s="194"/>
      <c r="K43" s="194"/>
      <c r="L43" s="194"/>
      <c r="M43" s="194"/>
      <c r="N43" s="196"/>
      <c r="O43" s="196"/>
      <c r="P43" s="196"/>
      <c r="Q43" s="196"/>
      <c r="R43" s="196"/>
      <c r="S43" s="196"/>
      <c r="T43" s="196"/>
      <c r="U43" s="196"/>
      <c r="V43" s="196"/>
      <c r="W43" s="196"/>
      <c r="X43" s="196"/>
      <c r="Y43" s="196"/>
      <c r="Z43" s="196"/>
      <c r="AA43" s="196"/>
      <c r="AB43" s="197"/>
      <c r="AC43" s="197"/>
      <c r="AD43" s="197"/>
      <c r="AE43" s="197"/>
      <c r="AF43" s="197"/>
      <c r="AG43" s="197"/>
      <c r="AH43" s="197"/>
      <c r="AI43" s="197"/>
      <c r="AJ43" s="197"/>
      <c r="AK43" s="197"/>
      <c r="AL43" s="197"/>
      <c r="AM43" s="198"/>
      <c r="AN43" s="198"/>
      <c r="AO43" s="198"/>
      <c r="AP43" s="199"/>
    </row>
    <row r="44" customFormat="false" ht="15" hidden="false" customHeight="true" outlineLevel="0" collapsed="false">
      <c r="A44" s="194"/>
      <c r="B44" s="194"/>
      <c r="C44" s="194"/>
      <c r="D44" s="194"/>
      <c r="E44" s="194"/>
      <c r="F44" s="195"/>
      <c r="G44" s="195"/>
      <c r="H44" s="195"/>
      <c r="I44" s="195"/>
      <c r="J44" s="194"/>
      <c r="K44" s="194"/>
      <c r="L44" s="194"/>
      <c r="M44" s="194"/>
      <c r="N44" s="196"/>
      <c r="O44" s="196"/>
      <c r="P44" s="196"/>
      <c r="Q44" s="196"/>
      <c r="R44" s="196"/>
      <c r="S44" s="196"/>
      <c r="T44" s="196"/>
      <c r="U44" s="196"/>
      <c r="V44" s="196"/>
      <c r="W44" s="196"/>
      <c r="X44" s="196"/>
      <c r="Y44" s="196"/>
      <c r="Z44" s="196"/>
      <c r="AA44" s="196"/>
      <c r="AB44" s="197"/>
      <c r="AC44" s="197"/>
      <c r="AD44" s="197"/>
      <c r="AE44" s="197"/>
      <c r="AF44" s="197"/>
      <c r="AG44" s="197"/>
      <c r="AH44" s="197"/>
      <c r="AI44" s="197"/>
      <c r="AJ44" s="197"/>
      <c r="AK44" s="197"/>
      <c r="AL44" s="197"/>
      <c r="AM44" s="198"/>
      <c r="AN44" s="198"/>
      <c r="AO44" s="198"/>
      <c r="AP44" s="199"/>
    </row>
    <row r="45" customFormat="false" ht="15" hidden="false" customHeight="true" outlineLevel="0" collapsed="false">
      <c r="A45" s="194"/>
      <c r="B45" s="194"/>
      <c r="C45" s="194"/>
      <c r="D45" s="194"/>
      <c r="E45" s="194"/>
      <c r="F45" s="195"/>
      <c r="G45" s="195"/>
      <c r="H45" s="195"/>
      <c r="I45" s="195"/>
      <c r="J45" s="194"/>
      <c r="K45" s="194"/>
      <c r="L45" s="194"/>
      <c r="M45" s="194"/>
      <c r="N45" s="196"/>
      <c r="O45" s="196"/>
      <c r="P45" s="196"/>
      <c r="Q45" s="196"/>
      <c r="R45" s="196"/>
      <c r="S45" s="196"/>
      <c r="T45" s="196"/>
      <c r="U45" s="196"/>
      <c r="V45" s="196"/>
      <c r="W45" s="196"/>
      <c r="X45" s="196"/>
      <c r="Y45" s="196"/>
      <c r="Z45" s="196"/>
      <c r="AA45" s="196"/>
      <c r="AB45" s="197"/>
      <c r="AC45" s="197"/>
      <c r="AD45" s="197"/>
      <c r="AE45" s="197"/>
      <c r="AF45" s="197"/>
      <c r="AG45" s="197"/>
      <c r="AH45" s="197"/>
      <c r="AI45" s="197"/>
      <c r="AJ45" s="197"/>
      <c r="AK45" s="197"/>
      <c r="AL45" s="197"/>
      <c r="AM45" s="198"/>
      <c r="AN45" s="198"/>
      <c r="AO45" s="198"/>
      <c r="AP45" s="199"/>
    </row>
    <row r="46" customFormat="false" ht="15" hidden="false" customHeight="true" outlineLevel="0" collapsed="false">
      <c r="A46" s="194"/>
      <c r="B46" s="194"/>
      <c r="C46" s="194"/>
      <c r="D46" s="194"/>
      <c r="E46" s="194"/>
      <c r="F46" s="195"/>
      <c r="G46" s="195"/>
      <c r="H46" s="195"/>
      <c r="I46" s="195"/>
      <c r="J46" s="194"/>
      <c r="K46" s="194"/>
      <c r="L46" s="194"/>
      <c r="M46" s="194"/>
      <c r="N46" s="196"/>
      <c r="O46" s="196"/>
      <c r="P46" s="196"/>
      <c r="Q46" s="196"/>
      <c r="R46" s="196"/>
      <c r="S46" s="196"/>
      <c r="T46" s="196"/>
      <c r="U46" s="196"/>
      <c r="V46" s="196"/>
      <c r="W46" s="196"/>
      <c r="X46" s="196"/>
      <c r="Y46" s="196"/>
      <c r="Z46" s="196"/>
      <c r="AA46" s="196"/>
      <c r="AB46" s="197"/>
      <c r="AC46" s="197"/>
      <c r="AD46" s="197"/>
      <c r="AE46" s="197"/>
      <c r="AF46" s="197"/>
      <c r="AG46" s="197"/>
      <c r="AH46" s="197"/>
      <c r="AI46" s="197"/>
      <c r="AJ46" s="197"/>
      <c r="AK46" s="197"/>
      <c r="AL46" s="197"/>
      <c r="AM46" s="198"/>
      <c r="AN46" s="198"/>
      <c r="AO46" s="198"/>
      <c r="AP46" s="199"/>
    </row>
    <row r="47" customFormat="false" ht="15" hidden="false" customHeight="true" outlineLevel="0" collapsed="false">
      <c r="A47" s="194"/>
      <c r="B47" s="194"/>
      <c r="C47" s="194"/>
      <c r="D47" s="194"/>
      <c r="E47" s="194"/>
      <c r="F47" s="195"/>
      <c r="G47" s="195"/>
      <c r="H47" s="195"/>
      <c r="I47" s="195"/>
      <c r="J47" s="194"/>
      <c r="K47" s="194"/>
      <c r="L47" s="194"/>
      <c r="M47" s="194"/>
      <c r="N47" s="196"/>
      <c r="O47" s="196"/>
      <c r="P47" s="196"/>
      <c r="Q47" s="196"/>
      <c r="R47" s="196"/>
      <c r="S47" s="196"/>
      <c r="T47" s="196"/>
      <c r="U47" s="196"/>
      <c r="V47" s="196"/>
      <c r="W47" s="196"/>
      <c r="X47" s="196"/>
      <c r="Y47" s="196"/>
      <c r="Z47" s="196"/>
      <c r="AA47" s="196"/>
      <c r="AB47" s="197"/>
      <c r="AC47" s="197"/>
      <c r="AD47" s="197"/>
      <c r="AE47" s="197"/>
      <c r="AF47" s="197"/>
      <c r="AG47" s="197"/>
      <c r="AH47" s="197"/>
      <c r="AI47" s="197"/>
      <c r="AJ47" s="197"/>
      <c r="AK47" s="197"/>
      <c r="AL47" s="197"/>
      <c r="AM47" s="198"/>
      <c r="AN47" s="198"/>
      <c r="AO47" s="198"/>
      <c r="AP47" s="199"/>
    </row>
    <row r="48" customFormat="false" ht="15" hidden="false" customHeight="true" outlineLevel="0" collapsed="false">
      <c r="A48" s="194"/>
      <c r="B48" s="194"/>
      <c r="C48" s="194"/>
      <c r="D48" s="194"/>
      <c r="E48" s="194"/>
      <c r="F48" s="195"/>
      <c r="G48" s="195"/>
      <c r="H48" s="195"/>
      <c r="I48" s="195"/>
      <c r="J48" s="194"/>
      <c r="K48" s="194"/>
      <c r="L48" s="194"/>
      <c r="M48" s="194"/>
      <c r="N48" s="196"/>
      <c r="O48" s="196"/>
      <c r="P48" s="196"/>
      <c r="Q48" s="196"/>
      <c r="R48" s="196"/>
      <c r="S48" s="196"/>
      <c r="T48" s="196"/>
      <c r="U48" s="196"/>
      <c r="V48" s="196"/>
      <c r="W48" s="196"/>
      <c r="X48" s="196"/>
      <c r="Y48" s="196"/>
      <c r="Z48" s="196"/>
      <c r="AA48" s="196"/>
      <c r="AB48" s="197"/>
      <c r="AC48" s="197"/>
      <c r="AD48" s="197"/>
      <c r="AE48" s="197"/>
      <c r="AF48" s="197"/>
      <c r="AG48" s="197"/>
      <c r="AH48" s="197"/>
      <c r="AI48" s="197"/>
      <c r="AJ48" s="197"/>
      <c r="AK48" s="197"/>
      <c r="AL48" s="197"/>
      <c r="AM48" s="198"/>
      <c r="AN48" s="198"/>
      <c r="AO48" s="198"/>
      <c r="AP48" s="199"/>
    </row>
    <row r="49" customFormat="false" ht="15" hidden="false" customHeight="true" outlineLevel="0" collapsed="false">
      <c r="A49" s="194"/>
      <c r="B49" s="194"/>
      <c r="C49" s="194"/>
      <c r="D49" s="194"/>
      <c r="E49" s="194"/>
      <c r="F49" s="195"/>
      <c r="G49" s="195"/>
      <c r="H49" s="195"/>
      <c r="I49" s="195"/>
      <c r="J49" s="194"/>
      <c r="K49" s="194"/>
      <c r="L49" s="194"/>
      <c r="M49" s="194"/>
      <c r="N49" s="196"/>
      <c r="O49" s="196"/>
      <c r="P49" s="196"/>
      <c r="Q49" s="196"/>
      <c r="R49" s="196"/>
      <c r="S49" s="196"/>
      <c r="T49" s="196"/>
      <c r="U49" s="196"/>
      <c r="V49" s="196"/>
      <c r="W49" s="196"/>
      <c r="X49" s="196"/>
      <c r="Y49" s="196"/>
      <c r="Z49" s="196"/>
      <c r="AA49" s="196"/>
      <c r="AB49" s="197"/>
      <c r="AC49" s="197"/>
      <c r="AD49" s="197"/>
      <c r="AE49" s="197"/>
      <c r="AF49" s="197"/>
      <c r="AG49" s="197"/>
      <c r="AH49" s="197"/>
      <c r="AI49" s="197"/>
      <c r="AJ49" s="197"/>
      <c r="AK49" s="197"/>
      <c r="AL49" s="197"/>
      <c r="AM49" s="198"/>
      <c r="AN49" s="198"/>
      <c r="AO49" s="198"/>
      <c r="AP49" s="199"/>
    </row>
    <row r="50" customFormat="false" ht="15" hidden="false" customHeight="true" outlineLevel="0" collapsed="false">
      <c r="A50" s="194"/>
      <c r="B50" s="194"/>
      <c r="C50" s="194"/>
      <c r="D50" s="194"/>
      <c r="E50" s="194"/>
      <c r="F50" s="195"/>
      <c r="G50" s="195"/>
      <c r="H50" s="195"/>
      <c r="I50" s="195"/>
      <c r="J50" s="194"/>
      <c r="K50" s="194"/>
      <c r="L50" s="194"/>
      <c r="M50" s="194"/>
      <c r="N50" s="196"/>
      <c r="O50" s="196"/>
      <c r="P50" s="196"/>
      <c r="Q50" s="196"/>
      <c r="R50" s="196"/>
      <c r="S50" s="196"/>
      <c r="T50" s="196"/>
      <c r="U50" s="196"/>
      <c r="V50" s="196"/>
      <c r="W50" s="196"/>
      <c r="X50" s="196"/>
      <c r="Y50" s="196"/>
      <c r="Z50" s="196"/>
      <c r="AA50" s="196"/>
      <c r="AB50" s="197"/>
      <c r="AC50" s="197"/>
      <c r="AD50" s="197"/>
      <c r="AE50" s="197"/>
      <c r="AF50" s="197"/>
      <c r="AG50" s="197"/>
      <c r="AH50" s="197"/>
      <c r="AI50" s="197"/>
      <c r="AJ50" s="197"/>
      <c r="AK50" s="197"/>
      <c r="AL50" s="197"/>
      <c r="AM50" s="198"/>
      <c r="AN50" s="198"/>
      <c r="AO50" s="198"/>
      <c r="AP50" s="199"/>
    </row>
    <row r="51" customFormat="false" ht="15" hidden="false" customHeight="true" outlineLevel="0" collapsed="false">
      <c r="A51" s="194"/>
      <c r="B51" s="194"/>
      <c r="C51" s="194"/>
      <c r="D51" s="194"/>
      <c r="E51" s="194"/>
      <c r="F51" s="195"/>
      <c r="G51" s="195"/>
      <c r="H51" s="195"/>
      <c r="I51" s="195"/>
      <c r="J51" s="194"/>
      <c r="K51" s="194"/>
      <c r="L51" s="194"/>
      <c r="M51" s="194"/>
      <c r="N51" s="196"/>
      <c r="O51" s="196"/>
      <c r="P51" s="196"/>
      <c r="Q51" s="196"/>
      <c r="R51" s="196"/>
      <c r="S51" s="196"/>
      <c r="T51" s="196"/>
      <c r="U51" s="196"/>
      <c r="V51" s="196"/>
      <c r="W51" s="196"/>
      <c r="X51" s="196"/>
      <c r="Y51" s="196"/>
      <c r="Z51" s="196"/>
      <c r="AA51" s="196"/>
      <c r="AB51" s="197"/>
      <c r="AC51" s="197"/>
      <c r="AD51" s="197"/>
      <c r="AE51" s="197"/>
      <c r="AF51" s="197"/>
      <c r="AG51" s="197"/>
      <c r="AH51" s="197"/>
      <c r="AI51" s="197"/>
      <c r="AJ51" s="197"/>
      <c r="AK51" s="197"/>
      <c r="AL51" s="197"/>
      <c r="AM51" s="198"/>
      <c r="AN51" s="198"/>
      <c r="AO51" s="198"/>
      <c r="AP51" s="199"/>
    </row>
    <row r="52" customFormat="false" ht="15" hidden="false" customHeight="true" outlineLevel="0" collapsed="false">
      <c r="A52" s="194"/>
      <c r="B52" s="194"/>
      <c r="C52" s="194"/>
      <c r="D52" s="194"/>
      <c r="E52" s="194"/>
      <c r="F52" s="195"/>
      <c r="G52" s="195"/>
      <c r="H52" s="195"/>
      <c r="I52" s="195"/>
      <c r="J52" s="194"/>
      <c r="K52" s="194"/>
      <c r="L52" s="194"/>
      <c r="M52" s="194"/>
      <c r="N52" s="196"/>
      <c r="O52" s="196"/>
      <c r="P52" s="196"/>
      <c r="Q52" s="196"/>
      <c r="R52" s="196"/>
      <c r="S52" s="196"/>
      <c r="T52" s="196"/>
      <c r="U52" s="196"/>
      <c r="V52" s="196"/>
      <c r="W52" s="196"/>
      <c r="X52" s="196"/>
      <c r="Y52" s="196"/>
      <c r="Z52" s="196"/>
      <c r="AA52" s="196"/>
      <c r="AB52" s="197"/>
      <c r="AC52" s="197"/>
      <c r="AD52" s="197"/>
      <c r="AE52" s="197"/>
      <c r="AF52" s="197"/>
      <c r="AG52" s="197"/>
      <c r="AH52" s="197"/>
      <c r="AI52" s="197"/>
      <c r="AJ52" s="197"/>
      <c r="AK52" s="197"/>
      <c r="AL52" s="197"/>
      <c r="AM52" s="198"/>
      <c r="AN52" s="198"/>
      <c r="AO52" s="198"/>
      <c r="AP52" s="199"/>
    </row>
    <row r="53" customFormat="false" ht="15" hidden="false" customHeight="true" outlineLevel="0" collapsed="false">
      <c r="A53" s="194"/>
      <c r="B53" s="194"/>
      <c r="C53" s="194"/>
      <c r="D53" s="194"/>
      <c r="E53" s="194"/>
      <c r="F53" s="195"/>
      <c r="G53" s="195"/>
      <c r="H53" s="195"/>
      <c r="I53" s="195"/>
      <c r="J53" s="194"/>
      <c r="K53" s="194"/>
      <c r="L53" s="194"/>
      <c r="M53" s="194"/>
      <c r="N53" s="196"/>
      <c r="O53" s="196"/>
      <c r="P53" s="196"/>
      <c r="Q53" s="196"/>
      <c r="R53" s="196"/>
      <c r="S53" s="196"/>
      <c r="T53" s="196"/>
      <c r="U53" s="196"/>
      <c r="V53" s="196"/>
      <c r="W53" s="196"/>
      <c r="X53" s="196"/>
      <c r="Y53" s="196"/>
      <c r="Z53" s="196"/>
      <c r="AA53" s="196"/>
      <c r="AB53" s="197"/>
      <c r="AC53" s="197"/>
      <c r="AD53" s="197"/>
      <c r="AE53" s="197"/>
      <c r="AF53" s="197"/>
      <c r="AG53" s="197"/>
      <c r="AH53" s="197"/>
      <c r="AI53" s="197"/>
      <c r="AJ53" s="197"/>
      <c r="AK53" s="197"/>
      <c r="AL53" s="197"/>
      <c r="AM53" s="198"/>
      <c r="AN53" s="198"/>
      <c r="AO53" s="198"/>
      <c r="AP53" s="199"/>
    </row>
    <row r="54" customFormat="false" ht="15" hidden="false" customHeight="true" outlineLevel="0" collapsed="false">
      <c r="A54" s="194"/>
      <c r="B54" s="194"/>
      <c r="C54" s="194"/>
      <c r="D54" s="194"/>
      <c r="E54" s="194"/>
      <c r="F54" s="195"/>
      <c r="G54" s="195"/>
      <c r="H54" s="195"/>
      <c r="I54" s="195"/>
      <c r="J54" s="194"/>
      <c r="K54" s="194"/>
      <c r="L54" s="194"/>
      <c r="M54" s="194"/>
      <c r="N54" s="196"/>
      <c r="O54" s="196"/>
      <c r="P54" s="196"/>
      <c r="Q54" s="196"/>
      <c r="R54" s="196"/>
      <c r="S54" s="196"/>
      <c r="T54" s="196"/>
      <c r="U54" s="196"/>
      <c r="V54" s="196"/>
      <c r="W54" s="196"/>
      <c r="X54" s="196"/>
      <c r="Y54" s="196"/>
      <c r="Z54" s="196"/>
      <c r="AA54" s="196"/>
      <c r="AB54" s="197"/>
      <c r="AC54" s="197"/>
      <c r="AD54" s="197"/>
      <c r="AE54" s="197"/>
      <c r="AF54" s="197"/>
      <c r="AG54" s="197"/>
      <c r="AH54" s="197"/>
      <c r="AI54" s="197"/>
      <c r="AJ54" s="197"/>
      <c r="AK54" s="197"/>
      <c r="AL54" s="197"/>
      <c r="AM54" s="198"/>
      <c r="AN54" s="198"/>
      <c r="AO54" s="198"/>
      <c r="AP54" s="199"/>
    </row>
    <row r="55" customFormat="false" ht="15" hidden="false" customHeight="true" outlineLevel="0" collapsed="false">
      <c r="A55" s="194"/>
      <c r="B55" s="194"/>
      <c r="C55" s="194"/>
      <c r="D55" s="194"/>
      <c r="E55" s="194"/>
      <c r="F55" s="195"/>
      <c r="G55" s="195"/>
      <c r="H55" s="195"/>
      <c r="I55" s="195"/>
      <c r="J55" s="194"/>
      <c r="K55" s="194"/>
      <c r="L55" s="194"/>
      <c r="M55" s="194"/>
      <c r="N55" s="196"/>
      <c r="O55" s="196"/>
      <c r="P55" s="196"/>
      <c r="Q55" s="196"/>
      <c r="R55" s="196"/>
      <c r="S55" s="196"/>
      <c r="T55" s="196"/>
      <c r="U55" s="196"/>
      <c r="V55" s="196"/>
      <c r="W55" s="196"/>
      <c r="X55" s="196"/>
      <c r="Y55" s="196"/>
      <c r="Z55" s="196"/>
      <c r="AA55" s="196"/>
      <c r="AB55" s="197"/>
      <c r="AC55" s="197"/>
      <c r="AD55" s="197"/>
      <c r="AE55" s="197"/>
      <c r="AF55" s="197"/>
      <c r="AG55" s="197"/>
      <c r="AH55" s="197"/>
      <c r="AI55" s="197"/>
      <c r="AJ55" s="197"/>
      <c r="AK55" s="197"/>
      <c r="AL55" s="197"/>
      <c r="AM55" s="198"/>
      <c r="AN55" s="198"/>
      <c r="AO55" s="198"/>
      <c r="AP55" s="199"/>
    </row>
    <row r="56" customFormat="false" ht="15" hidden="false" customHeight="true" outlineLevel="0" collapsed="false">
      <c r="A56" s="194"/>
      <c r="B56" s="194"/>
      <c r="C56" s="194"/>
      <c r="D56" s="194"/>
      <c r="E56" s="194"/>
      <c r="F56" s="195"/>
      <c r="G56" s="195"/>
      <c r="H56" s="195"/>
      <c r="I56" s="195"/>
      <c r="J56" s="194"/>
      <c r="K56" s="194"/>
      <c r="L56" s="194"/>
      <c r="M56" s="194"/>
      <c r="N56" s="196"/>
      <c r="O56" s="196"/>
      <c r="P56" s="196"/>
      <c r="Q56" s="196"/>
      <c r="R56" s="196"/>
      <c r="S56" s="196"/>
      <c r="T56" s="196"/>
      <c r="U56" s="196"/>
      <c r="V56" s="196"/>
      <c r="W56" s="196"/>
      <c r="X56" s="196"/>
      <c r="Y56" s="196"/>
      <c r="Z56" s="196"/>
      <c r="AA56" s="196"/>
      <c r="AB56" s="197"/>
      <c r="AC56" s="197"/>
      <c r="AD56" s="197"/>
      <c r="AE56" s="197"/>
      <c r="AF56" s="197"/>
      <c r="AG56" s="197"/>
      <c r="AH56" s="197"/>
      <c r="AI56" s="197"/>
      <c r="AJ56" s="197"/>
      <c r="AK56" s="197"/>
      <c r="AL56" s="197"/>
      <c r="AM56" s="198"/>
      <c r="AN56" s="198"/>
      <c r="AO56" s="198"/>
      <c r="AP56" s="199"/>
    </row>
    <row r="57" customFormat="false" ht="15" hidden="false" customHeight="true" outlineLevel="0" collapsed="false">
      <c r="A57" s="194"/>
      <c r="B57" s="194"/>
      <c r="C57" s="194"/>
      <c r="D57" s="194"/>
      <c r="E57" s="194"/>
      <c r="F57" s="195"/>
      <c r="G57" s="195"/>
      <c r="H57" s="195"/>
      <c r="I57" s="195"/>
      <c r="J57" s="194"/>
      <c r="K57" s="194"/>
      <c r="L57" s="194"/>
      <c r="M57" s="194"/>
      <c r="N57" s="196"/>
      <c r="O57" s="196"/>
      <c r="P57" s="196"/>
      <c r="Q57" s="196"/>
      <c r="R57" s="196"/>
      <c r="S57" s="196"/>
      <c r="T57" s="196"/>
      <c r="U57" s="196"/>
      <c r="V57" s="196"/>
      <c r="W57" s="196"/>
      <c r="X57" s="196"/>
      <c r="Y57" s="196"/>
      <c r="Z57" s="196"/>
      <c r="AA57" s="196"/>
      <c r="AB57" s="197"/>
      <c r="AC57" s="197"/>
      <c r="AD57" s="197"/>
      <c r="AE57" s="197"/>
      <c r="AF57" s="197"/>
      <c r="AG57" s="197"/>
      <c r="AH57" s="197"/>
      <c r="AI57" s="197"/>
      <c r="AJ57" s="197"/>
      <c r="AK57" s="197"/>
      <c r="AL57" s="197"/>
      <c r="AM57" s="198"/>
      <c r="AN57" s="198"/>
      <c r="AO57" s="198"/>
      <c r="AP57" s="199"/>
    </row>
    <row r="58" customFormat="false" ht="15" hidden="false" customHeight="true" outlineLevel="0" collapsed="false">
      <c r="A58" s="194"/>
      <c r="B58" s="194"/>
      <c r="C58" s="194"/>
      <c r="D58" s="194"/>
      <c r="E58" s="194"/>
      <c r="F58" s="194"/>
      <c r="G58" s="194"/>
      <c r="H58" s="194"/>
      <c r="I58" s="194"/>
      <c r="J58" s="194"/>
      <c r="K58" s="194"/>
      <c r="L58" s="194"/>
      <c r="M58" s="194"/>
      <c r="N58" s="194"/>
      <c r="O58" s="194"/>
      <c r="P58" s="194"/>
      <c r="Q58" s="194"/>
      <c r="R58" s="201"/>
      <c r="S58" s="201"/>
      <c r="T58" s="201"/>
      <c r="U58" s="201"/>
      <c r="V58" s="201"/>
      <c r="W58" s="201"/>
      <c r="X58" s="201"/>
      <c r="Y58" s="201"/>
      <c r="Z58" s="201"/>
      <c r="AA58" s="201"/>
      <c r="AM58" s="202"/>
      <c r="AN58" s="202"/>
    </row>
    <row r="59" customFormat="false" ht="15" hidden="false" customHeight="true" outlineLevel="0" collapsed="false">
      <c r="A59" s="194"/>
      <c r="B59" s="194"/>
      <c r="C59" s="194"/>
      <c r="D59" s="194"/>
      <c r="E59" s="194"/>
      <c r="F59" s="194"/>
      <c r="G59" s="194"/>
      <c r="H59" s="194"/>
      <c r="I59" s="194"/>
      <c r="J59" s="194"/>
      <c r="K59" s="194"/>
      <c r="L59" s="194"/>
      <c r="M59" s="194"/>
      <c r="N59" s="194"/>
      <c r="O59" s="194"/>
      <c r="P59" s="194"/>
      <c r="Q59" s="194"/>
      <c r="R59" s="201"/>
      <c r="S59" s="201"/>
      <c r="T59" s="201"/>
      <c r="U59" s="201"/>
      <c r="V59" s="201"/>
      <c r="W59" s="201"/>
      <c r="X59" s="201"/>
      <c r="Y59" s="201"/>
      <c r="Z59" s="201"/>
      <c r="AA59" s="201"/>
      <c r="AM59" s="202"/>
      <c r="AN59" s="202"/>
    </row>
    <row r="60" customFormat="false" ht="15" hidden="false" customHeight="true" outlineLevel="0" collapsed="false">
      <c r="A60" s="194"/>
      <c r="B60" s="194"/>
      <c r="C60" s="194"/>
      <c r="D60" s="194"/>
      <c r="E60" s="194"/>
      <c r="F60" s="194"/>
      <c r="G60" s="194"/>
      <c r="H60" s="194"/>
      <c r="I60" s="194"/>
      <c r="J60" s="194"/>
      <c r="K60" s="194"/>
      <c r="L60" s="194"/>
      <c r="M60" s="194"/>
      <c r="N60" s="194"/>
      <c r="O60" s="194"/>
      <c r="P60" s="194"/>
      <c r="Q60" s="194"/>
      <c r="R60" s="201"/>
      <c r="S60" s="201"/>
      <c r="T60" s="201"/>
      <c r="U60" s="201"/>
      <c r="V60" s="201"/>
      <c r="W60" s="201"/>
      <c r="X60" s="201"/>
      <c r="Y60" s="201"/>
      <c r="Z60" s="201"/>
      <c r="AA60" s="201"/>
      <c r="AM60" s="202"/>
      <c r="AN60" s="202"/>
    </row>
    <row r="61" customFormat="false" ht="15" hidden="false" customHeight="true" outlineLevel="0" collapsed="false">
      <c r="A61" s="194"/>
      <c r="B61" s="194"/>
      <c r="C61" s="194"/>
      <c r="D61" s="194"/>
      <c r="E61" s="194"/>
      <c r="F61" s="194"/>
      <c r="G61" s="194"/>
      <c r="H61" s="194"/>
      <c r="I61" s="194"/>
      <c r="J61" s="194"/>
      <c r="K61" s="194"/>
      <c r="L61" s="194"/>
      <c r="M61" s="194"/>
      <c r="N61" s="194"/>
      <c r="O61" s="194"/>
      <c r="P61" s="194"/>
      <c r="Q61" s="194"/>
      <c r="R61" s="201"/>
      <c r="S61" s="201"/>
      <c r="T61" s="201"/>
      <c r="U61" s="201"/>
      <c r="V61" s="201"/>
      <c r="W61" s="201"/>
      <c r="X61" s="201"/>
      <c r="Y61" s="201"/>
      <c r="Z61" s="201"/>
      <c r="AA61" s="201"/>
      <c r="AM61" s="202"/>
      <c r="AN61" s="202"/>
    </row>
    <row r="62" customFormat="false" ht="15" hidden="false" customHeight="true" outlineLevel="0" collapsed="false">
      <c r="A62" s="194"/>
      <c r="B62" s="194"/>
      <c r="C62" s="194"/>
      <c r="D62" s="194"/>
      <c r="E62" s="194"/>
      <c r="F62" s="194"/>
      <c r="G62" s="194"/>
      <c r="H62" s="194"/>
      <c r="I62" s="194"/>
      <c r="J62" s="194"/>
      <c r="K62" s="194"/>
      <c r="L62" s="194"/>
      <c r="M62" s="194"/>
      <c r="N62" s="194"/>
      <c r="O62" s="194"/>
      <c r="P62" s="194"/>
      <c r="Q62" s="194"/>
      <c r="R62" s="201"/>
      <c r="S62" s="201"/>
      <c r="T62" s="201"/>
      <c r="U62" s="201"/>
      <c r="V62" s="201"/>
      <c r="W62" s="201"/>
      <c r="X62" s="201"/>
      <c r="Y62" s="201"/>
      <c r="Z62" s="201"/>
      <c r="AA62" s="201"/>
      <c r="AM62" s="202"/>
      <c r="AN62" s="202"/>
    </row>
    <row r="63" customFormat="false" ht="15" hidden="false" customHeight="true" outlineLevel="0" collapsed="false">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Q63" s="1"/>
    </row>
    <row r="64" customFormat="false" ht="15" hidden="false" customHeight="true" outlineLevel="0" collapsed="false">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Q64" s="1"/>
    </row>
    <row r="65" customFormat="false" ht="15" hidden="false" customHeight="true" outlineLevel="0" collapsed="false">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Q65" s="1"/>
    </row>
    <row r="66" customFormat="false" ht="15" hidden="false" customHeight="true" outlineLevel="0" collapsed="false">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Q66" s="1"/>
    </row>
    <row r="67" customFormat="false" ht="15" hidden="false" customHeight="true" outlineLevel="0" collapsed="false">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Q67" s="1"/>
    </row>
    <row r="68" customFormat="false" ht="15" hidden="false" customHeight="true" outlineLevel="0" collapsed="false">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Q68" s="1"/>
    </row>
    <row r="69" customFormat="false" ht="15" hidden="false" customHeight="true" outlineLevel="0" collapsed="false">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Q69" s="1"/>
    </row>
    <row r="70" customFormat="false" ht="15" hidden="false" customHeight="true" outlineLevel="0" collapsed="false">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Q70" s="1"/>
    </row>
    <row r="71" customFormat="false" ht="15" hidden="false" customHeight="true" outlineLevel="0" collapsed="false">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Q71" s="1"/>
    </row>
    <row r="72" customFormat="false" ht="15" hidden="false" customHeight="true" outlineLevel="0" collapsed="false">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Q72" s="1"/>
    </row>
    <row r="73" customFormat="false" ht="15" hidden="false" customHeight="true" outlineLevel="0" collapsed="false">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Q73" s="1"/>
    </row>
    <row r="74" customFormat="false" ht="15" hidden="false" customHeight="true" outlineLevel="0" collapsed="false">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Q74" s="1"/>
    </row>
    <row r="75" customFormat="false" ht="15" hidden="false" customHeight="true" outlineLevel="0" collapsed="false">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Q75" s="1"/>
    </row>
    <row r="76" customFormat="false" ht="15" hidden="false" customHeight="true" outlineLevel="0" collapsed="false">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Q76" s="1"/>
    </row>
    <row r="77" customFormat="false" ht="15" hidden="false" customHeight="true" outlineLevel="0" collapsed="false">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Q77" s="1"/>
    </row>
    <row r="78" customFormat="false" ht="15" hidden="false" customHeight="true" outlineLevel="0" collapsed="false">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Q78" s="1"/>
    </row>
    <row r="79" customFormat="false" ht="15" hidden="false" customHeight="true" outlineLevel="0" collapsed="false">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Q79" s="1"/>
    </row>
    <row r="80" customFormat="false" ht="15" hidden="false" customHeight="true" outlineLevel="0" collapsed="false">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Q80" s="1"/>
    </row>
    <row r="81" customFormat="false" ht="15" hidden="false" customHeight="true" outlineLevel="0" collapsed="false">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Q81" s="1"/>
    </row>
    <row r="82" customFormat="false" ht="15" hidden="false" customHeight="true" outlineLevel="0" collapsed="false">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Q82" s="1"/>
    </row>
    <row r="83" customFormat="false" ht="15" hidden="false" customHeight="true" outlineLevel="0" collapsed="false">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Q83" s="1"/>
    </row>
    <row r="84" customFormat="false" ht="15" hidden="false" customHeight="true" outlineLevel="0" collapsed="false">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Q84" s="1"/>
    </row>
    <row r="85" customFormat="false" ht="15" hidden="false" customHeight="true" outlineLevel="0" collapsed="false">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Q85" s="1"/>
    </row>
    <row r="86" customFormat="false" ht="15" hidden="false" customHeight="true" outlineLevel="0" collapsed="false">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Q86" s="1"/>
    </row>
    <row r="87" customFormat="false" ht="15" hidden="false" customHeight="true" outlineLevel="0" collapsed="false">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Q87" s="1"/>
    </row>
    <row r="88" customFormat="false" ht="15" hidden="false" customHeight="true" outlineLevel="0" collapsed="false">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Q88" s="1"/>
    </row>
    <row r="89" customFormat="false" ht="15" hidden="false" customHeight="true" outlineLevel="0" collapsed="false">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Q89" s="1"/>
    </row>
    <row r="90" customFormat="false" ht="15" hidden="false" customHeight="true" outlineLevel="0" collapsed="false">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Q90" s="1"/>
    </row>
    <row r="91" customFormat="false" ht="15" hidden="false" customHeight="true" outlineLevel="0" collapsed="false">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Q91" s="1"/>
    </row>
    <row r="92" customFormat="false" ht="15" hidden="false" customHeight="true" outlineLevel="0" collapsed="false">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Q92" s="1"/>
    </row>
    <row r="93" customFormat="false" ht="15" hidden="false" customHeight="true" outlineLevel="0" collapsed="false">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Q93" s="1"/>
    </row>
    <row r="94" customFormat="false" ht="15" hidden="false" customHeight="true" outlineLevel="0" collapsed="false">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Q94" s="1"/>
    </row>
    <row r="95" customFormat="false" ht="15" hidden="false" customHeight="true" outlineLevel="0" collapsed="false">
      <c r="AQ95" s="1"/>
    </row>
    <row r="96" customFormat="false" ht="15" hidden="false" customHeight="true" outlineLevel="0" collapsed="false">
      <c r="AQ96" s="1"/>
    </row>
    <row r="97" customFormat="false" ht="15" hidden="false" customHeight="true" outlineLevel="0" collapsed="false">
      <c r="AQ97" s="1"/>
    </row>
    <row r="98" customFormat="false" ht="15" hidden="false" customHeight="true" outlineLevel="0" collapsed="false">
      <c r="AQ98" s="1"/>
    </row>
    <row r="99" customFormat="false" ht="15" hidden="false" customHeight="true" outlineLevel="0" collapsed="false">
      <c r="AQ99" s="1"/>
    </row>
    <row r="100" customFormat="false" ht="15" hidden="false" customHeight="true" outlineLevel="0" collapsed="false">
      <c r="AQ100" s="1"/>
    </row>
    <row r="101" customFormat="false" ht="15" hidden="false" customHeight="true" outlineLevel="0" collapsed="false">
      <c r="AQ101" s="1"/>
    </row>
    <row r="102" customFormat="false" ht="15" hidden="false" customHeight="true" outlineLevel="0" collapsed="false">
      <c r="AQ102" s="1"/>
    </row>
    <row r="103" customFormat="false" ht="15" hidden="false" customHeight="true" outlineLevel="0" collapsed="false">
      <c r="AQ103" s="1"/>
    </row>
    <row r="104" customFormat="false" ht="15" hidden="false" customHeight="true" outlineLevel="0" collapsed="false">
      <c r="AQ104" s="1"/>
    </row>
    <row r="105" customFormat="false" ht="15" hidden="false" customHeight="true" outlineLevel="0" collapsed="false">
      <c r="AQ105" s="1"/>
    </row>
    <row r="106" customFormat="false" ht="15" hidden="false" customHeight="true" outlineLevel="0" collapsed="false">
      <c r="AQ106" s="1"/>
    </row>
    <row r="107" customFormat="false" ht="15" hidden="false" customHeight="true" outlineLevel="0" collapsed="false">
      <c r="AQ107" s="1"/>
    </row>
    <row r="108" customFormat="false" ht="15" hidden="false" customHeight="true" outlineLevel="0" collapsed="false">
      <c r="AQ108" s="1"/>
    </row>
    <row r="109" customFormat="false" ht="15" hidden="false" customHeight="true" outlineLevel="0" collapsed="false">
      <c r="AQ109" s="1"/>
    </row>
    <row r="110" customFormat="false" ht="15" hidden="false" customHeight="true" outlineLevel="0" collapsed="false">
      <c r="AQ110" s="1"/>
    </row>
    <row r="111" customFormat="false" ht="15" hidden="false" customHeight="true" outlineLevel="0" collapsed="false">
      <c r="AQ111" s="1"/>
    </row>
    <row r="112" customFormat="false" ht="15" hidden="false" customHeight="true" outlineLevel="0" collapsed="false">
      <c r="AQ112" s="1"/>
    </row>
    <row r="113" customFormat="false" ht="15" hidden="false" customHeight="true" outlineLevel="0" collapsed="false">
      <c r="AQ113" s="1"/>
    </row>
    <row r="114" customFormat="false" ht="15" hidden="false" customHeight="true" outlineLevel="0" collapsed="false">
      <c r="AQ114" s="1"/>
    </row>
    <row r="115" customFormat="false" ht="15" hidden="false" customHeight="true" outlineLevel="0" collapsed="false">
      <c r="AQ115" s="1"/>
    </row>
    <row r="116" customFormat="false" ht="15" hidden="false" customHeight="true" outlineLevel="0" collapsed="false">
      <c r="AQ116" s="1"/>
    </row>
    <row r="117" customFormat="false" ht="15" hidden="false" customHeight="true" outlineLevel="0" collapsed="false">
      <c r="AQ117" s="1"/>
    </row>
    <row r="118" customFormat="false" ht="15" hidden="false" customHeight="true" outlineLevel="0" collapsed="false">
      <c r="AQ118" s="1"/>
    </row>
    <row r="119" customFormat="false" ht="15" hidden="false" customHeight="true" outlineLevel="0" collapsed="false">
      <c r="AQ119" s="1"/>
    </row>
    <row r="120" customFormat="false" ht="15" hidden="false" customHeight="true" outlineLevel="0" collapsed="false">
      <c r="AQ120" s="1"/>
    </row>
    <row r="121" customFormat="false" ht="15" hidden="false" customHeight="true" outlineLevel="0" collapsed="false">
      <c r="AQ121" s="1"/>
    </row>
    <row r="122" customFormat="false" ht="15" hidden="false" customHeight="true" outlineLevel="0" collapsed="false">
      <c r="AQ122" s="1"/>
    </row>
    <row r="123" customFormat="false" ht="15" hidden="false" customHeight="true" outlineLevel="0" collapsed="false">
      <c r="AQ123" s="1"/>
    </row>
    <row r="124" customFormat="false" ht="15" hidden="false" customHeight="true" outlineLevel="0" collapsed="false">
      <c r="AQ124" s="1"/>
    </row>
    <row r="125" customFormat="false" ht="15" hidden="false" customHeight="true" outlineLevel="0" collapsed="false">
      <c r="AQ125" s="1"/>
    </row>
    <row r="126" customFormat="false" ht="15" hidden="false" customHeight="true" outlineLevel="0" collapsed="false">
      <c r="AQ126" s="1"/>
    </row>
    <row r="127" customFormat="false" ht="15" hidden="false" customHeight="true" outlineLevel="0" collapsed="false">
      <c r="AQ127" s="1"/>
    </row>
    <row r="128" customFormat="false" ht="15" hidden="false" customHeight="true" outlineLevel="0" collapsed="false">
      <c r="AQ128" s="1"/>
    </row>
    <row r="129" customFormat="false" ht="15" hidden="false" customHeight="true" outlineLevel="0" collapsed="false">
      <c r="AQ129" s="1"/>
    </row>
    <row r="130" customFormat="false" ht="15" hidden="false" customHeight="true" outlineLevel="0" collapsed="false">
      <c r="AQ130" s="1"/>
    </row>
    <row r="131" customFormat="false" ht="15" hidden="false" customHeight="true" outlineLevel="0" collapsed="false">
      <c r="AQ131" s="1"/>
    </row>
    <row r="132" customFormat="false" ht="15" hidden="false" customHeight="true" outlineLevel="0" collapsed="false">
      <c r="AQ132" s="1"/>
    </row>
    <row r="133" customFormat="false" ht="15" hidden="false" customHeight="true" outlineLevel="0" collapsed="false">
      <c r="AQ133" s="1"/>
    </row>
    <row r="134" customFormat="false" ht="15" hidden="false" customHeight="true" outlineLevel="0" collapsed="false">
      <c r="AQ134" s="1"/>
    </row>
    <row r="135" customFormat="false" ht="15" hidden="false" customHeight="true" outlineLevel="0" collapsed="false">
      <c r="AQ135" s="1"/>
    </row>
    <row r="136" customFormat="false" ht="15" hidden="false" customHeight="true" outlineLevel="0" collapsed="false">
      <c r="AQ136" s="1"/>
    </row>
    <row r="137" customFormat="false" ht="15" hidden="false" customHeight="true" outlineLevel="0" collapsed="false">
      <c r="AQ137" s="1"/>
    </row>
    <row r="138" customFormat="false" ht="15" hidden="false" customHeight="true" outlineLevel="0" collapsed="false">
      <c r="AQ138" s="1"/>
    </row>
    <row r="139" customFormat="false" ht="15" hidden="false" customHeight="true" outlineLevel="0" collapsed="false">
      <c r="AQ139" s="1"/>
    </row>
    <row r="140" customFormat="false" ht="15" hidden="false" customHeight="true" outlineLevel="0" collapsed="false">
      <c r="AQ140" s="1"/>
    </row>
    <row r="141" customFormat="false" ht="15" hidden="false" customHeight="true" outlineLevel="0" collapsed="false">
      <c r="AQ141" s="1"/>
    </row>
    <row r="142" customFormat="false" ht="15" hidden="false" customHeight="true" outlineLevel="0" collapsed="false">
      <c r="AQ142" s="1"/>
    </row>
    <row r="143" customFormat="false" ht="15" hidden="false" customHeight="true" outlineLevel="0" collapsed="false">
      <c r="AQ143" s="1"/>
    </row>
    <row r="144" customFormat="false" ht="15" hidden="false" customHeight="true" outlineLevel="0" collapsed="false">
      <c r="AQ144" s="1"/>
    </row>
    <row r="145" customFormat="false" ht="15" hidden="false" customHeight="true" outlineLevel="0" collapsed="false">
      <c r="AQ145" s="1"/>
    </row>
    <row r="146" customFormat="false" ht="15" hidden="false" customHeight="true" outlineLevel="0" collapsed="false">
      <c r="AQ146" s="1"/>
    </row>
    <row r="147" customFormat="false" ht="15" hidden="false" customHeight="true" outlineLevel="0" collapsed="false">
      <c r="AQ147" s="1"/>
    </row>
    <row r="148" customFormat="false" ht="15" hidden="false" customHeight="true" outlineLevel="0" collapsed="false">
      <c r="AQ148" s="1"/>
    </row>
    <row r="149" customFormat="false" ht="15" hidden="false" customHeight="true" outlineLevel="0" collapsed="false">
      <c r="AQ149" s="1"/>
    </row>
    <row r="150" customFormat="false" ht="15" hidden="false" customHeight="true" outlineLevel="0" collapsed="false">
      <c r="AQ150" s="1"/>
    </row>
    <row r="151" customFormat="false" ht="15" hidden="false" customHeight="true" outlineLevel="0" collapsed="false">
      <c r="AQ151" s="1"/>
    </row>
    <row r="152" customFormat="false" ht="15" hidden="false" customHeight="true" outlineLevel="0" collapsed="false">
      <c r="AQ152" s="1"/>
    </row>
    <row r="153" customFormat="false" ht="15" hidden="false" customHeight="true" outlineLevel="0" collapsed="false">
      <c r="AQ153" s="1"/>
    </row>
    <row r="154" customFormat="false" ht="15" hidden="false" customHeight="true" outlineLevel="0" collapsed="false">
      <c r="AQ154" s="1"/>
    </row>
    <row r="155" customFormat="false" ht="15" hidden="false" customHeight="true" outlineLevel="0" collapsed="false">
      <c r="AQ155" s="1"/>
    </row>
    <row r="156" customFormat="false" ht="15" hidden="false" customHeight="true" outlineLevel="0" collapsed="false">
      <c r="AQ156" s="1"/>
    </row>
    <row r="157" customFormat="false" ht="15" hidden="false" customHeight="true" outlineLevel="0" collapsed="false">
      <c r="AQ157" s="1"/>
    </row>
    <row r="158" customFormat="false" ht="15" hidden="false" customHeight="true" outlineLevel="0" collapsed="false">
      <c r="AQ158" s="1"/>
    </row>
    <row r="159" customFormat="false" ht="15" hidden="false" customHeight="true" outlineLevel="0" collapsed="false">
      <c r="AQ159" s="1"/>
    </row>
    <row r="160" customFormat="false" ht="15" hidden="false" customHeight="true" outlineLevel="0" collapsed="false">
      <c r="AQ160" s="1"/>
    </row>
    <row r="161" customFormat="false" ht="15" hidden="false" customHeight="true" outlineLevel="0" collapsed="false">
      <c r="AQ161" s="1"/>
    </row>
    <row r="162" customFormat="false" ht="15" hidden="false" customHeight="true" outlineLevel="0" collapsed="false">
      <c r="AQ162" s="1"/>
    </row>
    <row r="163" customFormat="false" ht="15" hidden="false" customHeight="true" outlineLevel="0" collapsed="false">
      <c r="AQ163" s="1"/>
    </row>
    <row r="164" customFormat="false" ht="15" hidden="false" customHeight="true" outlineLevel="0" collapsed="false">
      <c r="AQ164" s="1"/>
    </row>
    <row r="165" customFormat="false" ht="15" hidden="false" customHeight="true" outlineLevel="0" collapsed="false">
      <c r="AQ165" s="1"/>
    </row>
    <row r="166" customFormat="false" ht="15" hidden="false" customHeight="true" outlineLevel="0" collapsed="false">
      <c r="AQ166" s="1"/>
    </row>
    <row r="167" customFormat="false" ht="15" hidden="false" customHeight="true" outlineLevel="0" collapsed="false">
      <c r="AQ167" s="1"/>
    </row>
    <row r="168" customFormat="false" ht="15" hidden="false" customHeight="true" outlineLevel="0" collapsed="false">
      <c r="AQ168" s="1"/>
    </row>
    <row r="169" customFormat="false" ht="15" hidden="false" customHeight="true" outlineLevel="0" collapsed="false">
      <c r="AQ169" s="1"/>
    </row>
    <row r="170" customFormat="false" ht="15" hidden="false" customHeight="true" outlineLevel="0" collapsed="false">
      <c r="AQ170" s="1"/>
    </row>
    <row r="171" customFormat="false" ht="15" hidden="false" customHeight="true" outlineLevel="0" collapsed="false">
      <c r="AQ171" s="1"/>
    </row>
    <row r="172" customFormat="false" ht="15" hidden="false" customHeight="true" outlineLevel="0" collapsed="false">
      <c r="AQ172" s="1"/>
    </row>
    <row r="173" customFormat="false" ht="15" hidden="false" customHeight="true" outlineLevel="0" collapsed="false">
      <c r="AQ173" s="1"/>
    </row>
    <row r="174" customFormat="false" ht="15" hidden="false" customHeight="true" outlineLevel="0" collapsed="false">
      <c r="AQ174" s="1"/>
    </row>
    <row r="175" customFormat="false" ht="15" hidden="false" customHeight="true" outlineLevel="0" collapsed="false">
      <c r="AQ175" s="1"/>
    </row>
    <row r="176" customFormat="false" ht="15" hidden="false" customHeight="true" outlineLevel="0" collapsed="false">
      <c r="AQ176" s="1"/>
    </row>
    <row r="177" customFormat="false" ht="15" hidden="false" customHeight="true" outlineLevel="0" collapsed="false">
      <c r="AQ177" s="1"/>
    </row>
    <row r="178" customFormat="false" ht="15" hidden="false" customHeight="true" outlineLevel="0" collapsed="false">
      <c r="AQ178" s="1"/>
    </row>
    <row r="179" customFormat="false" ht="15" hidden="false" customHeight="true" outlineLevel="0" collapsed="false">
      <c r="AQ179" s="1"/>
    </row>
    <row r="180" customFormat="false" ht="15" hidden="false" customHeight="true" outlineLevel="0" collapsed="false">
      <c r="AQ180" s="1"/>
    </row>
    <row r="181" customFormat="false" ht="15" hidden="false" customHeight="true" outlineLevel="0" collapsed="false">
      <c r="AQ181" s="1"/>
    </row>
    <row r="182" customFormat="false" ht="15" hidden="false" customHeight="true" outlineLevel="0" collapsed="false">
      <c r="AQ182" s="1"/>
    </row>
    <row r="183" customFormat="false" ht="15" hidden="false" customHeight="true" outlineLevel="0" collapsed="false">
      <c r="AQ183" s="1"/>
    </row>
    <row r="184" customFormat="false" ht="15" hidden="false" customHeight="true" outlineLevel="0" collapsed="false">
      <c r="AQ184" s="1"/>
    </row>
    <row r="185" customFormat="false" ht="15" hidden="false" customHeight="true" outlineLevel="0" collapsed="false">
      <c r="AQ185" s="1"/>
    </row>
    <row r="186" customFormat="false" ht="15" hidden="false" customHeight="true" outlineLevel="0" collapsed="false">
      <c r="AQ186" s="1"/>
    </row>
    <row r="187" customFormat="false" ht="15" hidden="false" customHeight="true" outlineLevel="0" collapsed="false">
      <c r="AQ187" s="1"/>
    </row>
    <row r="188" customFormat="false" ht="15" hidden="false" customHeight="true" outlineLevel="0" collapsed="false">
      <c r="AQ188" s="1"/>
    </row>
    <row r="189" customFormat="false" ht="15" hidden="false" customHeight="true" outlineLevel="0" collapsed="false">
      <c r="AQ189" s="1"/>
    </row>
    <row r="190" customFormat="false" ht="15" hidden="false" customHeight="true" outlineLevel="0" collapsed="false">
      <c r="AQ190" s="1"/>
    </row>
    <row r="191" customFormat="false" ht="15" hidden="false" customHeight="true" outlineLevel="0" collapsed="false">
      <c r="AQ191" s="1"/>
    </row>
    <row r="192" customFormat="false" ht="15" hidden="false" customHeight="true" outlineLevel="0" collapsed="false">
      <c r="AQ192" s="1"/>
    </row>
    <row r="193" customFormat="false" ht="15" hidden="false" customHeight="true" outlineLevel="0" collapsed="false">
      <c r="AQ193" s="1"/>
    </row>
    <row r="194" customFormat="false" ht="15" hidden="false" customHeight="true" outlineLevel="0" collapsed="false">
      <c r="AQ194" s="1"/>
    </row>
    <row r="195" customFormat="false" ht="15" hidden="false" customHeight="true" outlineLevel="0" collapsed="false">
      <c r="AQ195" s="1"/>
    </row>
    <row r="196" customFormat="false" ht="15" hidden="false" customHeight="true" outlineLevel="0" collapsed="false">
      <c r="AQ196" s="1"/>
    </row>
    <row r="197" customFormat="false" ht="15" hidden="false" customHeight="true" outlineLevel="0" collapsed="false">
      <c r="AQ197" s="1"/>
    </row>
    <row r="198" customFormat="false" ht="15" hidden="false" customHeight="true" outlineLevel="0" collapsed="false">
      <c r="AQ198" s="1"/>
    </row>
    <row r="199" customFormat="false" ht="15" hidden="false" customHeight="true" outlineLevel="0" collapsed="false">
      <c r="AQ199" s="1"/>
    </row>
    <row r="200" customFormat="false" ht="15" hidden="false" customHeight="true" outlineLevel="0" collapsed="false">
      <c r="AQ200" s="1"/>
    </row>
    <row r="201" customFormat="false" ht="15" hidden="false" customHeight="true" outlineLevel="0" collapsed="false">
      <c r="AQ201" s="1"/>
    </row>
    <row r="202" customFormat="false" ht="15" hidden="false" customHeight="true" outlineLevel="0" collapsed="false">
      <c r="AQ202" s="1"/>
    </row>
    <row r="203" customFormat="false" ht="15" hidden="false" customHeight="true" outlineLevel="0" collapsed="false">
      <c r="AQ203" s="1"/>
    </row>
    <row r="204" customFormat="false" ht="15" hidden="false" customHeight="true" outlineLevel="0" collapsed="false">
      <c r="AQ204" s="1"/>
    </row>
    <row r="205" customFormat="false" ht="15" hidden="false" customHeight="true" outlineLevel="0" collapsed="false">
      <c r="AQ205" s="1"/>
    </row>
    <row r="206" customFormat="false" ht="15" hidden="false" customHeight="true" outlineLevel="0" collapsed="false">
      <c r="AQ206" s="1"/>
    </row>
    <row r="207" customFormat="false" ht="15" hidden="false" customHeight="true" outlineLevel="0" collapsed="false">
      <c r="AQ207" s="1"/>
    </row>
    <row r="208" customFormat="false" ht="15" hidden="false" customHeight="true" outlineLevel="0" collapsed="false">
      <c r="AQ208" s="1"/>
    </row>
    <row r="209" customFormat="false" ht="15" hidden="false" customHeight="true" outlineLevel="0" collapsed="false">
      <c r="AQ209" s="1"/>
    </row>
    <row r="210" customFormat="false" ht="15" hidden="false" customHeight="true" outlineLevel="0" collapsed="false">
      <c r="AQ210" s="1"/>
    </row>
    <row r="211" customFormat="false" ht="15" hidden="false" customHeight="true" outlineLevel="0" collapsed="false">
      <c r="AQ211" s="1"/>
    </row>
    <row r="212" customFormat="false" ht="15" hidden="false" customHeight="true" outlineLevel="0" collapsed="false">
      <c r="AQ212" s="1"/>
    </row>
    <row r="213" customFormat="false" ht="15" hidden="false" customHeight="true" outlineLevel="0" collapsed="false">
      <c r="AQ213" s="1"/>
    </row>
    <row r="214" customFormat="false" ht="15" hidden="false" customHeight="true" outlineLevel="0" collapsed="false">
      <c r="AQ214" s="1"/>
    </row>
    <row r="215" customFormat="false" ht="15" hidden="false" customHeight="true" outlineLevel="0" collapsed="false">
      <c r="AQ215" s="1"/>
    </row>
    <row r="216" customFormat="false" ht="15" hidden="false" customHeight="true" outlineLevel="0" collapsed="false">
      <c r="AQ216" s="1"/>
    </row>
    <row r="217" customFormat="false" ht="15" hidden="false" customHeight="true" outlineLevel="0" collapsed="false">
      <c r="AQ217" s="1"/>
    </row>
    <row r="218" customFormat="false" ht="15" hidden="false" customHeight="true" outlineLevel="0" collapsed="false">
      <c r="AQ218" s="1"/>
    </row>
    <row r="219" customFormat="false" ht="15" hidden="false" customHeight="true" outlineLevel="0" collapsed="false">
      <c r="AQ219" s="1"/>
    </row>
    <row r="220" customFormat="false" ht="15" hidden="false" customHeight="true" outlineLevel="0" collapsed="false">
      <c r="AQ220" s="1"/>
    </row>
    <row r="221" customFormat="false" ht="15" hidden="false" customHeight="true" outlineLevel="0" collapsed="false">
      <c r="AQ221" s="1"/>
    </row>
    <row r="222" customFormat="false" ht="15" hidden="false" customHeight="true" outlineLevel="0" collapsed="false">
      <c r="AQ222" s="1"/>
    </row>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6:U6"/>
  <mergeCells count="24">
    <mergeCell ref="A2:B2"/>
    <mergeCell ref="C2:E2"/>
    <mergeCell ref="A3:B3"/>
    <mergeCell ref="C3:E3"/>
    <mergeCell ref="G3:H3"/>
    <mergeCell ref="I3:J3"/>
    <mergeCell ref="A4:B4"/>
    <mergeCell ref="C4:E4"/>
    <mergeCell ref="G4:H4"/>
    <mergeCell ref="I4:J4"/>
    <mergeCell ref="A5:C5"/>
    <mergeCell ref="D5:I5"/>
    <mergeCell ref="J5:M5"/>
    <mergeCell ref="N5:R5"/>
    <mergeCell ref="S5:W5"/>
    <mergeCell ref="X5:AB5"/>
    <mergeCell ref="AC5:AG5"/>
    <mergeCell ref="AH5:AL5"/>
    <mergeCell ref="AM5:AP5"/>
    <mergeCell ref="A7:I7"/>
    <mergeCell ref="B8:I8"/>
    <mergeCell ref="B11:I11"/>
    <mergeCell ref="B21:I21"/>
    <mergeCell ref="B26:I26"/>
  </mergeCells>
  <dataValidations count="8">
    <dataValidation allowBlank="true" errorStyle="stop" operator="between" showDropDown="false" showErrorMessage="false" showInputMessage="false" sqref="D8:D502" type="list">
      <formula1>"Functional,UI,Integration,Database Test Case"</formula1>
      <formula2>0</formula2>
    </dataValidation>
    <dataValidation allowBlank="true" errorStyle="stop" operator="between" showDropDown="false" showErrorMessage="false" showInputMessage="false" sqref="E8:E502" type="list">
      <formula1>"High,Medium,Low"</formula1>
      <formula2>0</formula2>
    </dataValidation>
    <dataValidation allowBlank="true" errorStyle="stop" operator="between" showDropDown="false" showErrorMessage="false" showInputMessage="false" sqref="J8:J502" type="list">
      <formula1>"AI,QC"</formula1>
      <formula2>0</formula2>
    </dataValidation>
    <dataValidation allowBlank="true" errorStyle="stop" operator="between" showDropDown="false" showErrorMessage="false" showInputMessage="false" sqref="K8:K502" type="list">
      <formula1>"Reviewed,Pending,N/A"</formula1>
      <formula2>0</formula2>
    </dataValidation>
    <dataValidation allowBlank="true" errorStyle="stop" operator="between" showDropDown="false" showErrorMessage="false" showInputMessage="false" sqref="L8:L502" type="list">
      <formula1>"Yes,No"</formula1>
      <formula2>0</formula2>
    </dataValidation>
    <dataValidation allowBlank="true" errorStyle="stop" operator="between" showDropDown="false" showErrorMessage="false" showInputMessage="false" sqref="N8:N502 S8:S502 X8:X502 AC8:AC502 AH8:AH502" type="list">
      <formula1>"Yes,No,N/A"</formula1>
      <formula2>0</formula2>
    </dataValidation>
    <dataValidation allowBlank="true" errorStyle="stop" operator="between" showDropDown="false" showErrorMessage="false" showInputMessage="false" sqref="O8:O502 T8:T502 Y8:Y502 AD8:AD502 AI8:AI502" type="list">
      <formula1>"Pass,Fail,Block,N/A,Chưa chạy"</formula1>
      <formula2>0</formula2>
    </dataValidation>
    <dataValidation allowBlank="true" errorStyle="stop" operator="between" showDropDown="false" showErrorMessage="false" showInputMessage="false" sqref="P8:P502 U8:U502 Z8:Z502 AE8:AE502 AJ8:AJ502" type="list">
      <formula1>"Pass,Fail,Block,N/A"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13" min="4" style="1" width="10"/>
  </cols>
  <sheetData>
    <row r="1" customFormat="false" ht="15" hidden="false" customHeight="true" outlineLevel="0" collapsed="false">
      <c r="A1" s="208" t="s">
        <v>2272</v>
      </c>
      <c r="B1" s="208" t="s">
        <v>2273</v>
      </c>
      <c r="C1" s="208" t="s">
        <v>2274</v>
      </c>
      <c r="D1" s="208" t="s">
        <v>2275</v>
      </c>
      <c r="E1" s="208" t="s">
        <v>2276</v>
      </c>
      <c r="F1" s="208" t="s">
        <v>2277</v>
      </c>
      <c r="G1" s="208" t="s">
        <v>2278</v>
      </c>
      <c r="H1" s="208" t="s">
        <v>2279</v>
      </c>
      <c r="I1" s="208" t="s">
        <v>2280</v>
      </c>
      <c r="J1" s="208" t="s">
        <v>2281</v>
      </c>
      <c r="K1" s="208" t="s">
        <v>2282</v>
      </c>
      <c r="L1" s="208" t="s">
        <v>2283</v>
      </c>
      <c r="M1" s="208" t="s">
        <v>154</v>
      </c>
    </row>
    <row r="2" customFormat="false" ht="27.75" hidden="false" customHeight="true" outlineLevel="0" collapsed="false">
      <c r="A2" s="1" t="s">
        <v>2284</v>
      </c>
      <c r="B2" s="209" t="s">
        <v>2285</v>
      </c>
      <c r="C2" s="209" t="s">
        <v>2286</v>
      </c>
      <c r="D2" s="210" t="s">
        <v>2287</v>
      </c>
      <c r="E2" s="210" t="s">
        <v>2288</v>
      </c>
      <c r="F2" s="210" t="s">
        <v>2289</v>
      </c>
      <c r="G2" s="210" t="s">
        <v>2290</v>
      </c>
      <c r="H2" s="210" t="s">
        <v>2291</v>
      </c>
      <c r="I2" s="210" t="s">
        <v>2292</v>
      </c>
      <c r="J2" s="210" t="s">
        <v>2293</v>
      </c>
      <c r="K2" s="210" t="s">
        <v>2294</v>
      </c>
      <c r="L2" s="1" t="n">
        <v>1</v>
      </c>
      <c r="M2" s="1" t="s">
        <v>2295</v>
      </c>
    </row>
    <row r="3" customFormat="false" ht="27.75" hidden="false" customHeight="true" outlineLevel="0" collapsed="false">
      <c r="A3" s="211" t="s">
        <v>2296</v>
      </c>
      <c r="B3" s="212" t="s">
        <v>2297</v>
      </c>
      <c r="C3" s="212" t="s">
        <v>2298</v>
      </c>
      <c r="D3" s="210" t="s">
        <v>2299</v>
      </c>
      <c r="E3" s="210" t="s">
        <v>2288</v>
      </c>
      <c r="F3" s="210" t="s">
        <v>2289</v>
      </c>
      <c r="G3" s="210" t="s">
        <v>2290</v>
      </c>
      <c r="H3" s="210" t="s">
        <v>2291</v>
      </c>
      <c r="I3" s="210" t="s">
        <v>2292</v>
      </c>
      <c r="J3" s="210" t="s">
        <v>2293</v>
      </c>
      <c r="K3" s="210" t="s">
        <v>2294</v>
      </c>
      <c r="L3" s="211" t="n">
        <v>1</v>
      </c>
      <c r="M3" s="211" t="s">
        <v>2295</v>
      </c>
    </row>
    <row r="4" customFormat="false" ht="15" hidden="false" customHeight="true" outlineLevel="0" collapsed="false">
      <c r="A4" s="1" t="s">
        <v>2300</v>
      </c>
      <c r="B4" s="209" t="s">
        <v>2301</v>
      </c>
      <c r="C4" s="209" t="s">
        <v>2302</v>
      </c>
      <c r="D4" s="210" t="s">
        <v>2303</v>
      </c>
      <c r="E4" s="210" t="s">
        <v>2288</v>
      </c>
      <c r="F4" s="210" t="s">
        <v>2289</v>
      </c>
      <c r="G4" s="210" t="s">
        <v>2304</v>
      </c>
      <c r="H4" s="210" t="s">
        <v>2291</v>
      </c>
      <c r="I4" s="210" t="s">
        <v>2292</v>
      </c>
      <c r="J4" s="210" t="s">
        <v>2293</v>
      </c>
      <c r="K4" s="210" t="s">
        <v>2294</v>
      </c>
      <c r="L4" s="1" t="n">
        <v>1</v>
      </c>
      <c r="M4" s="1" t="s">
        <v>2295</v>
      </c>
    </row>
    <row r="5" customFormat="false" ht="15" hidden="false" customHeight="true" outlineLevel="0" collapsed="false">
      <c r="A5" s="211" t="s">
        <v>2305</v>
      </c>
      <c r="B5" s="212" t="s">
        <v>650</v>
      </c>
      <c r="C5" s="212" t="s">
        <v>2306</v>
      </c>
      <c r="D5" s="213" t="s">
        <v>2307</v>
      </c>
      <c r="E5" s="210" t="s">
        <v>2288</v>
      </c>
      <c r="F5" s="210" t="s">
        <v>2289</v>
      </c>
      <c r="G5" s="210" t="s">
        <v>2308</v>
      </c>
      <c r="H5" s="210" t="s">
        <v>2291</v>
      </c>
      <c r="I5" s="210" t="s">
        <v>2309</v>
      </c>
      <c r="J5" s="210" t="s">
        <v>2310</v>
      </c>
      <c r="K5" s="210" t="s">
        <v>2294</v>
      </c>
      <c r="L5" s="211" t="n">
        <v>3</v>
      </c>
      <c r="M5" s="211" t="s">
        <v>2311</v>
      </c>
    </row>
    <row r="6" customFormat="false" ht="15" hidden="false" customHeight="true" outlineLevel="0" collapsed="false">
      <c r="A6" s="1" t="s">
        <v>2312</v>
      </c>
      <c r="B6" s="209" t="s">
        <v>655</v>
      </c>
      <c r="C6" s="209" t="s">
        <v>2306</v>
      </c>
      <c r="D6" s="213" t="s">
        <v>2313</v>
      </c>
      <c r="E6" s="210" t="s">
        <v>2288</v>
      </c>
      <c r="F6" s="210" t="s">
        <v>2289</v>
      </c>
      <c r="G6" s="210" t="s">
        <v>2314</v>
      </c>
      <c r="H6" s="210" t="s">
        <v>2291</v>
      </c>
      <c r="I6" s="210" t="s">
        <v>2309</v>
      </c>
      <c r="J6" s="210" t="s">
        <v>2315</v>
      </c>
      <c r="K6" s="210" t="s">
        <v>2294</v>
      </c>
      <c r="L6" s="1" t="n">
        <v>1</v>
      </c>
      <c r="M6" s="1" t="s">
        <v>2311</v>
      </c>
    </row>
    <row r="7" customFormat="false" ht="27.75" hidden="false" customHeight="true" outlineLevel="0" collapsed="false">
      <c r="A7" s="211" t="s">
        <v>2316</v>
      </c>
      <c r="B7" s="212" t="s">
        <v>2317</v>
      </c>
      <c r="C7" s="212" t="s">
        <v>2318</v>
      </c>
      <c r="D7" s="210" t="s">
        <v>2319</v>
      </c>
      <c r="E7" s="210" t="s">
        <v>2288</v>
      </c>
      <c r="F7" s="210" t="s">
        <v>2289</v>
      </c>
      <c r="G7" s="210" t="s">
        <v>2290</v>
      </c>
      <c r="H7" s="210" t="s">
        <v>2291</v>
      </c>
      <c r="I7" s="210" t="s">
        <v>2292</v>
      </c>
      <c r="J7" s="210" t="s">
        <v>2293</v>
      </c>
      <c r="K7" s="210" t="s">
        <v>2294</v>
      </c>
      <c r="L7" s="211" t="n">
        <v>1</v>
      </c>
      <c r="M7" s="211" t="s">
        <v>2295</v>
      </c>
    </row>
    <row r="8" customFormat="false" ht="27.75" hidden="false" customHeight="true" outlineLevel="0" collapsed="false">
      <c r="A8" s="1" t="s">
        <v>2320</v>
      </c>
      <c r="B8" s="209" t="s">
        <v>2321</v>
      </c>
      <c r="C8" s="209" t="s">
        <v>2322</v>
      </c>
      <c r="D8" s="210" t="s">
        <v>2323</v>
      </c>
      <c r="E8" s="213" t="s">
        <v>2324</v>
      </c>
      <c r="F8" s="210" t="s">
        <v>2289</v>
      </c>
      <c r="G8" s="213" t="s">
        <v>2325</v>
      </c>
      <c r="H8" s="210" t="s">
        <v>2291</v>
      </c>
      <c r="I8" s="210" t="s">
        <v>2326</v>
      </c>
      <c r="J8" s="210" t="s">
        <v>2293</v>
      </c>
      <c r="K8" s="210" t="s">
        <v>2294</v>
      </c>
      <c r="L8" s="1" t="n">
        <v>2</v>
      </c>
      <c r="M8" s="1" t="s">
        <v>2327</v>
      </c>
    </row>
    <row r="9" customFormat="false" ht="27.75" hidden="false" customHeight="true" outlineLevel="0" collapsed="false">
      <c r="A9" s="211" t="s">
        <v>2328</v>
      </c>
      <c r="B9" s="212" t="s">
        <v>2329</v>
      </c>
      <c r="C9" s="212" t="s">
        <v>2330</v>
      </c>
      <c r="D9" s="210" t="s">
        <v>2331</v>
      </c>
      <c r="E9" s="210" t="s">
        <v>2288</v>
      </c>
      <c r="F9" s="210" t="s">
        <v>2289</v>
      </c>
      <c r="G9" s="210" t="s">
        <v>2332</v>
      </c>
      <c r="H9" s="210" t="s">
        <v>2291</v>
      </c>
      <c r="I9" s="210" t="s">
        <v>2292</v>
      </c>
      <c r="J9" s="210" t="s">
        <v>2293</v>
      </c>
      <c r="K9" s="210" t="s">
        <v>2294</v>
      </c>
      <c r="L9" s="211" t="n">
        <v>1</v>
      </c>
      <c r="M9" s="211" t="s">
        <v>2295</v>
      </c>
    </row>
    <row r="10" customFormat="false" ht="27.75" hidden="false" customHeight="true" outlineLevel="0" collapsed="false">
      <c r="A10" s="1" t="s">
        <v>2333</v>
      </c>
      <c r="B10" s="209" t="s">
        <v>2334</v>
      </c>
      <c r="C10" s="209" t="s">
        <v>2335</v>
      </c>
      <c r="D10" s="210" t="s">
        <v>2336</v>
      </c>
      <c r="E10" s="210" t="s">
        <v>2288</v>
      </c>
      <c r="F10" s="210" t="s">
        <v>2289</v>
      </c>
      <c r="G10" s="210" t="s">
        <v>2337</v>
      </c>
      <c r="H10" s="210" t="s">
        <v>2291</v>
      </c>
      <c r="I10" s="210" t="s">
        <v>2292</v>
      </c>
      <c r="J10" s="210" t="s">
        <v>2293</v>
      </c>
      <c r="K10" s="210" t="s">
        <v>2294</v>
      </c>
      <c r="L10" s="1" t="n">
        <v>1</v>
      </c>
      <c r="M10" s="1" t="s">
        <v>2295</v>
      </c>
    </row>
    <row r="11" customFormat="false" ht="27.75" hidden="false" customHeight="true" outlineLevel="0" collapsed="false">
      <c r="A11" s="211" t="s">
        <v>2338</v>
      </c>
      <c r="B11" s="212" t="s">
        <v>2339</v>
      </c>
      <c r="C11" s="212" t="s">
        <v>2340</v>
      </c>
      <c r="D11" s="213" t="s">
        <v>2341</v>
      </c>
      <c r="E11" s="210" t="s">
        <v>2288</v>
      </c>
      <c r="F11" s="210" t="s">
        <v>2289</v>
      </c>
      <c r="G11" s="210" t="s">
        <v>2342</v>
      </c>
      <c r="H11" s="210" t="s">
        <v>2291</v>
      </c>
      <c r="I11" s="210" t="s">
        <v>2343</v>
      </c>
      <c r="J11" s="210" t="s">
        <v>2293</v>
      </c>
      <c r="K11" s="210" t="s">
        <v>2294</v>
      </c>
      <c r="L11" s="211" t="n">
        <v>5</v>
      </c>
      <c r="M11" s="211" t="s">
        <v>2311</v>
      </c>
    </row>
    <row r="12" customFormat="false" ht="27.75" hidden="false" customHeight="true" outlineLevel="0" collapsed="false">
      <c r="A12" s="1" t="s">
        <v>2344</v>
      </c>
      <c r="B12" s="209" t="s">
        <v>2345</v>
      </c>
      <c r="C12" s="209" t="s">
        <v>2346</v>
      </c>
      <c r="D12" s="210" t="s">
        <v>2347</v>
      </c>
      <c r="E12" s="210" t="s">
        <v>2288</v>
      </c>
      <c r="F12" s="210" t="s">
        <v>2289</v>
      </c>
      <c r="G12" s="210" t="s">
        <v>2290</v>
      </c>
      <c r="H12" s="210" t="s">
        <v>2291</v>
      </c>
      <c r="I12" s="210" t="s">
        <v>2348</v>
      </c>
      <c r="J12" s="210" t="s">
        <v>2293</v>
      </c>
      <c r="K12" s="210" t="s">
        <v>2294</v>
      </c>
      <c r="L12" s="1" t="n">
        <v>1</v>
      </c>
      <c r="M12" s="1" t="s">
        <v>2295</v>
      </c>
    </row>
    <row r="13" customFormat="false" ht="27.75" hidden="false" customHeight="true" outlineLevel="0" collapsed="false">
      <c r="A13" s="211" t="s">
        <v>2349</v>
      </c>
      <c r="B13" s="212" t="s">
        <v>2350</v>
      </c>
      <c r="C13" s="212" t="s">
        <v>2351</v>
      </c>
      <c r="D13" s="213" t="s">
        <v>2352</v>
      </c>
      <c r="E13" s="210" t="s">
        <v>2288</v>
      </c>
      <c r="F13" s="210" t="s">
        <v>2289</v>
      </c>
      <c r="G13" s="210" t="s">
        <v>2292</v>
      </c>
      <c r="H13" s="210" t="s">
        <v>2291</v>
      </c>
      <c r="I13" s="210" t="s">
        <v>2326</v>
      </c>
      <c r="J13" s="210" t="s">
        <v>2293</v>
      </c>
      <c r="K13" s="210" t="s">
        <v>2294</v>
      </c>
      <c r="L13" s="211" t="n">
        <v>2</v>
      </c>
      <c r="M13" s="211" t="s">
        <v>2311</v>
      </c>
    </row>
    <row r="14" customFormat="false" ht="27.75" hidden="false" customHeight="true" outlineLevel="0" collapsed="false">
      <c r="A14" s="1" t="s">
        <v>2353</v>
      </c>
      <c r="B14" s="209" t="s">
        <v>2354</v>
      </c>
      <c r="C14" s="209" t="s">
        <v>2355</v>
      </c>
      <c r="D14" s="210" t="s">
        <v>2356</v>
      </c>
      <c r="E14" s="210" t="s">
        <v>2288</v>
      </c>
      <c r="F14" s="210" t="s">
        <v>2289</v>
      </c>
      <c r="G14" s="210" t="s">
        <v>2357</v>
      </c>
      <c r="H14" s="210" t="s">
        <v>2291</v>
      </c>
      <c r="I14" s="210" t="s">
        <v>2358</v>
      </c>
      <c r="J14" s="210" t="s">
        <v>2293</v>
      </c>
      <c r="K14" s="210" t="s">
        <v>2294</v>
      </c>
      <c r="L14" s="1" t="n">
        <v>1</v>
      </c>
      <c r="M14" s="1" t="s">
        <v>2295</v>
      </c>
    </row>
    <row r="16" customFormat="false" ht="15" hidden="false" customHeight="true" outlineLevel="0" collapsed="false">
      <c r="A16" s="1" t="s">
        <v>2359</v>
      </c>
    </row>
    <row r="17" customFormat="false" ht="15" hidden="false" customHeight="true" outlineLevel="0" collapsed="false">
      <c r="A17" s="1" t="s">
        <v>2360</v>
      </c>
    </row>
    <row r="18" customFormat="false" ht="15" hidden="false" customHeight="true" outlineLevel="0" collapsed="false">
      <c r="A18" s="1" t="s">
        <v>2361</v>
      </c>
    </row>
    <row r="19" customFormat="false" ht="15" hidden="false" customHeight="true" outlineLevel="0" collapsed="false">
      <c r="A19" s="1" t="s">
        <v>2362</v>
      </c>
    </row>
  </sheetData>
  <autoFilter ref="A1:M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13" min="4" style="1" width="10"/>
  </cols>
  <sheetData>
    <row r="1" customFormat="false" ht="15" hidden="false" customHeight="true" outlineLevel="0" collapsed="false">
      <c r="A1" s="208" t="s">
        <v>2272</v>
      </c>
      <c r="B1" s="208" t="s">
        <v>2273</v>
      </c>
      <c r="C1" s="208" t="s">
        <v>2274</v>
      </c>
      <c r="D1" s="208" t="s">
        <v>2275</v>
      </c>
      <c r="E1" s="208" t="s">
        <v>2276</v>
      </c>
      <c r="F1" s="208" t="s">
        <v>2277</v>
      </c>
      <c r="G1" s="208" t="s">
        <v>2278</v>
      </c>
      <c r="H1" s="208" t="s">
        <v>2279</v>
      </c>
      <c r="I1" s="208" t="s">
        <v>2280</v>
      </c>
      <c r="J1" s="208" t="s">
        <v>2281</v>
      </c>
      <c r="K1" s="208" t="s">
        <v>2282</v>
      </c>
      <c r="L1" s="208" t="s">
        <v>2283</v>
      </c>
      <c r="M1" s="208" t="s">
        <v>154</v>
      </c>
    </row>
    <row r="2" customFormat="false" ht="27.75" hidden="false" customHeight="true" outlineLevel="0" collapsed="false">
      <c r="A2" s="1" t="s">
        <v>2363</v>
      </c>
      <c r="B2" s="209" t="s">
        <v>2364</v>
      </c>
      <c r="C2" s="209" t="s">
        <v>2365</v>
      </c>
      <c r="D2" s="210" t="s">
        <v>2366</v>
      </c>
      <c r="E2" s="210" t="s">
        <v>2288</v>
      </c>
      <c r="F2" s="210" t="s">
        <v>2289</v>
      </c>
      <c r="G2" s="210" t="s">
        <v>2290</v>
      </c>
      <c r="H2" s="210" t="s">
        <v>2291</v>
      </c>
      <c r="I2" s="210" t="s">
        <v>2367</v>
      </c>
      <c r="J2" s="210" t="s">
        <v>2368</v>
      </c>
      <c r="K2" s="210" t="s">
        <v>2294</v>
      </c>
      <c r="L2" s="1" t="n">
        <v>1</v>
      </c>
      <c r="M2" s="1" t="s">
        <v>2295</v>
      </c>
    </row>
    <row r="3" customFormat="false" ht="15" hidden="false" customHeight="true" outlineLevel="0" collapsed="false">
      <c r="A3" s="211" t="s">
        <v>2369</v>
      </c>
      <c r="B3" s="212" t="s">
        <v>2370</v>
      </c>
      <c r="C3" s="212" t="s">
        <v>2371</v>
      </c>
      <c r="D3" s="210" t="s">
        <v>2372</v>
      </c>
      <c r="E3" s="210" t="s">
        <v>2288</v>
      </c>
      <c r="F3" s="210" t="s">
        <v>2289</v>
      </c>
      <c r="G3" s="210" t="s">
        <v>2290</v>
      </c>
      <c r="H3" s="210" t="s">
        <v>2291</v>
      </c>
      <c r="I3" s="210" t="s">
        <v>2373</v>
      </c>
      <c r="J3" s="210" t="s">
        <v>2293</v>
      </c>
      <c r="K3" s="210" t="s">
        <v>2294</v>
      </c>
      <c r="L3" s="211" t="n">
        <v>1</v>
      </c>
      <c r="M3" s="211" t="s">
        <v>2295</v>
      </c>
    </row>
    <row r="4" customFormat="false" ht="27.75" hidden="false" customHeight="true" outlineLevel="0" collapsed="false">
      <c r="A4" s="1" t="s">
        <v>2374</v>
      </c>
      <c r="B4" s="209" t="s">
        <v>2375</v>
      </c>
      <c r="C4" s="209" t="s">
        <v>2376</v>
      </c>
      <c r="D4" s="210" t="s">
        <v>2319</v>
      </c>
      <c r="E4" s="210" t="s">
        <v>2288</v>
      </c>
      <c r="F4" s="210" t="s">
        <v>2289</v>
      </c>
      <c r="G4" s="210" t="s">
        <v>2290</v>
      </c>
      <c r="H4" s="210" t="s">
        <v>2291</v>
      </c>
      <c r="I4" s="210" t="s">
        <v>2377</v>
      </c>
      <c r="J4" s="210" t="s">
        <v>2293</v>
      </c>
      <c r="K4" s="210" t="s">
        <v>2294</v>
      </c>
      <c r="L4" s="1" t="n">
        <v>1</v>
      </c>
      <c r="M4" s="1" t="s">
        <v>2295</v>
      </c>
    </row>
    <row r="5" customFormat="false" ht="27.75" hidden="false" customHeight="true" outlineLevel="0" collapsed="false">
      <c r="A5" s="211" t="s">
        <v>2378</v>
      </c>
      <c r="B5" s="212" t="s">
        <v>2379</v>
      </c>
      <c r="C5" s="212" t="s">
        <v>2380</v>
      </c>
      <c r="D5" s="210" t="s">
        <v>2323</v>
      </c>
      <c r="E5" s="213" t="s">
        <v>2381</v>
      </c>
      <c r="F5" s="210" t="s">
        <v>2289</v>
      </c>
      <c r="G5" s="210" t="s">
        <v>2382</v>
      </c>
      <c r="H5" s="210" t="s">
        <v>2291</v>
      </c>
      <c r="I5" s="210" t="s">
        <v>2383</v>
      </c>
      <c r="J5" s="210" t="s">
        <v>2384</v>
      </c>
      <c r="K5" s="210" t="s">
        <v>2294</v>
      </c>
      <c r="L5" s="211" t="n">
        <v>4</v>
      </c>
      <c r="M5" s="211" t="s">
        <v>2311</v>
      </c>
    </row>
    <row r="6" customFormat="false" ht="27.75" hidden="false" customHeight="true" outlineLevel="0" collapsed="false">
      <c r="A6" s="1" t="s">
        <v>2385</v>
      </c>
      <c r="B6" s="209" t="s">
        <v>2386</v>
      </c>
      <c r="C6" s="209" t="s">
        <v>2387</v>
      </c>
      <c r="D6" s="210" t="s">
        <v>2388</v>
      </c>
      <c r="E6" s="210" t="s">
        <v>2288</v>
      </c>
      <c r="F6" s="210" t="s">
        <v>2289</v>
      </c>
      <c r="G6" s="210" t="s">
        <v>2290</v>
      </c>
      <c r="H6" s="210" t="s">
        <v>2291</v>
      </c>
      <c r="I6" s="210" t="s">
        <v>2389</v>
      </c>
      <c r="J6" s="210" t="s">
        <v>2293</v>
      </c>
      <c r="K6" s="210" t="s">
        <v>2294</v>
      </c>
      <c r="L6" s="1" t="n">
        <v>1</v>
      </c>
      <c r="M6" s="1" t="s">
        <v>2295</v>
      </c>
    </row>
    <row r="7" customFormat="false" ht="27.75" hidden="false" customHeight="true" outlineLevel="0" collapsed="false">
      <c r="A7" s="211" t="s">
        <v>2390</v>
      </c>
      <c r="B7" s="212" t="s">
        <v>2391</v>
      </c>
      <c r="C7" s="212" t="s">
        <v>2392</v>
      </c>
      <c r="D7" s="210" t="s">
        <v>2393</v>
      </c>
      <c r="E7" s="210" t="s">
        <v>2288</v>
      </c>
      <c r="F7" s="210" t="s">
        <v>2289</v>
      </c>
      <c r="G7" s="210" t="s">
        <v>2394</v>
      </c>
      <c r="H7" s="210" t="s">
        <v>2291</v>
      </c>
      <c r="I7" s="210" t="s">
        <v>2343</v>
      </c>
      <c r="J7" s="210" t="s">
        <v>2293</v>
      </c>
      <c r="K7" s="210" t="s">
        <v>2294</v>
      </c>
      <c r="L7" s="211" t="n">
        <v>1</v>
      </c>
      <c r="M7" s="211" t="s">
        <v>2295</v>
      </c>
    </row>
    <row r="8" customFormat="false" ht="27.75" hidden="false" customHeight="true" outlineLevel="0" collapsed="false">
      <c r="A8" s="1" t="s">
        <v>2395</v>
      </c>
      <c r="B8" s="209" t="s">
        <v>2396</v>
      </c>
      <c r="C8" s="209" t="s">
        <v>2397</v>
      </c>
      <c r="D8" s="213" t="s">
        <v>2398</v>
      </c>
      <c r="E8" s="213" t="s">
        <v>2399</v>
      </c>
      <c r="F8" s="210" t="s">
        <v>2289</v>
      </c>
      <c r="G8" s="210" t="s">
        <v>2290</v>
      </c>
      <c r="H8" s="210" t="s">
        <v>2291</v>
      </c>
      <c r="I8" s="210" t="s">
        <v>2377</v>
      </c>
      <c r="J8" s="210" t="s">
        <v>2400</v>
      </c>
      <c r="K8" s="210" t="s">
        <v>2294</v>
      </c>
      <c r="L8" s="1" t="n">
        <v>5</v>
      </c>
      <c r="M8" s="1" t="s">
        <v>2401</v>
      </c>
    </row>
    <row r="9" customFormat="false" ht="27.75" hidden="false" customHeight="true" outlineLevel="0" collapsed="false">
      <c r="A9" s="211" t="s">
        <v>2402</v>
      </c>
      <c r="B9" s="212" t="s">
        <v>2403</v>
      </c>
      <c r="C9" s="212" t="s">
        <v>2392</v>
      </c>
      <c r="D9" s="210" t="s">
        <v>2393</v>
      </c>
      <c r="E9" s="210" t="s">
        <v>2288</v>
      </c>
      <c r="F9" s="210" t="s">
        <v>2289</v>
      </c>
      <c r="G9" s="210" t="s">
        <v>2404</v>
      </c>
      <c r="H9" s="210" t="s">
        <v>2291</v>
      </c>
      <c r="I9" s="210" t="s">
        <v>2348</v>
      </c>
      <c r="J9" s="210" t="s">
        <v>2293</v>
      </c>
      <c r="K9" s="210" t="s">
        <v>2294</v>
      </c>
      <c r="L9" s="211" t="n">
        <v>1</v>
      </c>
      <c r="M9" s="211" t="s">
        <v>2295</v>
      </c>
    </row>
    <row r="10" customFormat="false" ht="27.75" hidden="false" customHeight="true" outlineLevel="0" collapsed="false">
      <c r="A10" s="1" t="s">
        <v>2405</v>
      </c>
      <c r="B10" s="209" t="s">
        <v>2406</v>
      </c>
      <c r="C10" s="209" t="s">
        <v>2407</v>
      </c>
      <c r="D10" s="210" t="s">
        <v>2408</v>
      </c>
      <c r="E10" s="210" t="s">
        <v>2288</v>
      </c>
      <c r="F10" s="210" t="s">
        <v>2289</v>
      </c>
      <c r="G10" s="210" t="s">
        <v>2290</v>
      </c>
      <c r="H10" s="210" t="s">
        <v>2291</v>
      </c>
      <c r="I10" s="210" t="s">
        <v>2326</v>
      </c>
      <c r="J10" s="210" t="s">
        <v>2293</v>
      </c>
      <c r="K10" s="210" t="s">
        <v>2294</v>
      </c>
      <c r="L10" s="1" t="n">
        <v>1</v>
      </c>
      <c r="M10" s="1" t="s">
        <v>2295</v>
      </c>
    </row>
    <row r="11" customFormat="false" ht="15" hidden="false" customHeight="true" outlineLevel="0" collapsed="false">
      <c r="A11" s="211" t="s">
        <v>2409</v>
      </c>
      <c r="B11" s="212" t="s">
        <v>2410</v>
      </c>
      <c r="C11" s="212" t="s">
        <v>2411</v>
      </c>
      <c r="D11" s="210" t="s">
        <v>2393</v>
      </c>
      <c r="E11" s="210" t="s">
        <v>2288</v>
      </c>
      <c r="F11" s="210" t="s">
        <v>2289</v>
      </c>
      <c r="G11" s="210" t="s">
        <v>2404</v>
      </c>
      <c r="H11" s="210" t="s">
        <v>2291</v>
      </c>
      <c r="I11" s="210" t="s">
        <v>2348</v>
      </c>
      <c r="J11" s="210" t="s">
        <v>2293</v>
      </c>
      <c r="K11" s="210" t="s">
        <v>2294</v>
      </c>
      <c r="L11" s="211" t="n">
        <v>1</v>
      </c>
      <c r="M11" s="211" t="s">
        <v>2295</v>
      </c>
    </row>
    <row r="13" customFormat="false" ht="15" hidden="false" customHeight="true" outlineLevel="0" collapsed="false">
      <c r="A13" s="1" t="s">
        <v>2412</v>
      </c>
    </row>
    <row r="14" customFormat="false" ht="15" hidden="false" customHeight="true" outlineLevel="0" collapsed="false">
      <c r="A14" s="1" t="s">
        <v>2413</v>
      </c>
    </row>
    <row r="15" customFormat="false" ht="15" hidden="false" customHeight="true" outlineLevel="0" collapsed="false">
      <c r="A15" s="1" t="s">
        <v>2414</v>
      </c>
    </row>
    <row r="16" customFormat="false" ht="15" hidden="false" customHeight="true" outlineLevel="0" collapsed="false">
      <c r="A16" s="1" t="s">
        <v>2415</v>
      </c>
    </row>
  </sheetData>
  <autoFilter ref="A1:M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4" min="4" style="1" width="10"/>
  </cols>
  <sheetData>
    <row r="1" customFormat="false" ht="23.25" hidden="false" customHeight="true" outlineLevel="0" collapsed="false">
      <c r="A1" s="214" t="s">
        <v>2272</v>
      </c>
      <c r="B1" s="214" t="s">
        <v>2273</v>
      </c>
      <c r="C1" s="214" t="s">
        <v>2274</v>
      </c>
      <c r="D1" s="214" t="s">
        <v>2275</v>
      </c>
      <c r="E1" s="214" t="s">
        <v>2276</v>
      </c>
      <c r="F1" s="214" t="s">
        <v>2277</v>
      </c>
      <c r="G1" s="214" t="s">
        <v>2278</v>
      </c>
      <c r="H1" s="214" t="s">
        <v>2279</v>
      </c>
      <c r="I1" s="214" t="s">
        <v>2280</v>
      </c>
      <c r="J1" s="214" t="s">
        <v>2281</v>
      </c>
      <c r="K1" s="214" t="s">
        <v>2282</v>
      </c>
      <c r="L1" s="214" t="s">
        <v>2283</v>
      </c>
      <c r="M1" s="214" t="s">
        <v>154</v>
      </c>
    </row>
    <row r="2" customFormat="false" ht="15" hidden="false" customHeight="true" outlineLevel="0" collapsed="false">
      <c r="A2" s="215" t="s">
        <v>2416</v>
      </c>
      <c r="B2" s="212" t="s">
        <v>2417</v>
      </c>
      <c r="C2" s="212" t="s">
        <v>2418</v>
      </c>
      <c r="D2" s="216" t="s">
        <v>2419</v>
      </c>
      <c r="E2" s="217" t="s">
        <v>2288</v>
      </c>
      <c r="F2" s="217" t="s">
        <v>2289</v>
      </c>
      <c r="G2" s="217" t="s">
        <v>2420</v>
      </c>
      <c r="H2" s="217" t="s">
        <v>2291</v>
      </c>
      <c r="I2" s="217" t="s">
        <v>2326</v>
      </c>
      <c r="J2" s="217" t="s">
        <v>2293</v>
      </c>
      <c r="K2" s="217" t="s">
        <v>2294</v>
      </c>
      <c r="L2" s="215" t="n">
        <v>2</v>
      </c>
      <c r="M2" s="216" t="s">
        <v>2311</v>
      </c>
    </row>
    <row r="3" customFormat="false" ht="15" hidden="false" customHeight="true" outlineLevel="0" collapsed="false">
      <c r="A3" s="218" t="s">
        <v>2421</v>
      </c>
      <c r="B3" s="209" t="s">
        <v>2422</v>
      </c>
      <c r="C3" s="209" t="s">
        <v>2423</v>
      </c>
      <c r="D3" s="217" t="s">
        <v>2424</v>
      </c>
      <c r="E3" s="217" t="s">
        <v>2288</v>
      </c>
      <c r="F3" s="217" t="s">
        <v>2289</v>
      </c>
      <c r="G3" s="217" t="s">
        <v>2425</v>
      </c>
      <c r="H3" s="217" t="s">
        <v>2291</v>
      </c>
      <c r="I3" s="217" t="s">
        <v>2326</v>
      </c>
      <c r="J3" s="217" t="s">
        <v>2293</v>
      </c>
      <c r="K3" s="217" t="s">
        <v>2294</v>
      </c>
      <c r="L3" s="218" t="n">
        <v>1</v>
      </c>
      <c r="M3" s="218" t="s">
        <v>2295</v>
      </c>
    </row>
    <row r="4" customFormat="false" ht="27.75" hidden="false" customHeight="true" outlineLevel="0" collapsed="false">
      <c r="A4" s="215" t="s">
        <v>2426</v>
      </c>
      <c r="B4" s="212" t="s">
        <v>2427</v>
      </c>
      <c r="C4" s="212" t="s">
        <v>2428</v>
      </c>
      <c r="D4" s="217" t="s">
        <v>2429</v>
      </c>
      <c r="E4" s="217" t="s">
        <v>2288</v>
      </c>
      <c r="F4" s="217" t="s">
        <v>2430</v>
      </c>
      <c r="G4" s="216" t="s">
        <v>2431</v>
      </c>
      <c r="H4" s="217" t="s">
        <v>2291</v>
      </c>
      <c r="I4" s="217" t="s">
        <v>2326</v>
      </c>
      <c r="J4" s="217" t="s">
        <v>2293</v>
      </c>
      <c r="K4" s="217" t="s">
        <v>2294</v>
      </c>
      <c r="L4" s="215" t="n">
        <v>6</v>
      </c>
      <c r="M4" s="216" t="s">
        <v>2311</v>
      </c>
    </row>
    <row r="5" customFormat="false" ht="15" hidden="false" customHeight="true" outlineLevel="0" collapsed="false">
      <c r="A5" s="218" t="s">
        <v>2432</v>
      </c>
      <c r="B5" s="209" t="s">
        <v>2433</v>
      </c>
      <c r="C5" s="209" t="s">
        <v>2434</v>
      </c>
      <c r="D5" s="217" t="s">
        <v>2435</v>
      </c>
      <c r="E5" s="217" t="s">
        <v>2288</v>
      </c>
      <c r="F5" s="217" t="s">
        <v>2289</v>
      </c>
      <c r="G5" s="217" t="s">
        <v>2290</v>
      </c>
      <c r="H5" s="217" t="s">
        <v>2291</v>
      </c>
      <c r="I5" s="217" t="s">
        <v>2326</v>
      </c>
      <c r="J5" s="217" t="s">
        <v>2293</v>
      </c>
      <c r="K5" s="217" t="s">
        <v>2294</v>
      </c>
      <c r="L5" s="218" t="n">
        <v>1</v>
      </c>
      <c r="M5" s="218" t="s">
        <v>2295</v>
      </c>
    </row>
    <row r="6" customFormat="false" ht="27.75" hidden="false" customHeight="true" outlineLevel="0" collapsed="false">
      <c r="A6" s="215" t="s">
        <v>2436</v>
      </c>
      <c r="B6" s="212" t="s">
        <v>2437</v>
      </c>
      <c r="C6" s="212" t="s">
        <v>2438</v>
      </c>
      <c r="D6" s="216" t="s">
        <v>2439</v>
      </c>
      <c r="E6" s="217" t="s">
        <v>2288</v>
      </c>
      <c r="F6" s="217" t="s">
        <v>2440</v>
      </c>
      <c r="G6" s="217" t="s">
        <v>2441</v>
      </c>
      <c r="H6" s="217" t="s">
        <v>2291</v>
      </c>
      <c r="I6" s="217" t="s">
        <v>2442</v>
      </c>
      <c r="J6" s="217" t="s">
        <v>2293</v>
      </c>
      <c r="K6" s="217" t="s">
        <v>2294</v>
      </c>
      <c r="L6" s="215" t="n">
        <v>4</v>
      </c>
      <c r="M6" s="216" t="s">
        <v>2311</v>
      </c>
    </row>
    <row r="7" customFormat="false" ht="15" hidden="false" customHeight="true" outlineLevel="0" collapsed="false">
      <c r="A7" s="218" t="s">
        <v>2443</v>
      </c>
      <c r="B7" s="209" t="s">
        <v>2444</v>
      </c>
      <c r="C7" s="209" t="s">
        <v>2445</v>
      </c>
      <c r="D7" s="217" t="s">
        <v>2446</v>
      </c>
      <c r="E7" s="216" t="s">
        <v>2447</v>
      </c>
      <c r="F7" s="217" t="s">
        <v>2448</v>
      </c>
      <c r="G7" s="217" t="s">
        <v>2449</v>
      </c>
      <c r="H7" s="217" t="s">
        <v>2291</v>
      </c>
      <c r="I7" s="217" t="s">
        <v>2326</v>
      </c>
      <c r="J7" s="217" t="s">
        <v>2293</v>
      </c>
      <c r="K7" s="217" t="s">
        <v>2294</v>
      </c>
      <c r="L7" s="218" t="n">
        <v>3</v>
      </c>
      <c r="M7" s="216" t="s">
        <v>2311</v>
      </c>
    </row>
    <row r="8" customFormat="false" ht="15" hidden="false" customHeight="true" outlineLevel="0" collapsed="false">
      <c r="A8" s="215" t="s">
        <v>2450</v>
      </c>
      <c r="B8" s="212" t="s">
        <v>2451</v>
      </c>
      <c r="C8" s="212" t="s">
        <v>2452</v>
      </c>
      <c r="D8" s="217" t="s">
        <v>2408</v>
      </c>
      <c r="E8" s="217" t="s">
        <v>2288</v>
      </c>
      <c r="F8" s="217" t="s">
        <v>2289</v>
      </c>
      <c r="G8" s="217" t="s">
        <v>2290</v>
      </c>
      <c r="H8" s="217" t="s">
        <v>2291</v>
      </c>
      <c r="I8" s="217" t="s">
        <v>2326</v>
      </c>
      <c r="J8" s="217" t="s">
        <v>2293</v>
      </c>
      <c r="K8" s="217" t="s">
        <v>2294</v>
      </c>
      <c r="L8" s="215" t="n">
        <v>1</v>
      </c>
      <c r="M8" s="215" t="s">
        <v>2295</v>
      </c>
    </row>
    <row r="9" customFormat="false" ht="27.75" hidden="false" customHeight="true" outlineLevel="0" collapsed="false">
      <c r="A9" s="218" t="s">
        <v>2453</v>
      </c>
      <c r="B9" s="209" t="s">
        <v>2454</v>
      </c>
      <c r="C9" s="209" t="s">
        <v>2455</v>
      </c>
      <c r="D9" s="217" t="s">
        <v>2456</v>
      </c>
      <c r="E9" s="217" t="s">
        <v>2288</v>
      </c>
      <c r="F9" s="217" t="s">
        <v>2440</v>
      </c>
      <c r="G9" s="216" t="s">
        <v>2457</v>
      </c>
      <c r="H9" s="217" t="s">
        <v>2291</v>
      </c>
      <c r="I9" s="217" t="s">
        <v>2326</v>
      </c>
      <c r="J9" s="217" t="s">
        <v>2458</v>
      </c>
      <c r="K9" s="217" t="s">
        <v>2294</v>
      </c>
      <c r="L9" s="218" t="n">
        <v>4</v>
      </c>
      <c r="M9" s="216" t="s">
        <v>2311</v>
      </c>
    </row>
    <row r="10" customFormat="false" ht="15" hidden="false" customHeight="true" outlineLevel="0" collapsed="false">
      <c r="A10" s="215" t="s">
        <v>2459</v>
      </c>
      <c r="B10" s="212" t="s">
        <v>2460</v>
      </c>
      <c r="C10" s="212" t="s">
        <v>2461</v>
      </c>
      <c r="D10" s="216" t="s">
        <v>2462</v>
      </c>
      <c r="E10" s="216" t="s">
        <v>2463</v>
      </c>
      <c r="F10" s="217" t="s">
        <v>2289</v>
      </c>
      <c r="G10" s="217" t="s">
        <v>2464</v>
      </c>
      <c r="H10" s="217" t="s">
        <v>2465</v>
      </c>
      <c r="I10" s="217" t="s">
        <v>2466</v>
      </c>
      <c r="J10" s="217" t="s">
        <v>2315</v>
      </c>
      <c r="K10" s="217" t="s">
        <v>2294</v>
      </c>
      <c r="L10" s="215" t="n">
        <v>5</v>
      </c>
      <c r="M10" s="216" t="s">
        <v>2467</v>
      </c>
    </row>
    <row r="11" customFormat="false" ht="27.75" hidden="false" customHeight="true" outlineLevel="0" collapsed="false">
      <c r="A11" s="215" t="s">
        <v>2468</v>
      </c>
      <c r="B11" s="212" t="s">
        <v>2469</v>
      </c>
      <c r="C11" s="212" t="s">
        <v>2470</v>
      </c>
      <c r="D11" s="216" t="s">
        <v>2471</v>
      </c>
      <c r="E11" s="216" t="s">
        <v>2472</v>
      </c>
      <c r="F11" s="217" t="s">
        <v>2472</v>
      </c>
      <c r="G11" s="217" t="s">
        <v>2472</v>
      </c>
      <c r="H11" s="217" t="s">
        <v>2472</v>
      </c>
      <c r="I11" s="217" t="s">
        <v>2472</v>
      </c>
      <c r="J11" s="217" t="s">
        <v>2472</v>
      </c>
      <c r="K11" s="217" t="s">
        <v>2472</v>
      </c>
      <c r="L11" s="215" t="n">
        <v>2</v>
      </c>
      <c r="M11" s="216" t="s">
        <v>2467</v>
      </c>
    </row>
    <row r="12" customFormat="false" ht="15" hidden="false" customHeight="true" outlineLevel="0" collapsed="false">
      <c r="A12" s="215" t="s">
        <v>2473</v>
      </c>
      <c r="B12" s="212" t="s">
        <v>2474</v>
      </c>
      <c r="C12" s="212" t="s">
        <v>2475</v>
      </c>
      <c r="D12" s="216" t="s">
        <v>2476</v>
      </c>
      <c r="E12" s="216" t="s">
        <v>2476</v>
      </c>
      <c r="F12" s="217" t="s">
        <v>2476</v>
      </c>
      <c r="G12" s="217" t="s">
        <v>2476</v>
      </c>
      <c r="H12" s="217" t="s">
        <v>2476</v>
      </c>
      <c r="I12" s="217" t="s">
        <v>2476</v>
      </c>
      <c r="J12" s="217" t="s">
        <v>2476</v>
      </c>
      <c r="K12" s="217" t="s">
        <v>2476</v>
      </c>
      <c r="L12" s="215" t="n">
        <v>1</v>
      </c>
      <c r="M12" s="216" t="s">
        <v>2467</v>
      </c>
    </row>
    <row r="13" customFormat="false" ht="15" hidden="false" customHeight="true" outlineLevel="0" collapsed="false">
      <c r="A13" s="219" t="s">
        <v>2477</v>
      </c>
    </row>
    <row r="14" customFormat="false" ht="15" hidden="false" customHeight="true" outlineLevel="0" collapsed="false">
      <c r="A14" s="219" t="s">
        <v>2478</v>
      </c>
    </row>
    <row r="15" customFormat="false" ht="15" hidden="false" customHeight="true" outlineLevel="0" collapsed="false">
      <c r="A15" s="219" t="s">
        <v>2479</v>
      </c>
    </row>
    <row r="16" customFormat="false" ht="15" hidden="false" customHeight="true" outlineLevel="0" collapsed="false">
      <c r="A16" s="219" t="s">
        <v>2480</v>
      </c>
    </row>
    <row r="17" customFormat="false" ht="15" hidden="false" customHeight="true" outlineLevel="0" collapsed="false">
      <c r="A17" s="1" t="s">
        <v>2481</v>
      </c>
    </row>
  </sheetData>
  <autoFilter ref="A1:M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13" min="4" style="1" width="10"/>
  </cols>
  <sheetData>
    <row r="1" customFormat="false" ht="15" hidden="false" customHeight="true" outlineLevel="0" collapsed="false">
      <c r="A1" s="208" t="s">
        <v>2272</v>
      </c>
      <c r="B1" s="208" t="s">
        <v>2273</v>
      </c>
      <c r="C1" s="208" t="s">
        <v>2274</v>
      </c>
      <c r="D1" s="208" t="s">
        <v>2275</v>
      </c>
      <c r="E1" s="208" t="s">
        <v>2276</v>
      </c>
      <c r="F1" s="208" t="s">
        <v>2277</v>
      </c>
      <c r="G1" s="208" t="s">
        <v>2278</v>
      </c>
      <c r="H1" s="208" t="s">
        <v>2279</v>
      </c>
      <c r="I1" s="208" t="s">
        <v>2280</v>
      </c>
      <c r="J1" s="208" t="s">
        <v>2281</v>
      </c>
      <c r="K1" s="208" t="s">
        <v>2282</v>
      </c>
      <c r="L1" s="208" t="s">
        <v>2283</v>
      </c>
      <c r="M1" s="208" t="s">
        <v>154</v>
      </c>
    </row>
    <row r="2" customFormat="false" ht="27.75" hidden="false" customHeight="true" outlineLevel="0" collapsed="false">
      <c r="A2" s="1" t="s">
        <v>2482</v>
      </c>
      <c r="B2" s="209" t="s">
        <v>2483</v>
      </c>
      <c r="C2" s="209" t="s">
        <v>2484</v>
      </c>
      <c r="D2" s="210" t="s">
        <v>2485</v>
      </c>
      <c r="E2" s="210" t="s">
        <v>2288</v>
      </c>
      <c r="F2" s="210" t="s">
        <v>2289</v>
      </c>
      <c r="G2" s="213" t="s">
        <v>2486</v>
      </c>
      <c r="H2" s="210" t="s">
        <v>2291</v>
      </c>
      <c r="I2" s="210" t="s">
        <v>2487</v>
      </c>
      <c r="J2" s="210" t="s">
        <v>2488</v>
      </c>
      <c r="K2" s="210" t="s">
        <v>2489</v>
      </c>
      <c r="L2" s="1" t="n">
        <v>7</v>
      </c>
      <c r="M2" s="213" t="s">
        <v>2311</v>
      </c>
    </row>
    <row r="3" customFormat="false" ht="27.75" hidden="false" customHeight="true" outlineLevel="0" collapsed="false">
      <c r="A3" s="211" t="s">
        <v>2490</v>
      </c>
      <c r="B3" s="212" t="s">
        <v>2491</v>
      </c>
      <c r="C3" s="212" t="s">
        <v>2492</v>
      </c>
      <c r="D3" s="210" t="s">
        <v>2493</v>
      </c>
      <c r="E3" s="210" t="s">
        <v>2494</v>
      </c>
      <c r="F3" s="210" t="s">
        <v>2289</v>
      </c>
      <c r="G3" s="210" t="s">
        <v>2495</v>
      </c>
      <c r="H3" s="210" t="s">
        <v>2291</v>
      </c>
      <c r="I3" s="210" t="s">
        <v>2496</v>
      </c>
      <c r="J3" s="210" t="s">
        <v>2497</v>
      </c>
      <c r="K3" s="210" t="s">
        <v>28</v>
      </c>
      <c r="L3" s="211" t="n">
        <v>3</v>
      </c>
      <c r="M3" s="211" t="s">
        <v>2498</v>
      </c>
    </row>
    <row r="4" customFormat="false" ht="27.75" hidden="false" customHeight="true" outlineLevel="0" collapsed="false">
      <c r="A4" s="1" t="s">
        <v>2499</v>
      </c>
      <c r="B4" s="209" t="s">
        <v>2500</v>
      </c>
      <c r="C4" s="209" t="s">
        <v>2501</v>
      </c>
      <c r="D4" s="213" t="s">
        <v>2419</v>
      </c>
      <c r="E4" s="210" t="s">
        <v>2288</v>
      </c>
      <c r="F4" s="210" t="s">
        <v>2289</v>
      </c>
      <c r="G4" s="210" t="s">
        <v>2290</v>
      </c>
      <c r="H4" s="210" t="s">
        <v>2291</v>
      </c>
      <c r="I4" s="210" t="s">
        <v>2502</v>
      </c>
      <c r="J4" s="210" t="s">
        <v>2503</v>
      </c>
      <c r="K4" s="210" t="s">
        <v>28</v>
      </c>
      <c r="L4" s="1" t="n">
        <v>4</v>
      </c>
      <c r="M4" s="213" t="s">
        <v>2311</v>
      </c>
    </row>
    <row r="5" customFormat="false" ht="27.75" hidden="false" customHeight="true" outlineLevel="0" collapsed="false">
      <c r="A5" s="211" t="s">
        <v>2504</v>
      </c>
      <c r="B5" s="212" t="s">
        <v>2505</v>
      </c>
      <c r="C5" s="212" t="s">
        <v>2506</v>
      </c>
      <c r="D5" s="210" t="s">
        <v>2507</v>
      </c>
      <c r="E5" s="210" t="s">
        <v>2288</v>
      </c>
      <c r="F5" s="210" t="s">
        <v>2289</v>
      </c>
      <c r="G5" s="210" t="s">
        <v>2508</v>
      </c>
      <c r="H5" s="210" t="s">
        <v>2291</v>
      </c>
      <c r="I5" s="210" t="s">
        <v>2502</v>
      </c>
      <c r="J5" s="210" t="s">
        <v>2503</v>
      </c>
      <c r="K5" s="210" t="s">
        <v>28</v>
      </c>
      <c r="L5" s="211" t="n">
        <v>3</v>
      </c>
      <c r="M5" s="213" t="s">
        <v>2509</v>
      </c>
    </row>
    <row r="6" customFormat="false" ht="27.75" hidden="false" customHeight="true" outlineLevel="0" collapsed="false">
      <c r="A6" s="1" t="s">
        <v>2320</v>
      </c>
      <c r="B6" s="209" t="s">
        <v>2510</v>
      </c>
      <c r="C6" s="209" t="s">
        <v>2511</v>
      </c>
      <c r="D6" s="210" t="s">
        <v>2507</v>
      </c>
      <c r="E6" s="210" t="s">
        <v>2512</v>
      </c>
      <c r="F6" s="210" t="s">
        <v>2289</v>
      </c>
      <c r="G6" s="213" t="s">
        <v>2513</v>
      </c>
      <c r="H6" s="210" t="s">
        <v>2291</v>
      </c>
      <c r="I6" s="210" t="s">
        <v>2502</v>
      </c>
      <c r="J6" s="210" t="s">
        <v>2514</v>
      </c>
      <c r="K6" s="210" t="s">
        <v>28</v>
      </c>
      <c r="L6" s="1" t="n">
        <v>0</v>
      </c>
      <c r="M6" s="213" t="s">
        <v>2515</v>
      </c>
    </row>
    <row r="7" customFormat="false" ht="27.75" hidden="false" customHeight="true" outlineLevel="0" collapsed="false">
      <c r="A7" s="211" t="s">
        <v>2516</v>
      </c>
      <c r="B7" s="212" t="s">
        <v>2517</v>
      </c>
      <c r="C7" s="212" t="s">
        <v>2518</v>
      </c>
      <c r="D7" s="210" t="s">
        <v>2519</v>
      </c>
      <c r="E7" s="210" t="s">
        <v>2288</v>
      </c>
      <c r="F7" s="210" t="s">
        <v>2520</v>
      </c>
      <c r="G7" s="210" t="s">
        <v>2290</v>
      </c>
      <c r="H7" s="210" t="s">
        <v>2291</v>
      </c>
      <c r="I7" s="210" t="s">
        <v>2521</v>
      </c>
      <c r="J7" s="210" t="s">
        <v>2503</v>
      </c>
      <c r="K7" s="210" t="s">
        <v>28</v>
      </c>
      <c r="L7" s="211" t="n">
        <v>3</v>
      </c>
      <c r="M7" s="211" t="s">
        <v>2498</v>
      </c>
    </row>
    <row r="8" customFormat="false" ht="27.75" hidden="false" customHeight="true" outlineLevel="0" collapsed="false">
      <c r="A8" s="1" t="s">
        <v>2522</v>
      </c>
      <c r="B8" s="209" t="s">
        <v>2523</v>
      </c>
      <c r="C8" s="209" t="s">
        <v>2524</v>
      </c>
      <c r="D8" s="213" t="s">
        <v>2525</v>
      </c>
      <c r="E8" s="210" t="s">
        <v>2288</v>
      </c>
      <c r="F8" s="210" t="s">
        <v>2289</v>
      </c>
      <c r="G8" s="210" t="s">
        <v>2290</v>
      </c>
      <c r="H8" s="210" t="s">
        <v>2291</v>
      </c>
      <c r="I8" s="210" t="s">
        <v>2526</v>
      </c>
      <c r="J8" s="210" t="s">
        <v>2503</v>
      </c>
      <c r="K8" s="210" t="s">
        <v>28</v>
      </c>
      <c r="L8" s="1" t="n">
        <v>5</v>
      </c>
      <c r="M8" s="213" t="s">
        <v>2311</v>
      </c>
    </row>
    <row r="9" customFormat="false" ht="27.75" hidden="false" customHeight="true" outlineLevel="0" collapsed="false">
      <c r="A9" s="211" t="s">
        <v>2527</v>
      </c>
      <c r="B9" s="212" t="s">
        <v>2528</v>
      </c>
      <c r="C9" s="212" t="s">
        <v>2529</v>
      </c>
      <c r="D9" s="213" t="s">
        <v>2530</v>
      </c>
      <c r="E9" s="210" t="s">
        <v>2288</v>
      </c>
      <c r="F9" s="210" t="s">
        <v>2289</v>
      </c>
      <c r="G9" s="210" t="s">
        <v>2531</v>
      </c>
      <c r="H9" s="210" t="s">
        <v>2291</v>
      </c>
      <c r="I9" s="210" t="s">
        <v>2532</v>
      </c>
      <c r="J9" s="210" t="s">
        <v>2533</v>
      </c>
      <c r="K9" s="210" t="s">
        <v>28</v>
      </c>
      <c r="L9" s="211" t="n">
        <v>4</v>
      </c>
      <c r="M9" s="213" t="s">
        <v>2311</v>
      </c>
    </row>
    <row r="10" customFormat="false" ht="27.75" hidden="false" customHeight="true" outlineLevel="0" collapsed="false">
      <c r="A10" s="1" t="s">
        <v>2534</v>
      </c>
      <c r="B10" s="209" t="s">
        <v>2535</v>
      </c>
      <c r="C10" s="209" t="s">
        <v>2536</v>
      </c>
      <c r="D10" s="210" t="s">
        <v>2507</v>
      </c>
      <c r="E10" s="210" t="s">
        <v>2288</v>
      </c>
      <c r="F10" s="210" t="s">
        <v>2537</v>
      </c>
      <c r="G10" s="213" t="s">
        <v>2538</v>
      </c>
      <c r="H10" s="210" t="s">
        <v>2291</v>
      </c>
      <c r="I10" s="210" t="s">
        <v>2502</v>
      </c>
      <c r="J10" s="210" t="s">
        <v>2539</v>
      </c>
      <c r="K10" s="210" t="s">
        <v>28</v>
      </c>
      <c r="L10" s="1" t="n">
        <v>5</v>
      </c>
      <c r="M10" s="213" t="s">
        <v>2311</v>
      </c>
    </row>
    <row r="11" customFormat="false" ht="27.75" hidden="false" customHeight="true" outlineLevel="0" collapsed="false">
      <c r="A11" s="211" t="s">
        <v>2540</v>
      </c>
      <c r="B11" s="212" t="s">
        <v>2541</v>
      </c>
      <c r="C11" s="212" t="s">
        <v>2542</v>
      </c>
      <c r="D11" s="210" t="s">
        <v>2543</v>
      </c>
      <c r="E11" s="210" t="s">
        <v>2288</v>
      </c>
      <c r="F11" s="210" t="s">
        <v>2289</v>
      </c>
      <c r="G11" s="210" t="s">
        <v>2290</v>
      </c>
      <c r="H11" s="210" t="s">
        <v>2291</v>
      </c>
      <c r="I11" s="210" t="s">
        <v>2544</v>
      </c>
      <c r="J11" s="210" t="s">
        <v>2545</v>
      </c>
      <c r="K11" s="210" t="s">
        <v>28</v>
      </c>
      <c r="L11" s="211" t="n">
        <v>3</v>
      </c>
      <c r="M11" s="211" t="s">
        <v>2546</v>
      </c>
    </row>
    <row r="12" customFormat="false" ht="27.75" hidden="false" customHeight="true" outlineLevel="0" collapsed="false">
      <c r="A12" s="1" t="s">
        <v>2547</v>
      </c>
      <c r="B12" s="209" t="s">
        <v>2548</v>
      </c>
      <c r="C12" s="209" t="s">
        <v>2549</v>
      </c>
      <c r="D12" s="210" t="s">
        <v>2550</v>
      </c>
      <c r="E12" s="210" t="s">
        <v>2288</v>
      </c>
      <c r="F12" s="210" t="s">
        <v>2289</v>
      </c>
      <c r="G12" s="210" t="s">
        <v>2290</v>
      </c>
      <c r="H12" s="210" t="s">
        <v>2291</v>
      </c>
      <c r="I12" s="210" t="s">
        <v>2551</v>
      </c>
      <c r="J12" s="210" t="s">
        <v>2503</v>
      </c>
      <c r="K12" s="210" t="s">
        <v>28</v>
      </c>
      <c r="L12" s="1" t="n">
        <v>2</v>
      </c>
      <c r="M12" s="1" t="s">
        <v>2552</v>
      </c>
    </row>
    <row r="13" customFormat="false" ht="27.75" hidden="false" customHeight="true" outlineLevel="0" collapsed="false">
      <c r="A13" s="211" t="s">
        <v>2553</v>
      </c>
      <c r="B13" s="212" t="s">
        <v>2554</v>
      </c>
      <c r="C13" s="212" t="s">
        <v>2555</v>
      </c>
      <c r="D13" s="210" t="s">
        <v>2556</v>
      </c>
      <c r="E13" s="210" t="s">
        <v>2288</v>
      </c>
      <c r="F13" s="210" t="s">
        <v>2289</v>
      </c>
      <c r="G13" s="210" t="s">
        <v>2290</v>
      </c>
      <c r="H13" s="210" t="s">
        <v>2291</v>
      </c>
      <c r="I13" s="213" t="s">
        <v>2557</v>
      </c>
      <c r="J13" s="210" t="s">
        <v>2503</v>
      </c>
      <c r="K13" s="210" t="s">
        <v>28</v>
      </c>
      <c r="L13" s="211" t="n">
        <v>11</v>
      </c>
      <c r="M13" s="213" t="s">
        <v>2311</v>
      </c>
    </row>
    <row r="14" customFormat="false" ht="27.75" hidden="false" customHeight="true" outlineLevel="0" collapsed="false">
      <c r="A14" s="1" t="s">
        <v>2558</v>
      </c>
      <c r="B14" s="209" t="s">
        <v>2559</v>
      </c>
      <c r="C14" s="209" t="s">
        <v>2560</v>
      </c>
      <c r="D14" s="213" t="s">
        <v>2525</v>
      </c>
      <c r="E14" s="210" t="s">
        <v>2561</v>
      </c>
      <c r="F14" s="210" t="s">
        <v>2289</v>
      </c>
      <c r="G14" s="210" t="s">
        <v>2290</v>
      </c>
      <c r="H14" s="210" t="s">
        <v>2291</v>
      </c>
      <c r="I14" s="210" t="s">
        <v>2521</v>
      </c>
      <c r="J14" s="210" t="s">
        <v>2503</v>
      </c>
      <c r="K14" s="210" t="s">
        <v>28</v>
      </c>
      <c r="L14" s="1" t="n">
        <v>3</v>
      </c>
      <c r="M14" s="213" t="s">
        <v>2311</v>
      </c>
    </row>
    <row r="15" customFormat="false" ht="27.75" hidden="false" customHeight="true" outlineLevel="0" collapsed="false">
      <c r="A15" s="211" t="s">
        <v>2562</v>
      </c>
      <c r="B15" s="212" t="s">
        <v>2563</v>
      </c>
      <c r="C15" s="212" t="s">
        <v>2564</v>
      </c>
      <c r="D15" s="213" t="s">
        <v>2419</v>
      </c>
      <c r="E15" s="210" t="s">
        <v>2288</v>
      </c>
      <c r="F15" s="210" t="s">
        <v>2289</v>
      </c>
      <c r="G15" s="210" t="s">
        <v>2290</v>
      </c>
      <c r="H15" s="210" t="s">
        <v>2291</v>
      </c>
      <c r="I15" s="210" t="s">
        <v>2521</v>
      </c>
      <c r="J15" s="210" t="s">
        <v>2503</v>
      </c>
      <c r="K15" s="210" t="s">
        <v>28</v>
      </c>
      <c r="L15" s="211" t="n">
        <v>3</v>
      </c>
      <c r="M15" s="213" t="s">
        <v>2311</v>
      </c>
    </row>
    <row r="16" customFormat="false" ht="27.75" hidden="false" customHeight="true" outlineLevel="0" collapsed="false">
      <c r="A16" s="1" t="s">
        <v>2565</v>
      </c>
      <c r="B16" s="209" t="s">
        <v>2566</v>
      </c>
      <c r="C16" s="209" t="s">
        <v>2567</v>
      </c>
      <c r="D16" s="213" t="s">
        <v>2568</v>
      </c>
      <c r="E16" s="213" t="s">
        <v>2569</v>
      </c>
      <c r="F16" s="210" t="s">
        <v>2570</v>
      </c>
      <c r="G16" s="210" t="s">
        <v>2290</v>
      </c>
      <c r="H16" s="210" t="s">
        <v>2291</v>
      </c>
      <c r="I16" s="210" t="s">
        <v>2571</v>
      </c>
      <c r="J16" s="210" t="s">
        <v>2503</v>
      </c>
      <c r="K16" s="210" t="s">
        <v>28</v>
      </c>
      <c r="L16" s="1" t="n">
        <v>24</v>
      </c>
      <c r="M16" s="213" t="s">
        <v>2467</v>
      </c>
    </row>
    <row r="17" customFormat="false" ht="27.75" hidden="false" customHeight="true" outlineLevel="0" collapsed="false">
      <c r="A17" s="211" t="s">
        <v>2572</v>
      </c>
      <c r="B17" s="212" t="s">
        <v>2573</v>
      </c>
      <c r="C17" s="212" t="s">
        <v>2574</v>
      </c>
      <c r="D17" s="213" t="s">
        <v>2525</v>
      </c>
      <c r="E17" s="213" t="s">
        <v>2575</v>
      </c>
      <c r="F17" s="210" t="s">
        <v>2289</v>
      </c>
      <c r="G17" s="210" t="s">
        <v>2290</v>
      </c>
      <c r="H17" s="210" t="s">
        <v>2291</v>
      </c>
      <c r="I17" s="210" t="s">
        <v>2521</v>
      </c>
      <c r="J17" s="210" t="s">
        <v>2503</v>
      </c>
      <c r="K17" s="210" t="s">
        <v>28</v>
      </c>
      <c r="L17" s="211" t="n">
        <v>9</v>
      </c>
      <c r="M17" s="213" t="s">
        <v>2467</v>
      </c>
    </row>
    <row r="18" customFormat="false" ht="27.75" hidden="false" customHeight="true" outlineLevel="0" collapsed="false">
      <c r="A18" s="1" t="s">
        <v>2576</v>
      </c>
      <c r="B18" s="209" t="s">
        <v>2577</v>
      </c>
      <c r="C18" s="209" t="s">
        <v>2578</v>
      </c>
      <c r="D18" s="210" t="s">
        <v>2579</v>
      </c>
      <c r="E18" s="210" t="s">
        <v>2288</v>
      </c>
      <c r="F18" s="210" t="s">
        <v>2289</v>
      </c>
      <c r="G18" s="210" t="s">
        <v>2290</v>
      </c>
      <c r="H18" s="210" t="s">
        <v>2291</v>
      </c>
      <c r="I18" s="213" t="s">
        <v>2419</v>
      </c>
      <c r="J18" s="210" t="s">
        <v>2503</v>
      </c>
      <c r="K18" s="210" t="s">
        <v>28</v>
      </c>
      <c r="L18" s="1" t="n">
        <v>2</v>
      </c>
      <c r="M18" s="213" t="s">
        <v>2311</v>
      </c>
    </row>
    <row r="19" customFormat="false" ht="27.75" hidden="false" customHeight="true" outlineLevel="0" collapsed="false">
      <c r="A19" s="211" t="s">
        <v>2580</v>
      </c>
      <c r="B19" s="212" t="s">
        <v>2581</v>
      </c>
      <c r="C19" s="212" t="s">
        <v>2582</v>
      </c>
      <c r="D19" s="210" t="s">
        <v>2583</v>
      </c>
      <c r="E19" s="210" t="s">
        <v>2288</v>
      </c>
      <c r="F19" s="213" t="s">
        <v>2486</v>
      </c>
      <c r="G19" s="210" t="s">
        <v>2290</v>
      </c>
      <c r="H19" s="210" t="s">
        <v>2291</v>
      </c>
      <c r="I19" s="210" t="s">
        <v>2521</v>
      </c>
      <c r="J19" s="210" t="s">
        <v>2503</v>
      </c>
      <c r="K19" s="210" t="s">
        <v>28</v>
      </c>
      <c r="L19" s="211" t="n">
        <v>6</v>
      </c>
      <c r="M19" s="213" t="s">
        <v>2311</v>
      </c>
    </row>
    <row r="20" customFormat="false" ht="41.25" hidden="false" customHeight="true" outlineLevel="0" collapsed="false">
      <c r="A20" s="211" t="s">
        <v>2584</v>
      </c>
      <c r="B20" s="212" t="s">
        <v>2585</v>
      </c>
      <c r="C20" s="212" t="s">
        <v>2586</v>
      </c>
      <c r="D20" s="213" t="s">
        <v>2587</v>
      </c>
      <c r="E20" s="210" t="s">
        <v>2288</v>
      </c>
      <c r="F20" s="210" t="s">
        <v>2588</v>
      </c>
      <c r="G20" s="210" t="s">
        <v>2290</v>
      </c>
      <c r="H20" s="210" t="s">
        <v>2291</v>
      </c>
      <c r="I20" s="213" t="s">
        <v>2589</v>
      </c>
      <c r="J20" s="210" t="s">
        <v>2503</v>
      </c>
      <c r="K20" s="210" t="s">
        <v>28</v>
      </c>
      <c r="L20" s="211" t="n">
        <v>7</v>
      </c>
      <c r="M20" s="213" t="s">
        <v>2467</v>
      </c>
    </row>
    <row r="21" customFormat="false" ht="27.75" hidden="false" customHeight="true" outlineLevel="0" collapsed="false">
      <c r="A21" s="211" t="s">
        <v>2590</v>
      </c>
      <c r="B21" s="212" t="s">
        <v>2591</v>
      </c>
      <c r="C21" s="212" t="s">
        <v>2586</v>
      </c>
      <c r="D21" s="213" t="s">
        <v>2587</v>
      </c>
      <c r="E21" s="210" t="s">
        <v>2288</v>
      </c>
      <c r="F21" s="210" t="s">
        <v>2588</v>
      </c>
      <c r="G21" s="210" t="s">
        <v>2290</v>
      </c>
      <c r="H21" s="210" t="s">
        <v>2291</v>
      </c>
      <c r="I21" s="213" t="s">
        <v>2592</v>
      </c>
      <c r="J21" s="210" t="s">
        <v>2503</v>
      </c>
      <c r="K21" s="210" t="s">
        <v>28</v>
      </c>
      <c r="L21" s="211" t="n">
        <v>6</v>
      </c>
      <c r="M21" s="213" t="s">
        <v>2467</v>
      </c>
    </row>
    <row r="22" customFormat="false" ht="27.75" hidden="false" customHeight="true" outlineLevel="0" collapsed="false">
      <c r="A22" s="211" t="s">
        <v>2593</v>
      </c>
      <c r="B22" s="212" t="s">
        <v>2594</v>
      </c>
      <c r="C22" s="212" t="s">
        <v>2475</v>
      </c>
      <c r="D22" s="213" t="s">
        <v>2476</v>
      </c>
      <c r="E22" s="210" t="s">
        <v>2476</v>
      </c>
      <c r="F22" s="210" t="s">
        <v>2476</v>
      </c>
      <c r="G22" s="210" t="s">
        <v>2476</v>
      </c>
      <c r="H22" s="210" t="s">
        <v>2476</v>
      </c>
      <c r="I22" s="213" t="s">
        <v>2476</v>
      </c>
      <c r="J22" s="210" t="s">
        <v>2476</v>
      </c>
      <c r="K22" s="210" t="s">
        <v>2476</v>
      </c>
      <c r="L22" s="211" t="n">
        <v>1</v>
      </c>
      <c r="M22" s="213" t="s">
        <v>2467</v>
      </c>
    </row>
    <row r="23" customFormat="false" ht="27.75" hidden="false" customHeight="true" outlineLevel="0" collapsed="false">
      <c r="A23" s="211" t="s">
        <v>2595</v>
      </c>
      <c r="B23" s="212" t="s">
        <v>2596</v>
      </c>
      <c r="C23" s="212" t="s">
        <v>2475</v>
      </c>
      <c r="D23" s="213" t="s">
        <v>2476</v>
      </c>
      <c r="E23" s="210" t="s">
        <v>2476</v>
      </c>
      <c r="F23" s="210" t="s">
        <v>2476</v>
      </c>
      <c r="G23" s="210" t="s">
        <v>2476</v>
      </c>
      <c r="H23" s="210" t="s">
        <v>2476</v>
      </c>
      <c r="I23" s="213" t="s">
        <v>2476</v>
      </c>
      <c r="J23" s="210" t="s">
        <v>2476</v>
      </c>
      <c r="K23" s="210" t="s">
        <v>2476</v>
      </c>
      <c r="L23" s="211" t="n">
        <v>1</v>
      </c>
      <c r="M23" s="213" t="s">
        <v>2467</v>
      </c>
    </row>
    <row r="24" customFormat="false" ht="15" hidden="false" customHeight="true" outlineLevel="0" collapsed="false">
      <c r="A24" s="219" t="s">
        <v>2597</v>
      </c>
    </row>
    <row r="25" customFormat="false" ht="15" hidden="false" customHeight="true" outlineLevel="0" collapsed="false">
      <c r="A25" s="219" t="s">
        <v>2598</v>
      </c>
    </row>
    <row r="26" customFormat="false" ht="15" hidden="false" customHeight="true" outlineLevel="0" collapsed="false">
      <c r="A26" s="219" t="s">
        <v>2599</v>
      </c>
    </row>
    <row r="27" customFormat="false" ht="15" hidden="false" customHeight="true" outlineLevel="0" collapsed="false">
      <c r="A27" s="219" t="s">
        <v>2600</v>
      </c>
    </row>
    <row r="28" customFormat="false" ht="15" hidden="false" customHeight="true" outlineLevel="0" collapsed="false">
      <c r="A28" s="219" t="s">
        <v>2601</v>
      </c>
    </row>
    <row r="29" customFormat="false" ht="15" hidden="false" customHeight="true" outlineLevel="0" collapsed="false">
      <c r="A29" s="220" t="s">
        <v>2602</v>
      </c>
    </row>
    <row r="30" customFormat="false" ht="15" hidden="false" customHeight="true" outlineLevel="0" collapsed="false">
      <c r="A30" s="220" t="s">
        <v>2603</v>
      </c>
    </row>
    <row r="31" customFormat="false" ht="15" hidden="false" customHeight="true" outlineLevel="0" collapsed="false">
      <c r="A31" s="220" t="s">
        <v>2604</v>
      </c>
    </row>
  </sheetData>
  <autoFilter ref="A1:M2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6" min="4" style="1" width="26"/>
    <col collapsed="false" customWidth="true" hidden="false" outlineLevel="0" max="7" min="7" style="1" width="30"/>
    <col collapsed="false" customWidth="true" hidden="false" outlineLevel="0" max="8" min="8" style="1" width="12"/>
    <col collapsed="false" customWidth="true" hidden="false" outlineLevel="0" max="10" min="9" style="1" width="22"/>
    <col collapsed="false" customWidth="true" hidden="false" outlineLevel="0" max="11" min="11" style="1" width="24"/>
    <col collapsed="false" customWidth="true" hidden="false" outlineLevel="0" max="12" min="12" style="1" width="10"/>
    <col collapsed="false" customWidth="true" hidden="false" outlineLevel="0" max="13" min="13" style="1" width="12"/>
  </cols>
  <sheetData>
    <row r="1" customFormat="false" ht="27.75" hidden="false" customHeight="true" outlineLevel="0" collapsed="false">
      <c r="A1" s="221" t="s">
        <v>2272</v>
      </c>
      <c r="B1" s="221" t="s">
        <v>2273</v>
      </c>
      <c r="C1" s="221" t="s">
        <v>2274</v>
      </c>
      <c r="D1" s="221" t="s">
        <v>2275</v>
      </c>
      <c r="E1" s="221" t="s">
        <v>2276</v>
      </c>
      <c r="F1" s="221" t="s">
        <v>2277</v>
      </c>
      <c r="G1" s="221" t="s">
        <v>2278</v>
      </c>
      <c r="H1" s="221" t="s">
        <v>2279</v>
      </c>
      <c r="I1" s="221" t="s">
        <v>2280</v>
      </c>
      <c r="J1" s="221" t="s">
        <v>2281</v>
      </c>
      <c r="K1" s="221" t="s">
        <v>2282</v>
      </c>
      <c r="L1" s="221" t="s">
        <v>2283</v>
      </c>
      <c r="M1" s="221" t="s">
        <v>154</v>
      </c>
    </row>
    <row r="2" customFormat="false" ht="54.75" hidden="false" customHeight="true" outlineLevel="0" collapsed="false">
      <c r="A2" s="209" t="s">
        <v>2605</v>
      </c>
      <c r="B2" s="209" t="s">
        <v>2606</v>
      </c>
      <c r="C2" s="209" t="s">
        <v>2607</v>
      </c>
      <c r="D2" s="222" t="s">
        <v>2608</v>
      </c>
      <c r="E2" s="222" t="s">
        <v>2609</v>
      </c>
      <c r="F2" s="223" t="s">
        <v>2610</v>
      </c>
      <c r="G2" s="223" t="s">
        <v>2611</v>
      </c>
      <c r="H2" s="223" t="s">
        <v>2291</v>
      </c>
      <c r="I2" s="223" t="s">
        <v>2612</v>
      </c>
      <c r="J2" s="223" t="s">
        <v>2613</v>
      </c>
      <c r="K2" s="223" t="s">
        <v>2294</v>
      </c>
      <c r="L2" s="209" t="n">
        <v>13</v>
      </c>
      <c r="M2" s="222" t="s">
        <v>2467</v>
      </c>
    </row>
    <row r="3" customFormat="false" ht="54.75" hidden="false" customHeight="true" outlineLevel="0" collapsed="false">
      <c r="A3" s="212" t="s">
        <v>2499</v>
      </c>
      <c r="B3" s="212" t="s">
        <v>2614</v>
      </c>
      <c r="C3" s="212" t="s">
        <v>2615</v>
      </c>
      <c r="D3" s="222" t="s">
        <v>2616</v>
      </c>
      <c r="E3" s="223" t="s">
        <v>2617</v>
      </c>
      <c r="F3" s="223" t="s">
        <v>2618</v>
      </c>
      <c r="G3" s="223" t="s">
        <v>2619</v>
      </c>
      <c r="H3" s="223" t="s">
        <v>2291</v>
      </c>
      <c r="I3" s="223" t="s">
        <v>2292</v>
      </c>
      <c r="J3" s="223" t="s">
        <v>2315</v>
      </c>
      <c r="K3" s="223" t="s">
        <v>2294</v>
      </c>
      <c r="L3" s="209" t="n">
        <v>12</v>
      </c>
      <c r="M3" s="222" t="s">
        <v>2311</v>
      </c>
    </row>
    <row r="4" customFormat="false" ht="54.75" hidden="false" customHeight="true" outlineLevel="0" collapsed="false">
      <c r="A4" s="209" t="s">
        <v>2620</v>
      </c>
      <c r="B4" s="209" t="s">
        <v>2621</v>
      </c>
      <c r="C4" s="209" t="s">
        <v>2622</v>
      </c>
      <c r="D4" s="223" t="s">
        <v>2623</v>
      </c>
      <c r="E4" s="222" t="s">
        <v>2624</v>
      </c>
      <c r="F4" s="223" t="s">
        <v>2289</v>
      </c>
      <c r="G4" s="223" t="s">
        <v>2290</v>
      </c>
      <c r="H4" s="223" t="s">
        <v>2291</v>
      </c>
      <c r="I4" s="223" t="s">
        <v>2326</v>
      </c>
      <c r="J4" s="223" t="s">
        <v>2315</v>
      </c>
      <c r="K4" s="223" t="s">
        <v>2294</v>
      </c>
      <c r="L4" s="209" t="n">
        <v>6</v>
      </c>
      <c r="M4" s="222" t="s">
        <v>2311</v>
      </c>
    </row>
    <row r="5" customFormat="false" ht="41.25" hidden="false" customHeight="true" outlineLevel="0" collapsed="false">
      <c r="A5" s="212" t="s">
        <v>2625</v>
      </c>
      <c r="B5" s="212" t="s">
        <v>2626</v>
      </c>
      <c r="C5" s="212" t="s">
        <v>2627</v>
      </c>
      <c r="D5" s="223" t="s">
        <v>2628</v>
      </c>
      <c r="E5" s="223" t="s">
        <v>2629</v>
      </c>
      <c r="F5" s="222" t="s">
        <v>2630</v>
      </c>
      <c r="G5" s="223" t="s">
        <v>2290</v>
      </c>
      <c r="H5" s="223" t="s">
        <v>2291</v>
      </c>
      <c r="I5" s="223" t="s">
        <v>2631</v>
      </c>
      <c r="J5" s="223" t="s">
        <v>2315</v>
      </c>
      <c r="K5" s="223" t="s">
        <v>2632</v>
      </c>
      <c r="L5" s="209" t="n">
        <v>2</v>
      </c>
      <c r="M5" s="222" t="s">
        <v>2311</v>
      </c>
    </row>
    <row r="6" customFormat="false" ht="68.25" hidden="false" customHeight="true" outlineLevel="0" collapsed="false">
      <c r="A6" s="212" t="s">
        <v>2633</v>
      </c>
      <c r="B6" s="212" t="s">
        <v>2634</v>
      </c>
      <c r="C6" s="212" t="s">
        <v>2635</v>
      </c>
      <c r="D6" s="223" t="s">
        <v>2636</v>
      </c>
      <c r="E6" s="223" t="s">
        <v>2288</v>
      </c>
      <c r="F6" s="222" t="s">
        <v>2289</v>
      </c>
      <c r="G6" s="223" t="s">
        <v>2637</v>
      </c>
    </row>
    <row r="7" customFormat="false" ht="15" hidden="false" customHeight="true" outlineLevel="0" collapsed="false">
      <c r="A7" s="212" t="s">
        <v>2638</v>
      </c>
      <c r="B7" s="212" t="s">
        <v>2639</v>
      </c>
      <c r="C7" s="212" t="s">
        <v>2635</v>
      </c>
      <c r="D7" s="223" t="s">
        <v>2640</v>
      </c>
      <c r="E7" s="223" t="s">
        <v>2288</v>
      </c>
      <c r="F7" s="222" t="s">
        <v>2289</v>
      </c>
      <c r="G7" s="223" t="s">
        <v>2290</v>
      </c>
    </row>
    <row r="8" customFormat="false" ht="15" hidden="false" customHeight="true" outlineLevel="0" collapsed="false"/>
    <row r="9" customFormat="false" ht="15" hidden="false" customHeight="true" outlineLevel="0" collapsed="false">
      <c r="A9" s="1" t="s">
        <v>2641</v>
      </c>
    </row>
    <row r="10" customFormat="false" ht="15" hidden="false" customHeight="true" outlineLevel="0" collapsed="false">
      <c r="A10" s="1" t="s">
        <v>2642</v>
      </c>
    </row>
    <row r="11" customFormat="false" ht="15" hidden="false" customHeight="true" outlineLevel="0" collapsed="false">
      <c r="A11" s="1" t="s">
        <v>2643</v>
      </c>
    </row>
    <row r="12" customFormat="false" ht="15" hidden="false" customHeight="true" outlineLevel="0" collapsed="false">
      <c r="A12" s="1" t="s">
        <v>2644</v>
      </c>
    </row>
    <row r="13" customFormat="false" ht="15" hidden="false" customHeight="true" outlineLevel="0" collapsed="false">
      <c r="A13" s="1" t="s">
        <v>2645</v>
      </c>
    </row>
    <row r="14" customFormat="false" ht="15" hidden="false" customHeight="true" outlineLevel="0" collapsed="false">
      <c r="A14" s="1" t="s">
        <v>2646</v>
      </c>
    </row>
    <row r="15" customFormat="false" ht="15" hidden="false" customHeight="true" outlineLevel="0" collapsed="false">
      <c r="A15" s="1" t="s">
        <v>2647</v>
      </c>
    </row>
  </sheetData>
  <autoFilter ref="A1:M5"/>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4" min="4" style="1" width="30"/>
    <col collapsed="false" customWidth="true" hidden="false" outlineLevel="0" max="5" min="5" style="1" width="24"/>
    <col collapsed="false" customWidth="true" hidden="false" outlineLevel="0" max="6" min="6" style="1" width="20"/>
    <col collapsed="false" customWidth="true" hidden="false" outlineLevel="0" max="7" min="7" style="1" width="34"/>
    <col collapsed="false" customWidth="true" hidden="false" outlineLevel="0" max="8" min="8" style="1" width="12"/>
    <col collapsed="false" customWidth="true" hidden="false" outlineLevel="0" max="9" min="9" style="1" width="24"/>
    <col collapsed="false" customWidth="true" hidden="false" outlineLevel="0" max="10" min="10" style="1" width="30"/>
    <col collapsed="false" customWidth="true" hidden="false" outlineLevel="0" max="11" min="11" style="1" width="24"/>
    <col collapsed="false" customWidth="true" hidden="false" outlineLevel="0" max="12" min="12" style="1" width="10"/>
    <col collapsed="false" customWidth="true" hidden="false" outlineLevel="0" max="13" min="13" style="1" width="26"/>
  </cols>
  <sheetData>
    <row r="1" customFormat="false" ht="15" hidden="false" customHeight="true" outlineLevel="0" collapsed="false">
      <c r="A1" s="221" t="s">
        <v>2272</v>
      </c>
      <c r="B1" s="221" t="s">
        <v>2273</v>
      </c>
      <c r="C1" s="221" t="s">
        <v>2274</v>
      </c>
      <c r="D1" s="221" t="s">
        <v>2275</v>
      </c>
      <c r="E1" s="221" t="s">
        <v>2276</v>
      </c>
      <c r="F1" s="221" t="s">
        <v>2277</v>
      </c>
      <c r="G1" s="221" t="s">
        <v>2278</v>
      </c>
      <c r="H1" s="221" t="s">
        <v>2279</v>
      </c>
      <c r="I1" s="221" t="s">
        <v>2280</v>
      </c>
      <c r="J1" s="221" t="s">
        <v>2281</v>
      </c>
      <c r="K1" s="221" t="s">
        <v>2282</v>
      </c>
      <c r="L1" s="221" t="s">
        <v>2283</v>
      </c>
      <c r="M1" s="221" t="s">
        <v>154</v>
      </c>
    </row>
    <row r="2" customFormat="false" ht="68.25" hidden="false" customHeight="true" outlineLevel="0" collapsed="false">
      <c r="A2" s="209" t="s">
        <v>2648</v>
      </c>
      <c r="B2" s="209" t="s">
        <v>2649</v>
      </c>
      <c r="C2" s="209" t="s">
        <v>2650</v>
      </c>
      <c r="D2" s="222" t="s">
        <v>2651</v>
      </c>
      <c r="E2" s="223" t="s">
        <v>2652</v>
      </c>
      <c r="F2" s="223" t="s">
        <v>2653</v>
      </c>
      <c r="G2" s="223" t="s">
        <v>2654</v>
      </c>
      <c r="H2" s="223" t="s">
        <v>2291</v>
      </c>
      <c r="I2" s="223" t="s">
        <v>2655</v>
      </c>
      <c r="J2" s="223" t="s">
        <v>2656</v>
      </c>
      <c r="K2" s="223" t="s">
        <v>2657</v>
      </c>
      <c r="L2" s="209" t="n">
        <v>4</v>
      </c>
      <c r="M2" s="222" t="s">
        <v>2311</v>
      </c>
    </row>
    <row r="3" customFormat="false" ht="68.25" hidden="false" customHeight="true" outlineLevel="0" collapsed="false">
      <c r="A3" s="212" t="s">
        <v>2658</v>
      </c>
      <c r="B3" s="212" t="s">
        <v>2659</v>
      </c>
      <c r="C3" s="212" t="s">
        <v>2660</v>
      </c>
      <c r="D3" s="223" t="s">
        <v>2661</v>
      </c>
      <c r="E3" s="223" t="s">
        <v>2652</v>
      </c>
      <c r="F3" s="223" t="s">
        <v>2289</v>
      </c>
      <c r="G3" s="222" t="s">
        <v>2662</v>
      </c>
      <c r="H3" s="223" t="s">
        <v>2291</v>
      </c>
      <c r="I3" s="223" t="s">
        <v>2655</v>
      </c>
      <c r="J3" s="223" t="s">
        <v>2656</v>
      </c>
      <c r="K3" s="223" t="s">
        <v>2657</v>
      </c>
      <c r="L3" s="209" t="n">
        <v>5</v>
      </c>
      <c r="M3" s="222" t="s">
        <v>2311</v>
      </c>
    </row>
    <row r="4" customFormat="false" ht="68.25" hidden="false" customHeight="true" outlineLevel="0" collapsed="false">
      <c r="A4" s="209" t="s">
        <v>2663</v>
      </c>
      <c r="B4" s="209" t="s">
        <v>2664</v>
      </c>
      <c r="C4" s="209" t="s">
        <v>2665</v>
      </c>
      <c r="D4" s="223" t="s">
        <v>2666</v>
      </c>
      <c r="E4" s="223" t="s">
        <v>2652</v>
      </c>
      <c r="F4" s="223" t="s">
        <v>2289</v>
      </c>
      <c r="G4" s="222" t="s">
        <v>2667</v>
      </c>
      <c r="H4" s="223" t="s">
        <v>2291</v>
      </c>
      <c r="I4" s="223" t="s">
        <v>2655</v>
      </c>
      <c r="J4" s="223" t="s">
        <v>2656</v>
      </c>
      <c r="K4" s="223" t="s">
        <v>2657</v>
      </c>
      <c r="L4" s="209" t="n">
        <v>2</v>
      </c>
      <c r="M4" s="222" t="s">
        <v>2311</v>
      </c>
    </row>
    <row r="5" customFormat="false" ht="68.25" hidden="false" customHeight="true" outlineLevel="0" collapsed="false">
      <c r="A5" s="212" t="s">
        <v>2625</v>
      </c>
      <c r="B5" s="212" t="s">
        <v>2668</v>
      </c>
      <c r="C5" s="212" t="s">
        <v>2627</v>
      </c>
      <c r="D5" s="223" t="s">
        <v>2628</v>
      </c>
      <c r="E5" s="223" t="s">
        <v>2652</v>
      </c>
      <c r="F5" s="222" t="s">
        <v>2669</v>
      </c>
      <c r="G5" s="223" t="s">
        <v>2290</v>
      </c>
      <c r="H5" s="223" t="s">
        <v>2291</v>
      </c>
      <c r="I5" s="223" t="s">
        <v>2655</v>
      </c>
      <c r="J5" s="223" t="s">
        <v>2656</v>
      </c>
      <c r="K5" s="223" t="s">
        <v>2657</v>
      </c>
      <c r="L5" s="209" t="n">
        <v>2</v>
      </c>
      <c r="M5" s="222" t="s">
        <v>2670</v>
      </c>
    </row>
    <row r="6" customFormat="false" ht="68.25" hidden="false" customHeight="true" outlineLevel="0" collapsed="false">
      <c r="A6" s="209" t="s">
        <v>2482</v>
      </c>
      <c r="B6" s="209" t="s">
        <v>2671</v>
      </c>
      <c r="C6" s="209" t="s">
        <v>2672</v>
      </c>
      <c r="D6" s="222" t="s">
        <v>2673</v>
      </c>
      <c r="E6" s="223" t="s">
        <v>2652</v>
      </c>
      <c r="F6" s="223" t="s">
        <v>2289</v>
      </c>
      <c r="G6" s="223" t="s">
        <v>2674</v>
      </c>
      <c r="H6" s="223" t="s">
        <v>2291</v>
      </c>
      <c r="I6" s="223" t="s">
        <v>2655</v>
      </c>
      <c r="J6" s="223" t="s">
        <v>2656</v>
      </c>
      <c r="K6" s="223" t="s">
        <v>2657</v>
      </c>
      <c r="L6" s="209" t="n">
        <v>6</v>
      </c>
      <c r="M6" s="222" t="s">
        <v>2675</v>
      </c>
    </row>
    <row r="7" customFormat="false" ht="68.25" hidden="false" customHeight="true" outlineLevel="0" collapsed="false">
      <c r="A7" s="212" t="s">
        <v>2676</v>
      </c>
      <c r="B7" s="212" t="s">
        <v>2677</v>
      </c>
      <c r="C7" s="212" t="s">
        <v>2678</v>
      </c>
      <c r="D7" s="223" t="s">
        <v>2679</v>
      </c>
      <c r="E7" s="223" t="s">
        <v>2652</v>
      </c>
      <c r="F7" s="223" t="s">
        <v>2289</v>
      </c>
      <c r="G7" s="223" t="s">
        <v>2680</v>
      </c>
      <c r="H7" s="223" t="s">
        <v>2291</v>
      </c>
      <c r="I7" s="223" t="s">
        <v>2655</v>
      </c>
      <c r="J7" s="223" t="s">
        <v>2656</v>
      </c>
      <c r="K7" s="223" t="s">
        <v>2657</v>
      </c>
      <c r="L7" s="209" t="n">
        <v>1</v>
      </c>
      <c r="M7" s="224" t="s">
        <v>2295</v>
      </c>
    </row>
    <row r="8" customFormat="false" ht="68.25" hidden="false" customHeight="true" outlineLevel="0" collapsed="false">
      <c r="A8" s="209" t="s">
        <v>2681</v>
      </c>
      <c r="B8" s="209" t="s">
        <v>2682</v>
      </c>
      <c r="C8" s="209" t="s">
        <v>2683</v>
      </c>
      <c r="D8" s="223" t="s">
        <v>2684</v>
      </c>
      <c r="E8" s="223" t="s">
        <v>2652</v>
      </c>
      <c r="F8" s="223" t="s">
        <v>2289</v>
      </c>
      <c r="G8" s="223" t="s">
        <v>2685</v>
      </c>
      <c r="H8" s="223" t="s">
        <v>2291</v>
      </c>
      <c r="I8" s="223" t="s">
        <v>2655</v>
      </c>
      <c r="J8" s="223" t="s">
        <v>2656</v>
      </c>
      <c r="K8" s="223" t="s">
        <v>2657</v>
      </c>
      <c r="L8" s="209" t="n">
        <v>2</v>
      </c>
      <c r="M8" s="224" t="s">
        <v>2295</v>
      </c>
    </row>
    <row r="9" customFormat="false" ht="68.25" hidden="false" customHeight="true" outlineLevel="0" collapsed="false">
      <c r="A9" s="212" t="s">
        <v>2686</v>
      </c>
      <c r="B9" s="212" t="s">
        <v>2687</v>
      </c>
      <c r="C9" s="212" t="s">
        <v>2688</v>
      </c>
      <c r="D9" s="222" t="s">
        <v>2689</v>
      </c>
      <c r="E9" s="223" t="s">
        <v>2652</v>
      </c>
      <c r="F9" s="223" t="s">
        <v>2690</v>
      </c>
      <c r="G9" s="223" t="s">
        <v>2290</v>
      </c>
      <c r="H9" s="223" t="s">
        <v>2291</v>
      </c>
      <c r="I9" s="223" t="s">
        <v>2655</v>
      </c>
      <c r="J9" s="223" t="s">
        <v>2656</v>
      </c>
      <c r="K9" s="223" t="s">
        <v>2657</v>
      </c>
      <c r="L9" s="209" t="n">
        <v>4</v>
      </c>
      <c r="M9" s="222" t="s">
        <v>2311</v>
      </c>
    </row>
    <row r="10" customFormat="false" ht="68.25" hidden="false" customHeight="true" outlineLevel="0" collapsed="false">
      <c r="A10" s="209" t="s">
        <v>2691</v>
      </c>
      <c r="B10" s="209" t="s">
        <v>2692</v>
      </c>
      <c r="C10" s="209" t="s">
        <v>2693</v>
      </c>
      <c r="D10" s="223" t="s">
        <v>2694</v>
      </c>
      <c r="E10" s="223" t="s">
        <v>2652</v>
      </c>
      <c r="F10" s="223" t="s">
        <v>2289</v>
      </c>
      <c r="G10" s="223" t="s">
        <v>2695</v>
      </c>
      <c r="H10" s="223" t="s">
        <v>2291</v>
      </c>
      <c r="I10" s="223" t="s">
        <v>2655</v>
      </c>
      <c r="J10" s="223" t="s">
        <v>2656</v>
      </c>
      <c r="K10" s="223" t="s">
        <v>2657</v>
      </c>
      <c r="L10" s="209" t="n">
        <v>1</v>
      </c>
      <c r="M10" s="224" t="s">
        <v>2696</v>
      </c>
    </row>
    <row r="11" customFormat="false" ht="68.25" hidden="false" customHeight="true" outlineLevel="0" collapsed="false">
      <c r="A11" s="212" t="s">
        <v>2697</v>
      </c>
      <c r="B11" s="212" t="s">
        <v>2698</v>
      </c>
      <c r="C11" s="212" t="s">
        <v>2699</v>
      </c>
      <c r="D11" s="222" t="s">
        <v>2700</v>
      </c>
      <c r="E11" s="223" t="s">
        <v>2652</v>
      </c>
      <c r="F11" s="223" t="s">
        <v>2289</v>
      </c>
      <c r="G11" s="222" t="s">
        <v>2701</v>
      </c>
      <c r="H11" s="223" t="s">
        <v>2291</v>
      </c>
      <c r="I11" s="223" t="s">
        <v>2655</v>
      </c>
      <c r="J11" s="223" t="s">
        <v>2656</v>
      </c>
      <c r="K11" s="223" t="s">
        <v>2657</v>
      </c>
      <c r="L11" s="209" t="n">
        <v>5</v>
      </c>
      <c r="M11" s="222" t="s">
        <v>2467</v>
      </c>
    </row>
    <row r="12" customFormat="false" ht="68.25" hidden="false" customHeight="true" outlineLevel="0" collapsed="false">
      <c r="A12" s="209" t="s">
        <v>2702</v>
      </c>
      <c r="B12" s="209" t="s">
        <v>2703</v>
      </c>
      <c r="C12" s="209" t="s">
        <v>2704</v>
      </c>
      <c r="D12" s="223" t="s">
        <v>2705</v>
      </c>
      <c r="E12" s="223" t="s">
        <v>2652</v>
      </c>
      <c r="F12" s="223" t="s">
        <v>2289</v>
      </c>
      <c r="G12" s="223" t="s">
        <v>2706</v>
      </c>
      <c r="H12" s="223" t="s">
        <v>2291</v>
      </c>
      <c r="I12" s="223" t="s">
        <v>2655</v>
      </c>
      <c r="J12" s="223" t="s">
        <v>2656</v>
      </c>
      <c r="K12" s="223" t="s">
        <v>2657</v>
      </c>
      <c r="L12" s="209" t="n">
        <v>1</v>
      </c>
      <c r="M12" s="224" t="s">
        <v>2295</v>
      </c>
    </row>
    <row r="13" customFormat="false" ht="108.75" hidden="false" customHeight="true" outlineLevel="0" collapsed="false">
      <c r="A13" s="209" t="s">
        <v>2707</v>
      </c>
      <c r="B13" s="209" t="s">
        <v>2708</v>
      </c>
      <c r="C13" s="209" t="s">
        <v>2475</v>
      </c>
      <c r="D13" s="223" t="s">
        <v>2476</v>
      </c>
      <c r="E13" s="223" t="s">
        <v>2476</v>
      </c>
      <c r="F13" s="223" t="s">
        <v>2476</v>
      </c>
      <c r="G13" s="223" t="s">
        <v>2476</v>
      </c>
      <c r="H13" s="223" t="s">
        <v>2476</v>
      </c>
      <c r="I13" s="223" t="s">
        <v>2476</v>
      </c>
      <c r="J13" s="223" t="s">
        <v>2476</v>
      </c>
      <c r="K13" s="223" t="s">
        <v>2476</v>
      </c>
      <c r="L13" s="209" t="n">
        <v>1</v>
      </c>
      <c r="M13" s="224" t="s">
        <v>2295</v>
      </c>
    </row>
    <row r="14" customFormat="false" ht="15" hidden="false" customHeight="true" outlineLevel="0" collapsed="false">
      <c r="A14" s="1" t="s">
        <v>2709</v>
      </c>
    </row>
    <row r="15" customFormat="false" ht="15" hidden="false" customHeight="true" outlineLevel="0" collapsed="false">
      <c r="A15" s="1" t="s">
        <v>2710</v>
      </c>
    </row>
    <row r="16" customFormat="false" ht="15" hidden="false" customHeight="true" outlineLevel="0" collapsed="false">
      <c r="A16" s="1" t="s">
        <v>2711</v>
      </c>
    </row>
    <row r="17" customFormat="false" ht="15" hidden="false" customHeight="true" outlineLevel="0" collapsed="false">
      <c r="A17" s="1" t="s">
        <v>2712</v>
      </c>
    </row>
    <row r="18" customFormat="false" ht="15" hidden="false" customHeight="true" outlineLevel="0" collapsed="false">
      <c r="A18" s="1" t="s">
        <v>2713</v>
      </c>
    </row>
    <row r="19" customFormat="false" ht="15" hidden="false" customHeight="true" outlineLevel="0" collapsed="false">
      <c r="A19" s="1" t="s">
        <v>2714</v>
      </c>
    </row>
    <row r="20" customFormat="false" ht="15" hidden="false" customHeight="true" outlineLevel="0" collapsed="false">
      <c r="A20" s="1" t="s">
        <v>2647</v>
      </c>
    </row>
  </sheetData>
  <autoFilter ref="A1:M1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4" min="4" style="1" width="34"/>
    <col collapsed="false" customWidth="true" hidden="false" outlineLevel="0" max="5" min="5" style="1" width="22"/>
    <col collapsed="false" customWidth="true" hidden="false" outlineLevel="0" max="6" min="6" style="1" width="28"/>
    <col collapsed="false" customWidth="true" hidden="false" outlineLevel="0" max="7" min="7" style="1" width="34"/>
    <col collapsed="false" customWidth="true" hidden="false" outlineLevel="0" max="8" min="8" style="1" width="12"/>
    <col collapsed="false" customWidth="true" hidden="false" outlineLevel="0" max="10" min="9" style="1" width="30"/>
    <col collapsed="false" customWidth="true" hidden="false" outlineLevel="0" max="11" min="11" style="1" width="22"/>
    <col collapsed="false" customWidth="true" hidden="false" outlineLevel="0" max="12" min="12" style="1" width="10"/>
    <col collapsed="false" customWidth="true" hidden="false" outlineLevel="0" max="13" min="13" style="1" width="30"/>
  </cols>
  <sheetData>
    <row r="1" customFormat="false" ht="15" hidden="false" customHeight="true" outlineLevel="0" collapsed="false">
      <c r="A1" s="221" t="s">
        <v>2272</v>
      </c>
      <c r="B1" s="221" t="s">
        <v>2273</v>
      </c>
      <c r="C1" s="221" t="s">
        <v>2274</v>
      </c>
      <c r="D1" s="221" t="s">
        <v>2275</v>
      </c>
      <c r="E1" s="221" t="s">
        <v>2276</v>
      </c>
      <c r="F1" s="221" t="s">
        <v>2277</v>
      </c>
      <c r="G1" s="221" t="s">
        <v>2278</v>
      </c>
      <c r="H1" s="221" t="s">
        <v>2279</v>
      </c>
      <c r="I1" s="221" t="s">
        <v>2280</v>
      </c>
      <c r="J1" s="221" t="s">
        <v>2281</v>
      </c>
      <c r="K1" s="221" t="s">
        <v>2282</v>
      </c>
      <c r="L1" s="221" t="s">
        <v>2283</v>
      </c>
      <c r="M1" s="221" t="s">
        <v>154</v>
      </c>
    </row>
    <row r="2" customFormat="false" ht="54.75" hidden="false" customHeight="true" outlineLevel="0" collapsed="false">
      <c r="A2" s="209" t="s">
        <v>2715</v>
      </c>
      <c r="B2" s="209" t="s">
        <v>2716</v>
      </c>
      <c r="C2" s="209" t="s">
        <v>2717</v>
      </c>
      <c r="D2" s="222" t="s">
        <v>2718</v>
      </c>
      <c r="E2" s="223" t="s">
        <v>2719</v>
      </c>
      <c r="F2" s="223" t="s">
        <v>2720</v>
      </c>
      <c r="G2" s="223" t="s">
        <v>2721</v>
      </c>
      <c r="H2" s="223" t="s">
        <v>2291</v>
      </c>
      <c r="I2" s="223" t="s">
        <v>2722</v>
      </c>
      <c r="J2" s="223" t="s">
        <v>2723</v>
      </c>
      <c r="K2" s="223" t="s">
        <v>2724</v>
      </c>
      <c r="L2" s="209" t="n">
        <v>8</v>
      </c>
      <c r="M2" s="222" t="s">
        <v>2311</v>
      </c>
    </row>
    <row r="3" customFormat="false" ht="41.25" hidden="false" customHeight="true" outlineLevel="0" collapsed="false">
      <c r="A3" s="212" t="s">
        <v>2725</v>
      </c>
      <c r="B3" s="212" t="s">
        <v>2726</v>
      </c>
      <c r="C3" s="212" t="s">
        <v>2727</v>
      </c>
      <c r="D3" s="223" t="s">
        <v>2728</v>
      </c>
      <c r="E3" s="223" t="s">
        <v>2719</v>
      </c>
      <c r="F3" s="223" t="s">
        <v>2720</v>
      </c>
      <c r="G3" s="223" t="s">
        <v>2721</v>
      </c>
      <c r="H3" s="223" t="s">
        <v>2291</v>
      </c>
      <c r="I3" s="223" t="s">
        <v>2722</v>
      </c>
      <c r="J3" s="223" t="s">
        <v>2723</v>
      </c>
      <c r="K3" s="223" t="s">
        <v>2724</v>
      </c>
      <c r="L3" s="209" t="n">
        <v>3</v>
      </c>
      <c r="M3" s="224" t="s">
        <v>2295</v>
      </c>
    </row>
    <row r="4" customFormat="false" ht="41.25" hidden="false" customHeight="true" outlineLevel="0" collapsed="false">
      <c r="A4" s="209" t="s">
        <v>2729</v>
      </c>
      <c r="B4" s="209" t="s">
        <v>2730</v>
      </c>
      <c r="C4" s="209" t="s">
        <v>2731</v>
      </c>
      <c r="D4" s="222" t="s">
        <v>2732</v>
      </c>
      <c r="E4" s="223" t="s">
        <v>2719</v>
      </c>
      <c r="F4" s="223" t="s">
        <v>2720</v>
      </c>
      <c r="G4" s="222" t="s">
        <v>2733</v>
      </c>
      <c r="H4" s="223" t="s">
        <v>2291</v>
      </c>
      <c r="I4" s="223" t="s">
        <v>2722</v>
      </c>
      <c r="J4" s="223" t="s">
        <v>2723</v>
      </c>
      <c r="K4" s="223" t="s">
        <v>2724</v>
      </c>
      <c r="L4" s="209" t="n">
        <v>5</v>
      </c>
      <c r="M4" s="222" t="s">
        <v>2467</v>
      </c>
    </row>
    <row r="5" customFormat="false" ht="41.25" hidden="false" customHeight="true" outlineLevel="0" collapsed="false">
      <c r="A5" s="212" t="s">
        <v>2734</v>
      </c>
      <c r="B5" s="212" t="s">
        <v>2735</v>
      </c>
      <c r="C5" s="212" t="s">
        <v>2736</v>
      </c>
      <c r="D5" s="222" t="s">
        <v>2737</v>
      </c>
      <c r="E5" s="223" t="s">
        <v>2719</v>
      </c>
      <c r="F5" s="223" t="s">
        <v>2720</v>
      </c>
      <c r="G5" s="222" t="s">
        <v>2738</v>
      </c>
      <c r="H5" s="223" t="s">
        <v>2291</v>
      </c>
      <c r="I5" s="223" t="s">
        <v>2722</v>
      </c>
      <c r="J5" s="223" t="s">
        <v>2723</v>
      </c>
      <c r="K5" s="223" t="s">
        <v>2724</v>
      </c>
      <c r="L5" s="209" t="n">
        <v>5</v>
      </c>
      <c r="M5" s="222" t="s">
        <v>2467</v>
      </c>
    </row>
    <row r="6" customFormat="false" ht="54.75" hidden="false" customHeight="true" outlineLevel="0" collapsed="false">
      <c r="A6" s="209" t="s">
        <v>2739</v>
      </c>
      <c r="B6" s="209" t="s">
        <v>2740</v>
      </c>
      <c r="C6" s="209" t="s">
        <v>2741</v>
      </c>
      <c r="D6" s="222" t="s">
        <v>2742</v>
      </c>
      <c r="E6" s="223" t="s">
        <v>2719</v>
      </c>
      <c r="F6" s="223" t="s">
        <v>2720</v>
      </c>
      <c r="G6" s="223" t="s">
        <v>2721</v>
      </c>
      <c r="H6" s="223" t="s">
        <v>2291</v>
      </c>
      <c r="I6" s="223" t="s">
        <v>2722</v>
      </c>
      <c r="J6" s="223" t="s">
        <v>2723</v>
      </c>
      <c r="K6" s="223" t="s">
        <v>2724</v>
      </c>
      <c r="L6" s="209" t="n">
        <v>6</v>
      </c>
      <c r="M6" s="222" t="s">
        <v>2311</v>
      </c>
    </row>
    <row r="7" customFormat="false" ht="41.25" hidden="false" customHeight="true" outlineLevel="0" collapsed="false">
      <c r="A7" s="212" t="s">
        <v>2743</v>
      </c>
      <c r="B7" s="212" t="s">
        <v>2744</v>
      </c>
      <c r="C7" s="212" t="s">
        <v>2745</v>
      </c>
      <c r="D7" s="222" t="s">
        <v>2746</v>
      </c>
      <c r="E7" s="223" t="s">
        <v>2719</v>
      </c>
      <c r="F7" s="223" t="s">
        <v>2720</v>
      </c>
      <c r="G7" s="223" t="s">
        <v>2721</v>
      </c>
      <c r="H7" s="223" t="s">
        <v>2291</v>
      </c>
      <c r="I7" s="223" t="s">
        <v>2722</v>
      </c>
      <c r="J7" s="223" t="s">
        <v>2723</v>
      </c>
      <c r="K7" s="223" t="s">
        <v>2724</v>
      </c>
      <c r="L7" s="209" t="n">
        <v>3</v>
      </c>
      <c r="M7" s="222" t="s">
        <v>2311</v>
      </c>
    </row>
    <row r="8" customFormat="false" ht="41.25" hidden="false" customHeight="true" outlineLevel="0" collapsed="false">
      <c r="A8" s="209" t="s">
        <v>2747</v>
      </c>
      <c r="B8" s="209" t="s">
        <v>2748</v>
      </c>
      <c r="C8" s="209" t="s">
        <v>2749</v>
      </c>
      <c r="D8" s="222" t="s">
        <v>2750</v>
      </c>
      <c r="E8" s="223" t="s">
        <v>2719</v>
      </c>
      <c r="F8" s="223" t="s">
        <v>2720</v>
      </c>
      <c r="G8" s="223" t="s">
        <v>2721</v>
      </c>
      <c r="H8" s="223" t="s">
        <v>2291</v>
      </c>
      <c r="I8" s="223" t="s">
        <v>2722</v>
      </c>
      <c r="J8" s="223" t="s">
        <v>2723</v>
      </c>
      <c r="K8" s="223" t="s">
        <v>2724</v>
      </c>
      <c r="L8" s="209" t="n">
        <v>2</v>
      </c>
      <c r="M8" s="222" t="s">
        <v>2311</v>
      </c>
    </row>
    <row r="9" customFormat="false" ht="41.25" hidden="false" customHeight="true" outlineLevel="0" collapsed="false">
      <c r="A9" s="212" t="s">
        <v>2751</v>
      </c>
      <c r="B9" s="212" t="s">
        <v>2752</v>
      </c>
      <c r="C9" s="212" t="s">
        <v>2753</v>
      </c>
      <c r="D9" s="222" t="s">
        <v>2754</v>
      </c>
      <c r="E9" s="223" t="s">
        <v>2719</v>
      </c>
      <c r="F9" s="223" t="s">
        <v>2720</v>
      </c>
      <c r="G9" s="223" t="s">
        <v>2721</v>
      </c>
      <c r="H9" s="223" t="s">
        <v>2291</v>
      </c>
      <c r="I9" s="223" t="s">
        <v>2722</v>
      </c>
      <c r="J9" s="223" t="s">
        <v>2723</v>
      </c>
      <c r="K9" s="223" t="s">
        <v>2724</v>
      </c>
      <c r="L9" s="209" t="n">
        <v>2</v>
      </c>
      <c r="M9" s="222" t="s">
        <v>2755</v>
      </c>
    </row>
    <row r="10" customFormat="false" ht="41.25" hidden="false" customHeight="true" outlineLevel="0" collapsed="false">
      <c r="A10" s="209" t="s">
        <v>2756</v>
      </c>
      <c r="B10" s="209" t="s">
        <v>2757</v>
      </c>
      <c r="C10" s="209" t="s">
        <v>2758</v>
      </c>
      <c r="D10" s="223" t="s">
        <v>2759</v>
      </c>
      <c r="E10" s="222" t="s">
        <v>2760</v>
      </c>
      <c r="F10" s="223" t="s">
        <v>2720</v>
      </c>
      <c r="G10" s="223" t="s">
        <v>2721</v>
      </c>
      <c r="H10" s="223" t="s">
        <v>2291</v>
      </c>
      <c r="I10" s="223" t="s">
        <v>2722</v>
      </c>
      <c r="J10" s="223" t="s">
        <v>2723</v>
      </c>
      <c r="K10" s="223" t="s">
        <v>2724</v>
      </c>
      <c r="L10" s="209" t="n">
        <v>3</v>
      </c>
      <c r="M10" s="222" t="s">
        <v>2311</v>
      </c>
    </row>
    <row r="11" customFormat="false" ht="54.75" hidden="false" customHeight="true" outlineLevel="0" collapsed="false">
      <c r="A11" s="212" t="s">
        <v>2761</v>
      </c>
      <c r="B11" s="212" t="s">
        <v>2762</v>
      </c>
      <c r="C11" s="212" t="s">
        <v>2763</v>
      </c>
      <c r="D11" s="222" t="s">
        <v>2764</v>
      </c>
      <c r="E11" s="223" t="s">
        <v>2719</v>
      </c>
      <c r="F11" s="223" t="s">
        <v>2720</v>
      </c>
      <c r="G11" s="223" t="s">
        <v>2721</v>
      </c>
      <c r="H11" s="223" t="s">
        <v>2291</v>
      </c>
      <c r="I11" s="223" t="s">
        <v>2765</v>
      </c>
      <c r="J11" s="223" t="s">
        <v>2723</v>
      </c>
      <c r="K11" s="223" t="s">
        <v>2724</v>
      </c>
      <c r="L11" s="209" t="n">
        <v>2</v>
      </c>
      <c r="M11" s="222" t="s">
        <v>2766</v>
      </c>
    </row>
    <row r="12" customFormat="false" ht="41.25" hidden="false" customHeight="true" outlineLevel="0" collapsed="false">
      <c r="A12" s="209" t="s">
        <v>2767</v>
      </c>
      <c r="B12" s="209" t="s">
        <v>2768</v>
      </c>
      <c r="C12" s="209" t="s">
        <v>2769</v>
      </c>
      <c r="D12" s="222" t="s">
        <v>2770</v>
      </c>
      <c r="E12" s="223" t="s">
        <v>2719</v>
      </c>
      <c r="F12" s="223" t="s">
        <v>2720</v>
      </c>
      <c r="G12" s="223" t="s">
        <v>2721</v>
      </c>
      <c r="H12" s="223" t="s">
        <v>2291</v>
      </c>
      <c r="I12" s="223" t="s">
        <v>2722</v>
      </c>
      <c r="J12" s="223" t="s">
        <v>2723</v>
      </c>
      <c r="K12" s="223" t="s">
        <v>2724</v>
      </c>
      <c r="L12" s="209" t="n">
        <v>1</v>
      </c>
      <c r="M12" s="222" t="s">
        <v>2766</v>
      </c>
    </row>
    <row r="13" customFormat="false" ht="41.25" hidden="false" customHeight="true" outlineLevel="0" collapsed="false">
      <c r="A13" s="212" t="s">
        <v>2771</v>
      </c>
      <c r="B13" s="212" t="s">
        <v>2772</v>
      </c>
      <c r="C13" s="212" t="s">
        <v>2773</v>
      </c>
      <c r="D13" s="223" t="s">
        <v>2774</v>
      </c>
      <c r="E13" s="223" t="s">
        <v>2719</v>
      </c>
      <c r="F13" s="223" t="s">
        <v>2720</v>
      </c>
      <c r="G13" s="223" t="s">
        <v>2721</v>
      </c>
      <c r="H13" s="223" t="s">
        <v>2291</v>
      </c>
      <c r="I13" s="223" t="s">
        <v>2722</v>
      </c>
      <c r="J13" s="223" t="s">
        <v>2723</v>
      </c>
      <c r="K13" s="223" t="s">
        <v>2724</v>
      </c>
      <c r="L13" s="209" t="n">
        <v>1</v>
      </c>
      <c r="M13" s="224" t="s">
        <v>2775</v>
      </c>
    </row>
    <row r="14" customFormat="false" ht="41.25" hidden="false" customHeight="true" outlineLevel="0" collapsed="false">
      <c r="A14" s="209" t="s">
        <v>2776</v>
      </c>
      <c r="B14" s="209" t="s">
        <v>2777</v>
      </c>
      <c r="C14" s="209" t="s">
        <v>2778</v>
      </c>
      <c r="D14" s="222" t="s">
        <v>2779</v>
      </c>
      <c r="E14" s="223" t="s">
        <v>2719</v>
      </c>
      <c r="F14" s="223" t="s">
        <v>2720</v>
      </c>
      <c r="G14" s="223" t="s">
        <v>2721</v>
      </c>
      <c r="H14" s="223" t="s">
        <v>2291</v>
      </c>
      <c r="I14" s="223" t="s">
        <v>2722</v>
      </c>
      <c r="J14" s="223" t="s">
        <v>2723</v>
      </c>
      <c r="K14" s="223" t="s">
        <v>2724</v>
      </c>
      <c r="L14" s="209" t="n">
        <v>2</v>
      </c>
      <c r="M14" s="222" t="s">
        <v>2766</v>
      </c>
    </row>
    <row r="15" customFormat="false" ht="41.25" hidden="false" customHeight="true" outlineLevel="0" collapsed="false">
      <c r="A15" s="212" t="s">
        <v>2780</v>
      </c>
      <c r="B15" s="212" t="s">
        <v>2781</v>
      </c>
      <c r="C15" s="212" t="s">
        <v>2782</v>
      </c>
      <c r="D15" s="223" t="s">
        <v>2783</v>
      </c>
      <c r="E15" s="223" t="s">
        <v>2719</v>
      </c>
      <c r="F15" s="223" t="s">
        <v>2720</v>
      </c>
      <c r="G15" s="223" t="s">
        <v>2721</v>
      </c>
      <c r="H15" s="223" t="s">
        <v>2291</v>
      </c>
      <c r="I15" s="223" t="s">
        <v>2784</v>
      </c>
      <c r="J15" s="223" t="s">
        <v>2723</v>
      </c>
      <c r="K15" s="223" t="s">
        <v>2724</v>
      </c>
      <c r="L15" s="209" t="n">
        <v>1</v>
      </c>
      <c r="M15" s="224" t="s">
        <v>2785</v>
      </c>
    </row>
    <row r="16" customFormat="false" ht="108.75" hidden="false" customHeight="true" outlineLevel="0" collapsed="false">
      <c r="A16" s="212" t="s">
        <v>2786</v>
      </c>
      <c r="B16" s="212" t="s">
        <v>2787</v>
      </c>
      <c r="C16" s="212" t="s">
        <v>2475</v>
      </c>
      <c r="D16" s="223" t="s">
        <v>2476</v>
      </c>
      <c r="E16" s="223" t="s">
        <v>2476</v>
      </c>
      <c r="F16" s="223" t="s">
        <v>2476</v>
      </c>
      <c r="G16" s="223" t="s">
        <v>2476</v>
      </c>
      <c r="H16" s="223" t="s">
        <v>2476</v>
      </c>
      <c r="I16" s="223" t="s">
        <v>2476</v>
      </c>
      <c r="J16" s="223" t="s">
        <v>2476</v>
      </c>
      <c r="K16" s="223" t="s">
        <v>2476</v>
      </c>
      <c r="L16" s="209" t="n">
        <v>1</v>
      </c>
      <c r="M16" s="224" t="s">
        <v>2785</v>
      </c>
    </row>
    <row r="17" customFormat="false" ht="15" hidden="false" customHeight="true" outlineLevel="0" collapsed="false">
      <c r="A17" s="1" t="s">
        <v>2788</v>
      </c>
    </row>
    <row r="18" customFormat="false" ht="15" hidden="false" customHeight="true" outlineLevel="0" collapsed="false">
      <c r="A18" s="1" t="s">
        <v>2789</v>
      </c>
    </row>
    <row r="19" customFormat="false" ht="15" hidden="false" customHeight="true" outlineLevel="0" collapsed="false">
      <c r="A19" s="1" t="s">
        <v>2790</v>
      </c>
    </row>
    <row r="20" customFormat="false" ht="15" hidden="false" customHeight="true" outlineLevel="0" collapsed="false">
      <c r="A20" s="1" t="s">
        <v>2791</v>
      </c>
    </row>
    <row r="21" customFormat="false" ht="15" hidden="false" customHeight="true" outlineLevel="0" collapsed="false">
      <c r="A21" s="1" t="s">
        <v>2792</v>
      </c>
    </row>
    <row r="22" customFormat="false" ht="15" hidden="false" customHeight="true" outlineLevel="0" collapsed="false">
      <c r="A22" s="1" t="s">
        <v>2793</v>
      </c>
    </row>
    <row r="23" customFormat="false" ht="15" hidden="false" customHeight="true" outlineLevel="0" collapsed="false">
      <c r="A23" s="1" t="s">
        <v>2794</v>
      </c>
    </row>
    <row r="24" customFormat="false" ht="15" hidden="false" customHeight="true" outlineLevel="0" collapsed="false">
      <c r="A24" s="1" t="s">
        <v>2647</v>
      </c>
    </row>
  </sheetData>
  <autoFilter ref="A1:M15"/>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4" min="4" style="1" width="34"/>
    <col collapsed="false" customWidth="true" hidden="false" outlineLevel="0" max="6" min="5" style="1" width="26"/>
    <col collapsed="false" customWidth="true" hidden="false" outlineLevel="0" max="7" min="7" style="1" width="34"/>
    <col collapsed="false" customWidth="true" hidden="false" outlineLevel="0" max="8" min="8" style="1" width="12"/>
    <col collapsed="false" customWidth="true" hidden="false" outlineLevel="0" max="9" min="9" style="1" width="46"/>
    <col collapsed="false" customWidth="true" hidden="false" outlineLevel="0" max="10" min="10" style="1" width="34"/>
    <col collapsed="false" customWidth="true" hidden="false" outlineLevel="0" max="11" min="11" style="1" width="22"/>
    <col collapsed="false" customWidth="true" hidden="false" outlineLevel="0" max="12" min="12" style="1" width="10"/>
    <col collapsed="false" customWidth="true" hidden="false" outlineLevel="0" max="13" min="13" style="1" width="14"/>
  </cols>
  <sheetData>
    <row r="1" customFormat="false" ht="15" hidden="false" customHeight="true" outlineLevel="0" collapsed="false">
      <c r="A1" s="221" t="s">
        <v>2272</v>
      </c>
      <c r="B1" s="221" t="s">
        <v>2273</v>
      </c>
      <c r="C1" s="221" t="s">
        <v>2274</v>
      </c>
      <c r="D1" s="221" t="s">
        <v>2275</v>
      </c>
      <c r="E1" s="221" t="s">
        <v>2276</v>
      </c>
      <c r="F1" s="221" t="s">
        <v>2277</v>
      </c>
      <c r="G1" s="221" t="s">
        <v>2278</v>
      </c>
      <c r="H1" s="221" t="s">
        <v>2279</v>
      </c>
      <c r="I1" s="221" t="s">
        <v>2280</v>
      </c>
      <c r="J1" s="221" t="s">
        <v>2281</v>
      </c>
      <c r="K1" s="221" t="s">
        <v>2282</v>
      </c>
      <c r="L1" s="221" t="s">
        <v>2283</v>
      </c>
      <c r="M1" s="221" t="s">
        <v>154</v>
      </c>
    </row>
    <row r="2" customFormat="false" ht="41.25" hidden="false" customHeight="true" outlineLevel="0" collapsed="false">
      <c r="A2" s="209" t="s">
        <v>2795</v>
      </c>
      <c r="B2" s="209" t="s">
        <v>2796</v>
      </c>
      <c r="C2" s="209" t="s">
        <v>2797</v>
      </c>
      <c r="D2" s="222" t="s">
        <v>2798</v>
      </c>
      <c r="E2" s="223" t="s">
        <v>2799</v>
      </c>
      <c r="F2" s="223" t="s">
        <v>2800</v>
      </c>
      <c r="G2" s="223" t="s">
        <v>2801</v>
      </c>
      <c r="H2" s="223" t="s">
        <v>2291</v>
      </c>
      <c r="I2" s="223" t="s">
        <v>2802</v>
      </c>
      <c r="J2" s="223" t="s">
        <v>2803</v>
      </c>
      <c r="K2" s="223" t="s">
        <v>2724</v>
      </c>
      <c r="L2" s="209" t="n">
        <v>6</v>
      </c>
      <c r="M2" s="222" t="s">
        <v>2311</v>
      </c>
    </row>
    <row r="3" customFormat="false" ht="68.25" hidden="false" customHeight="true" outlineLevel="0" collapsed="false">
      <c r="A3" s="212" t="s">
        <v>2804</v>
      </c>
      <c r="B3" s="212" t="s">
        <v>2805</v>
      </c>
      <c r="C3" s="212" t="s">
        <v>2806</v>
      </c>
      <c r="D3" s="223" t="s">
        <v>2807</v>
      </c>
      <c r="E3" s="222" t="s">
        <v>2808</v>
      </c>
      <c r="F3" s="223" t="s">
        <v>2800</v>
      </c>
      <c r="G3" s="223" t="s">
        <v>2290</v>
      </c>
      <c r="H3" s="223" t="s">
        <v>2291</v>
      </c>
      <c r="I3" s="222" t="s">
        <v>2809</v>
      </c>
      <c r="J3" s="223" t="s">
        <v>2810</v>
      </c>
      <c r="K3" s="223" t="s">
        <v>2724</v>
      </c>
      <c r="L3" s="209" t="n">
        <v>10</v>
      </c>
      <c r="M3" s="222" t="s">
        <v>2467</v>
      </c>
    </row>
    <row r="4" customFormat="false" ht="54.75" hidden="false" customHeight="true" outlineLevel="0" collapsed="false">
      <c r="A4" s="209" t="s">
        <v>2811</v>
      </c>
      <c r="B4" s="209" t="s">
        <v>2812</v>
      </c>
      <c r="C4" s="209" t="s">
        <v>2813</v>
      </c>
      <c r="D4" s="222" t="s">
        <v>2814</v>
      </c>
      <c r="E4" s="223" t="s">
        <v>2288</v>
      </c>
      <c r="F4" s="223" t="s">
        <v>2800</v>
      </c>
      <c r="G4" s="223" t="s">
        <v>2815</v>
      </c>
      <c r="H4" s="223" t="s">
        <v>2291</v>
      </c>
      <c r="I4" s="223" t="s">
        <v>2816</v>
      </c>
      <c r="J4" s="222" t="s">
        <v>2817</v>
      </c>
      <c r="K4" s="223" t="s">
        <v>2724</v>
      </c>
      <c r="L4" s="209" t="n">
        <v>8</v>
      </c>
      <c r="M4" s="222" t="s">
        <v>2467</v>
      </c>
    </row>
    <row r="5" customFormat="false" ht="41.25" hidden="false" customHeight="true" outlineLevel="0" collapsed="false">
      <c r="A5" s="212" t="s">
        <v>2818</v>
      </c>
      <c r="B5" s="212" t="s">
        <v>2819</v>
      </c>
      <c r="C5" s="212" t="s">
        <v>2820</v>
      </c>
      <c r="D5" s="223" t="s">
        <v>2661</v>
      </c>
      <c r="E5" s="223" t="s">
        <v>2288</v>
      </c>
      <c r="F5" s="223" t="s">
        <v>2800</v>
      </c>
      <c r="G5" s="222" t="s">
        <v>2821</v>
      </c>
      <c r="H5" s="223" t="s">
        <v>2291</v>
      </c>
      <c r="I5" s="223" t="s">
        <v>2816</v>
      </c>
      <c r="J5" s="223" t="s">
        <v>2822</v>
      </c>
      <c r="K5" s="223" t="s">
        <v>2724</v>
      </c>
      <c r="L5" s="209" t="n">
        <v>2</v>
      </c>
      <c r="M5" s="222" t="s">
        <v>2311</v>
      </c>
    </row>
    <row r="6" customFormat="false" ht="54.75" hidden="false" customHeight="true" outlineLevel="0" collapsed="false">
      <c r="A6" s="209" t="s">
        <v>2823</v>
      </c>
      <c r="B6" s="209" t="s">
        <v>2824</v>
      </c>
      <c r="C6" s="209" t="s">
        <v>2825</v>
      </c>
      <c r="D6" s="222" t="s">
        <v>2826</v>
      </c>
      <c r="E6" s="223" t="s">
        <v>2288</v>
      </c>
      <c r="F6" s="223" t="s">
        <v>2800</v>
      </c>
      <c r="G6" s="223" t="s">
        <v>2827</v>
      </c>
      <c r="H6" s="223" t="s">
        <v>2291</v>
      </c>
      <c r="I6" s="223" t="s">
        <v>2828</v>
      </c>
      <c r="J6" s="223" t="s">
        <v>2822</v>
      </c>
      <c r="K6" s="223" t="s">
        <v>2724</v>
      </c>
      <c r="L6" s="209" t="n">
        <v>2</v>
      </c>
      <c r="M6" s="222" t="s">
        <v>2311</v>
      </c>
    </row>
    <row r="8" customFormat="false" ht="15" hidden="false" customHeight="true" outlineLevel="0" collapsed="false">
      <c r="A8" s="1" t="s">
        <v>2829</v>
      </c>
    </row>
    <row r="9" customFormat="false" ht="15" hidden="false" customHeight="true" outlineLevel="0" collapsed="false">
      <c r="A9" s="1" t="s">
        <v>2830</v>
      </c>
    </row>
    <row r="10" customFormat="false" ht="15" hidden="false" customHeight="true" outlineLevel="0" collapsed="false">
      <c r="A10" s="1" t="s">
        <v>2831</v>
      </c>
    </row>
    <row r="11" customFormat="false" ht="15" hidden="false" customHeight="true" outlineLevel="0" collapsed="false">
      <c r="A11" s="1" t="s">
        <v>2832</v>
      </c>
    </row>
    <row r="12" customFormat="false" ht="15" hidden="false" customHeight="true" outlineLevel="0" collapsed="false">
      <c r="A12" s="1" t="s">
        <v>2833</v>
      </c>
    </row>
    <row r="13" customFormat="false" ht="15" hidden="false" customHeight="true" outlineLevel="0" collapsed="false">
      <c r="A13" s="1" t="s">
        <v>2834</v>
      </c>
    </row>
    <row r="14" customFormat="false" ht="15" hidden="false" customHeight="true" outlineLevel="0" collapsed="false">
      <c r="A14" s="1" t="s">
        <v>2835</v>
      </c>
    </row>
    <row r="15" customFormat="false" ht="15" hidden="false" customHeight="true" outlineLevel="0" collapsed="false">
      <c r="A15" s="1" t="s">
        <v>2836</v>
      </c>
    </row>
    <row r="16" customFormat="false" ht="15" hidden="false" customHeight="true" outlineLevel="0" collapsed="false">
      <c r="A16" s="1" t="s">
        <v>2647</v>
      </c>
    </row>
  </sheetData>
  <autoFilter ref="A1:M6"/>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40"/>
    <col collapsed="false" customWidth="true" hidden="false" outlineLevel="0" max="3" min="3" style="1" width="50"/>
    <col collapsed="false" customWidth="true" hidden="false" outlineLevel="0" max="4" min="4" style="1" width="40"/>
    <col collapsed="false" customWidth="true" hidden="false" outlineLevel="0" max="5" min="5" style="1" width="22"/>
    <col collapsed="false" customWidth="true" hidden="false" outlineLevel="0" max="6" min="6" style="1" width="26"/>
    <col collapsed="false" customWidth="true" hidden="false" outlineLevel="0" max="7" min="7" style="1" width="34"/>
    <col collapsed="false" customWidth="true" hidden="false" outlineLevel="0" max="8" min="8" style="1" width="12"/>
    <col collapsed="false" customWidth="true" hidden="false" outlineLevel="0" max="9" min="9" style="1" width="34"/>
    <col collapsed="false" customWidth="true" hidden="false" outlineLevel="0" max="10" min="10" style="1" width="40"/>
    <col collapsed="false" customWidth="true" hidden="false" outlineLevel="0" max="11" min="11" style="1" width="22"/>
    <col collapsed="false" customWidth="true" hidden="false" outlineLevel="0" max="12" min="12" style="1" width="10"/>
    <col collapsed="false" customWidth="true" hidden="false" outlineLevel="0" max="13" min="13" style="1" width="16"/>
  </cols>
  <sheetData>
    <row r="1" customFormat="false" ht="15" hidden="false" customHeight="true" outlineLevel="0" collapsed="false">
      <c r="A1" s="221" t="s">
        <v>2272</v>
      </c>
      <c r="B1" s="221" t="s">
        <v>2273</v>
      </c>
      <c r="C1" s="221" t="s">
        <v>2274</v>
      </c>
      <c r="D1" s="221" t="s">
        <v>2275</v>
      </c>
      <c r="E1" s="221" t="s">
        <v>2276</v>
      </c>
      <c r="F1" s="221" t="s">
        <v>2277</v>
      </c>
      <c r="G1" s="221" t="s">
        <v>2278</v>
      </c>
      <c r="H1" s="221" t="s">
        <v>2279</v>
      </c>
      <c r="I1" s="221" t="s">
        <v>2280</v>
      </c>
      <c r="J1" s="221" t="s">
        <v>2281</v>
      </c>
      <c r="K1" s="221" t="s">
        <v>2282</v>
      </c>
      <c r="L1" s="221" t="s">
        <v>2283</v>
      </c>
      <c r="M1" s="221" t="s">
        <v>154</v>
      </c>
    </row>
    <row r="2" customFormat="false" ht="54.75" hidden="false" customHeight="true" outlineLevel="0" collapsed="false">
      <c r="A2" s="209" t="s">
        <v>2837</v>
      </c>
      <c r="B2" s="209" t="s">
        <v>2838</v>
      </c>
      <c r="C2" s="209" t="s">
        <v>2839</v>
      </c>
      <c r="D2" s="222" t="s">
        <v>2840</v>
      </c>
      <c r="E2" s="223" t="s">
        <v>2719</v>
      </c>
      <c r="F2" s="223" t="s">
        <v>2841</v>
      </c>
      <c r="G2" s="223" t="s">
        <v>2842</v>
      </c>
      <c r="H2" s="223" t="s">
        <v>2291</v>
      </c>
      <c r="I2" s="223" t="s">
        <v>2843</v>
      </c>
      <c r="J2" s="223" t="s">
        <v>2844</v>
      </c>
      <c r="K2" s="223" t="s">
        <v>2724</v>
      </c>
      <c r="L2" s="209" t="n">
        <v>8</v>
      </c>
      <c r="M2" s="222" t="s">
        <v>2311</v>
      </c>
    </row>
    <row r="3" customFormat="false" ht="54.75" hidden="false" customHeight="true" outlineLevel="0" collapsed="false">
      <c r="A3" s="212" t="s">
        <v>2845</v>
      </c>
      <c r="B3" s="212" t="s">
        <v>2846</v>
      </c>
      <c r="C3" s="212" t="s">
        <v>2847</v>
      </c>
      <c r="D3" s="223" t="s">
        <v>2848</v>
      </c>
      <c r="E3" s="223" t="s">
        <v>2719</v>
      </c>
      <c r="F3" s="223" t="s">
        <v>2841</v>
      </c>
      <c r="G3" s="223" t="s">
        <v>2849</v>
      </c>
      <c r="H3" s="223" t="s">
        <v>2291</v>
      </c>
      <c r="I3" s="223" t="s">
        <v>2843</v>
      </c>
      <c r="J3" s="223" t="s">
        <v>2844</v>
      </c>
      <c r="K3" s="223" t="s">
        <v>2724</v>
      </c>
      <c r="L3" s="209" t="n">
        <v>4</v>
      </c>
      <c r="M3" s="224" t="s">
        <v>2295</v>
      </c>
    </row>
    <row r="4" customFormat="false" ht="54.75" hidden="false" customHeight="true" outlineLevel="0" collapsed="false">
      <c r="A4" s="209" t="s">
        <v>2850</v>
      </c>
      <c r="B4" s="209" t="s">
        <v>2851</v>
      </c>
      <c r="C4" s="209" t="s">
        <v>2852</v>
      </c>
      <c r="D4" s="222" t="s">
        <v>2853</v>
      </c>
      <c r="E4" s="223" t="s">
        <v>2719</v>
      </c>
      <c r="F4" s="223" t="s">
        <v>2841</v>
      </c>
      <c r="G4" s="222" t="s">
        <v>2854</v>
      </c>
      <c r="H4" s="223" t="s">
        <v>2291</v>
      </c>
      <c r="I4" s="223" t="s">
        <v>2843</v>
      </c>
      <c r="J4" s="223" t="s">
        <v>2844</v>
      </c>
      <c r="K4" s="223" t="s">
        <v>2724</v>
      </c>
      <c r="L4" s="209" t="n">
        <v>4</v>
      </c>
      <c r="M4" s="222" t="s">
        <v>2467</v>
      </c>
    </row>
    <row r="5" customFormat="false" ht="108.75" hidden="false" customHeight="true" outlineLevel="0" collapsed="false">
      <c r="A5" s="209" t="s">
        <v>2855</v>
      </c>
      <c r="B5" s="209" t="s">
        <v>2856</v>
      </c>
      <c r="C5" s="209" t="s">
        <v>2475</v>
      </c>
      <c r="D5" s="222" t="s">
        <v>2476</v>
      </c>
      <c r="E5" s="223" t="s">
        <v>2476</v>
      </c>
      <c r="F5" s="223" t="s">
        <v>2476</v>
      </c>
      <c r="G5" s="222" t="s">
        <v>2476</v>
      </c>
      <c r="H5" s="223" t="s">
        <v>2476</v>
      </c>
      <c r="I5" s="223" t="s">
        <v>2476</v>
      </c>
      <c r="J5" s="223" t="s">
        <v>2476</v>
      </c>
      <c r="K5" s="223" t="s">
        <v>2476</v>
      </c>
      <c r="L5" s="209" t="n">
        <v>1</v>
      </c>
      <c r="M5" s="222" t="s">
        <v>2467</v>
      </c>
    </row>
    <row r="6" customFormat="false" ht="15" hidden="false" customHeight="true" outlineLevel="0" collapsed="false">
      <c r="A6" s="1" t="s">
        <v>2857</v>
      </c>
    </row>
    <row r="7" customFormat="false" ht="15" hidden="false" customHeight="true" outlineLevel="0" collapsed="false">
      <c r="A7" s="1" t="s">
        <v>2858</v>
      </c>
    </row>
    <row r="8" customFormat="false" ht="15" hidden="false" customHeight="true" outlineLevel="0" collapsed="false">
      <c r="A8" s="1" t="s">
        <v>2859</v>
      </c>
    </row>
    <row r="9" customFormat="false" ht="15" hidden="false" customHeight="true" outlineLevel="0" collapsed="false">
      <c r="A9" s="1" t="s">
        <v>2860</v>
      </c>
    </row>
    <row r="10" customFormat="false" ht="15" hidden="false" customHeight="true" outlineLevel="0" collapsed="false">
      <c r="A10" s="1" t="s">
        <v>2861</v>
      </c>
    </row>
    <row r="11" customFormat="false" ht="15" hidden="false" customHeight="true" outlineLevel="0" collapsed="false">
      <c r="A11" s="1" t="s">
        <v>2862</v>
      </c>
    </row>
    <row r="12" customFormat="false" ht="15" hidden="false" customHeight="true" outlineLevel="0" collapsed="false">
      <c r="A12" s="1" t="s">
        <v>2863</v>
      </c>
    </row>
    <row r="13" customFormat="false" ht="15" hidden="false" customHeight="true" outlineLevel="0" collapsed="false">
      <c r="A13" s="1" t="s">
        <v>2864</v>
      </c>
    </row>
    <row r="14" customFormat="false" ht="15" hidden="false" customHeight="true" outlineLevel="0" collapsed="false">
      <c r="A14" s="1" t="s">
        <v>2647</v>
      </c>
    </row>
  </sheetData>
  <autoFilter ref="A1:M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2026-07-28T02:13:19Z</dcterms:created>
  <dc:creator>openpyxl</dc:creator>
  <dc:description/>
  <dc:language>en-US</dc:language>
  <cp:lastModifiedBy/>
  <dcterms:modified xsi:type="dcterms:W3CDTF">2026-08-05T08:28:09Z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